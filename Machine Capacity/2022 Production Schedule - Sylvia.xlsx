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papserver\Company\PRODUCTIONSCHEDULING\"/>
    </mc:Choice>
  </mc:AlternateContent>
  <xr:revisionPtr revIDLastSave="0" documentId="8_{67967968-17B7-47AB-923F-731C785365F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coming" sheetId="1" r:id="rId1"/>
    <sheet name="Jennerjahn 2022" sheetId="2" r:id="rId2"/>
    <sheet name="Sheeter 2022" sheetId="3" r:id="rId3"/>
    <sheet name="Manual Slitter 2022" sheetId="4" r:id="rId4"/>
    <sheet name="FutureHold for ReleasesPending " sheetId="5" r:id="rId5"/>
    <sheet name="Master Sheets 2022" sheetId="6" r:id="rId6"/>
    <sheet name="MS to keep" sheetId="7" r:id="rId7"/>
    <sheet name="Overstock List 2022" sheetId="8" r:id="rId8"/>
  </sheets>
  <definedNames>
    <definedName name="_xlnm._FilterDatabase" localSheetId="3" hidden="1">'Manual Slitter 2022'!$J$197:$J$200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95" i="8" l="1"/>
  <c r="H194" i="8"/>
  <c r="H164" i="8"/>
  <c r="H159" i="8"/>
  <c r="H154" i="8"/>
  <c r="H141" i="8"/>
  <c r="H138" i="8"/>
  <c r="H132" i="8"/>
  <c r="H124" i="8"/>
  <c r="H122" i="8"/>
  <c r="H119" i="8"/>
  <c r="H118" i="8"/>
  <c r="H116" i="8"/>
  <c r="H115" i="8"/>
  <c r="H114" i="8"/>
  <c r="H112" i="8"/>
  <c r="H110" i="8"/>
  <c r="H109" i="8"/>
  <c r="H107" i="8"/>
  <c r="H106" i="8"/>
  <c r="H105" i="8"/>
  <c r="H102" i="8"/>
  <c r="H99" i="8"/>
  <c r="H97" i="8"/>
  <c r="H95" i="8"/>
  <c r="H94" i="8"/>
  <c r="H34" i="8"/>
  <c r="H17" i="8"/>
  <c r="H15" i="8"/>
  <c r="H11" i="8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2" i="7" s="1"/>
  <c r="H56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4" i="6"/>
  <c r="H33" i="6"/>
  <c r="H32" i="6"/>
  <c r="H31" i="6"/>
  <c r="H30" i="6"/>
  <c r="H29" i="6"/>
  <c r="H28" i="6"/>
  <c r="H27" i="6"/>
  <c r="H26" i="6"/>
  <c r="H25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7" i="6"/>
  <c r="H6" i="6"/>
  <c r="H5" i="6"/>
  <c r="H4" i="6"/>
  <c r="N678" i="4"/>
  <c r="A678" i="4"/>
  <c r="N669" i="4"/>
  <c r="A669" i="4"/>
  <c r="N660" i="4"/>
  <c r="A660" i="4"/>
  <c r="N651" i="4"/>
  <c r="A651" i="4"/>
  <c r="N642" i="4"/>
  <c r="A642" i="4"/>
  <c r="N633" i="4"/>
  <c r="A633" i="4"/>
  <c r="N624" i="4"/>
  <c r="A624" i="4"/>
  <c r="N615" i="4"/>
  <c r="A615" i="4"/>
  <c r="N606" i="4"/>
  <c r="A606" i="4"/>
  <c r="N597" i="4"/>
  <c r="A597" i="4"/>
  <c r="N588" i="4"/>
  <c r="A588" i="4"/>
  <c r="N579" i="4"/>
  <c r="A579" i="4"/>
  <c r="N570" i="4"/>
  <c r="A570" i="4"/>
  <c r="N561" i="4"/>
  <c r="A561" i="4"/>
  <c r="N552" i="4"/>
  <c r="A552" i="4"/>
  <c r="N543" i="4"/>
  <c r="A543" i="4"/>
  <c r="N534" i="4"/>
  <c r="A534" i="4"/>
  <c r="N525" i="4"/>
  <c r="A525" i="4"/>
  <c r="N516" i="4"/>
  <c r="A516" i="4"/>
  <c r="N507" i="4"/>
  <c r="A507" i="4"/>
  <c r="N498" i="4"/>
  <c r="A498" i="4"/>
  <c r="N489" i="4"/>
  <c r="A489" i="4"/>
  <c r="N480" i="4"/>
  <c r="A480" i="4"/>
  <c r="N471" i="4"/>
  <c r="A471" i="4"/>
  <c r="N462" i="4"/>
  <c r="A462" i="4"/>
  <c r="N453" i="4"/>
  <c r="A453" i="4"/>
  <c r="N444" i="4"/>
  <c r="A444" i="4"/>
  <c r="N435" i="4"/>
  <c r="A435" i="4"/>
  <c r="N426" i="4"/>
  <c r="A426" i="4"/>
  <c r="N417" i="4"/>
  <c r="A417" i="4"/>
  <c r="N408" i="4"/>
  <c r="A408" i="4"/>
  <c r="N399" i="4"/>
  <c r="A399" i="4"/>
  <c r="N390" i="4"/>
  <c r="A390" i="4"/>
  <c r="N381" i="4"/>
  <c r="A381" i="4"/>
  <c r="N372" i="4"/>
  <c r="A372" i="4"/>
  <c r="N363" i="4"/>
  <c r="A363" i="4"/>
  <c r="N354" i="4"/>
  <c r="A354" i="4"/>
  <c r="N345" i="4"/>
  <c r="A345" i="4"/>
  <c r="N336" i="4"/>
  <c r="A336" i="4"/>
  <c r="N327" i="4"/>
  <c r="A327" i="4"/>
  <c r="N318" i="4"/>
  <c r="A318" i="4"/>
  <c r="N309" i="4"/>
  <c r="A309" i="4"/>
  <c r="N300" i="4"/>
  <c r="A300" i="4"/>
  <c r="N291" i="4"/>
  <c r="A291" i="4"/>
  <c r="N282" i="4"/>
  <c r="A282" i="4"/>
  <c r="N273" i="4"/>
  <c r="A273" i="4"/>
  <c r="N264" i="4"/>
  <c r="A264" i="4"/>
  <c r="N255" i="4"/>
  <c r="A255" i="4"/>
  <c r="N246" i="4"/>
  <c r="A246" i="4"/>
  <c r="N237" i="4"/>
  <c r="A237" i="4"/>
  <c r="N228" i="4"/>
  <c r="A228" i="4"/>
  <c r="N219" i="4"/>
  <c r="A219" i="4"/>
  <c r="N210" i="4"/>
  <c r="A210" i="4"/>
  <c r="N201" i="4"/>
  <c r="A201" i="4"/>
  <c r="N192" i="4"/>
  <c r="A192" i="4"/>
  <c r="N183" i="4"/>
  <c r="A183" i="4"/>
  <c r="N174" i="4"/>
  <c r="A174" i="4"/>
  <c r="N165" i="4"/>
  <c r="A165" i="4"/>
  <c r="N156" i="4"/>
  <c r="A156" i="4"/>
  <c r="N147" i="4"/>
  <c r="A147" i="4"/>
  <c r="N138" i="4"/>
  <c r="A138" i="4"/>
  <c r="N129" i="4"/>
  <c r="A129" i="4"/>
  <c r="N120" i="4"/>
  <c r="A120" i="4"/>
  <c r="N111" i="4"/>
  <c r="A111" i="4"/>
  <c r="N102" i="4"/>
  <c r="A102" i="4"/>
  <c r="N93" i="4"/>
  <c r="A93" i="4"/>
  <c r="N84" i="4"/>
  <c r="A84" i="4"/>
  <c r="N75" i="4"/>
  <c r="A75" i="4"/>
  <c r="N66" i="4"/>
  <c r="A66" i="4"/>
  <c r="N57" i="4"/>
  <c r="A57" i="4"/>
  <c r="N48" i="4"/>
  <c r="A48" i="4"/>
  <c r="N39" i="4"/>
  <c r="A39" i="4"/>
  <c r="N30" i="4"/>
  <c r="A30" i="4"/>
  <c r="N21" i="4"/>
  <c r="A21" i="4"/>
  <c r="A13" i="4"/>
  <c r="A22" i="4" s="1"/>
  <c r="A31" i="4" s="1"/>
  <c r="A40" i="4" s="1"/>
  <c r="A49" i="4" s="1"/>
  <c r="A58" i="4" s="1"/>
  <c r="A67" i="4" s="1"/>
  <c r="A76" i="4" s="1"/>
  <c r="A85" i="4" s="1"/>
  <c r="A94" i="4" s="1"/>
  <c r="A103" i="4" s="1"/>
  <c r="A112" i="4" s="1"/>
  <c r="A121" i="4" s="1"/>
  <c r="A130" i="4" s="1"/>
  <c r="A139" i="4" s="1"/>
  <c r="A148" i="4" s="1"/>
  <c r="A157" i="4" s="1"/>
  <c r="A166" i="4" s="1"/>
  <c r="A175" i="4" s="1"/>
  <c r="A184" i="4" s="1"/>
  <c r="A193" i="4" s="1"/>
  <c r="A202" i="4" s="1"/>
  <c r="A211" i="4" s="1"/>
  <c r="A220" i="4" s="1"/>
  <c r="A229" i="4" s="1"/>
  <c r="A238" i="4" s="1"/>
  <c r="A247" i="4" s="1"/>
  <c r="A256" i="4" s="1"/>
  <c r="A265" i="4" s="1"/>
  <c r="A274" i="4" s="1"/>
  <c r="A283" i="4" s="1"/>
  <c r="A292" i="4" s="1"/>
  <c r="A301" i="4" s="1"/>
  <c r="A310" i="4" s="1"/>
  <c r="A319" i="4" s="1"/>
  <c r="A328" i="4" s="1"/>
  <c r="A337" i="4" s="1"/>
  <c r="A346" i="4" s="1"/>
  <c r="A355" i="4" s="1"/>
  <c r="A364" i="4" s="1"/>
  <c r="A373" i="4" s="1"/>
  <c r="A382" i="4" s="1"/>
  <c r="A391" i="4" s="1"/>
  <c r="A400" i="4" s="1"/>
  <c r="A409" i="4" s="1"/>
  <c r="A418" i="4" s="1"/>
  <c r="A427" i="4" s="1"/>
  <c r="A436" i="4" s="1"/>
  <c r="A445" i="4" s="1"/>
  <c r="A454" i="4" s="1"/>
  <c r="A463" i="4" s="1"/>
  <c r="A472" i="4" s="1"/>
  <c r="A481" i="4" s="1"/>
  <c r="A490" i="4" s="1"/>
  <c r="A499" i="4" s="1"/>
  <c r="A508" i="4" s="1"/>
  <c r="A517" i="4" s="1"/>
  <c r="A526" i="4" s="1"/>
  <c r="A535" i="4" s="1"/>
  <c r="A544" i="4" s="1"/>
  <c r="A553" i="4" s="1"/>
  <c r="A562" i="4" s="1"/>
  <c r="A571" i="4" s="1"/>
  <c r="A580" i="4" s="1"/>
  <c r="A589" i="4" s="1"/>
  <c r="A598" i="4" s="1"/>
  <c r="A607" i="4" s="1"/>
  <c r="A616" i="4" s="1"/>
  <c r="A625" i="4" s="1"/>
  <c r="A634" i="4" s="1"/>
  <c r="A643" i="4" s="1"/>
  <c r="A652" i="4" s="1"/>
  <c r="A661" i="4" s="1"/>
  <c r="A670" i="4" s="1"/>
  <c r="N12" i="4"/>
  <c r="A12" i="4"/>
  <c r="M1353" i="3"/>
  <c r="A1353" i="3"/>
  <c r="M1335" i="3"/>
  <c r="A1335" i="3"/>
  <c r="M1317" i="3"/>
  <c r="A1317" i="3"/>
  <c r="M1299" i="3"/>
  <c r="A1299" i="3"/>
  <c r="M1281" i="3"/>
  <c r="A1281" i="3"/>
  <c r="M1263" i="3"/>
  <c r="A1263" i="3"/>
  <c r="M1245" i="3"/>
  <c r="A1245" i="3"/>
  <c r="M1227" i="3"/>
  <c r="A1227" i="3"/>
  <c r="M1209" i="3"/>
  <c r="A1209" i="3"/>
  <c r="M1191" i="3"/>
  <c r="A1191" i="3"/>
  <c r="M1173" i="3"/>
  <c r="A1173" i="3"/>
  <c r="M1155" i="3"/>
  <c r="A1155" i="3"/>
  <c r="E1141" i="3"/>
  <c r="M1137" i="3"/>
  <c r="A1137" i="3"/>
  <c r="M1119" i="3"/>
  <c r="A1119" i="3"/>
  <c r="M1101" i="3"/>
  <c r="A1101" i="3"/>
  <c r="M1083" i="3"/>
  <c r="A1083" i="3"/>
  <c r="M1065" i="3"/>
  <c r="A1065" i="3"/>
  <c r="M1047" i="3"/>
  <c r="A1047" i="3"/>
  <c r="M1029" i="3"/>
  <c r="A1029" i="3"/>
  <c r="M1011" i="3"/>
  <c r="A1011" i="3"/>
  <c r="M993" i="3"/>
  <c r="A993" i="3"/>
  <c r="M975" i="3"/>
  <c r="A975" i="3"/>
  <c r="M957" i="3"/>
  <c r="A957" i="3"/>
  <c r="M939" i="3"/>
  <c r="A939" i="3"/>
  <c r="M921" i="3"/>
  <c r="A921" i="3"/>
  <c r="A903" i="3"/>
  <c r="M895" i="3"/>
  <c r="A885" i="3"/>
  <c r="M877" i="3"/>
  <c r="A867" i="3"/>
  <c r="M859" i="3"/>
  <c r="A849" i="3"/>
  <c r="M841" i="3"/>
  <c r="A831" i="3"/>
  <c r="M823" i="3"/>
  <c r="A813" i="3"/>
  <c r="M805" i="3"/>
  <c r="A795" i="3"/>
  <c r="M787" i="3"/>
  <c r="A777" i="3"/>
  <c r="M769" i="3"/>
  <c r="A759" i="3"/>
  <c r="M751" i="3"/>
  <c r="A741" i="3"/>
  <c r="M733" i="3"/>
  <c r="A723" i="3"/>
  <c r="M715" i="3"/>
  <c r="A705" i="3"/>
  <c r="M697" i="3"/>
  <c r="A687" i="3"/>
  <c r="M679" i="3"/>
  <c r="A669" i="3"/>
  <c r="M661" i="3"/>
  <c r="A651" i="3"/>
  <c r="M643" i="3"/>
  <c r="A633" i="3"/>
  <c r="M625" i="3"/>
  <c r="A615" i="3"/>
  <c r="M607" i="3"/>
  <c r="A597" i="3"/>
  <c r="M589" i="3"/>
  <c r="A579" i="3"/>
  <c r="M571" i="3"/>
  <c r="A561" i="3"/>
  <c r="M553" i="3"/>
  <c r="A543" i="3"/>
  <c r="M535" i="3"/>
  <c r="A525" i="3"/>
  <c r="M517" i="3"/>
  <c r="A507" i="3"/>
  <c r="M499" i="3"/>
  <c r="A489" i="3"/>
  <c r="M481" i="3"/>
  <c r="A471" i="3"/>
  <c r="M463" i="3"/>
  <c r="A453" i="3"/>
  <c r="M445" i="3"/>
  <c r="A434" i="3"/>
  <c r="M427" i="3"/>
  <c r="A417" i="3"/>
  <c r="M409" i="3"/>
  <c r="A399" i="3"/>
  <c r="M391" i="3"/>
  <c r="A381" i="3"/>
  <c r="M373" i="3"/>
  <c r="A363" i="3"/>
  <c r="M355" i="3"/>
  <c r="A345" i="3"/>
  <c r="M337" i="3"/>
  <c r="A327" i="3"/>
  <c r="M319" i="3"/>
  <c r="A309" i="3"/>
  <c r="M301" i="3"/>
  <c r="A291" i="3"/>
  <c r="M283" i="3"/>
  <c r="A273" i="3"/>
  <c r="M265" i="3"/>
  <c r="A255" i="3"/>
  <c r="M247" i="3"/>
  <c r="A237" i="3"/>
  <c r="M229" i="3"/>
  <c r="A219" i="3"/>
  <c r="M211" i="3"/>
  <c r="A201" i="3"/>
  <c r="M193" i="3"/>
  <c r="A183" i="3"/>
  <c r="M175" i="3"/>
  <c r="A165" i="3"/>
  <c r="M157" i="3"/>
  <c r="A147" i="3"/>
  <c r="M139" i="3"/>
  <c r="A129" i="3"/>
  <c r="M121" i="3"/>
  <c r="A111" i="3"/>
  <c r="M103" i="3"/>
  <c r="A93" i="3"/>
  <c r="M85" i="3"/>
  <c r="A75" i="3"/>
  <c r="M67" i="3"/>
  <c r="A57" i="3"/>
  <c r="M49" i="3"/>
  <c r="A40" i="3"/>
  <c r="A58" i="3" s="1"/>
  <c r="A76" i="3" s="1"/>
  <c r="A94" i="3" s="1"/>
  <c r="A112" i="3" s="1"/>
  <c r="A130" i="3" s="1"/>
  <c r="A148" i="3" s="1"/>
  <c r="A166" i="3" s="1"/>
  <c r="A184" i="3" s="1"/>
  <c r="A202" i="3" s="1"/>
  <c r="A220" i="3" s="1"/>
  <c r="A238" i="3" s="1"/>
  <c r="A256" i="3" s="1"/>
  <c r="A274" i="3" s="1"/>
  <c r="A292" i="3" s="1"/>
  <c r="A310" i="3" s="1"/>
  <c r="A328" i="3" s="1"/>
  <c r="A346" i="3" s="1"/>
  <c r="A364" i="3" s="1"/>
  <c r="A382" i="3" s="1"/>
  <c r="A400" i="3" s="1"/>
  <c r="A418" i="3" s="1"/>
  <c r="A435" i="3" s="1"/>
  <c r="A454" i="3" s="1"/>
  <c r="A472" i="3" s="1"/>
  <c r="A490" i="3" s="1"/>
  <c r="A508" i="3" s="1"/>
  <c r="A526" i="3" s="1"/>
  <c r="A544" i="3" s="1"/>
  <c r="A562" i="3" s="1"/>
  <c r="A580" i="3" s="1"/>
  <c r="A598" i="3" s="1"/>
  <c r="A616" i="3" s="1"/>
  <c r="A634" i="3" s="1"/>
  <c r="A652" i="3" s="1"/>
  <c r="A670" i="3" s="1"/>
  <c r="A688" i="3" s="1"/>
  <c r="A706" i="3" s="1"/>
  <c r="A724" i="3" s="1"/>
  <c r="A742" i="3" s="1"/>
  <c r="A760" i="3" s="1"/>
  <c r="A778" i="3" s="1"/>
  <c r="A796" i="3" s="1"/>
  <c r="A814" i="3" s="1"/>
  <c r="A832" i="3" s="1"/>
  <c r="A850" i="3" s="1"/>
  <c r="A868" i="3" s="1"/>
  <c r="A886" i="3" s="1"/>
  <c r="A904" i="3" s="1"/>
  <c r="A922" i="3" s="1"/>
  <c r="A940" i="3" s="1"/>
  <c r="A958" i="3" s="1"/>
  <c r="A976" i="3" s="1"/>
  <c r="A994" i="3" s="1"/>
  <c r="A1012" i="3" s="1"/>
  <c r="A1030" i="3" s="1"/>
  <c r="A1048" i="3" s="1"/>
  <c r="A1066" i="3" s="1"/>
  <c r="A1084" i="3" s="1"/>
  <c r="A1102" i="3" s="1"/>
  <c r="A1120" i="3" s="1"/>
  <c r="A1138" i="3" s="1"/>
  <c r="A1156" i="3" s="1"/>
  <c r="A1174" i="3" s="1"/>
  <c r="A1192" i="3" s="1"/>
  <c r="A1210" i="3" s="1"/>
  <c r="A1228" i="3" s="1"/>
  <c r="A1246" i="3" s="1"/>
  <c r="A1264" i="3" s="1"/>
  <c r="A1282" i="3" s="1"/>
  <c r="A1300" i="3" s="1"/>
  <c r="A1318" i="3" s="1"/>
  <c r="A1336" i="3" s="1"/>
  <c r="A39" i="3"/>
  <c r="M31" i="3"/>
  <c r="A22" i="3"/>
  <c r="A21" i="3"/>
  <c r="M13" i="3"/>
  <c r="K1447" i="2"/>
  <c r="I1447" i="2"/>
  <c r="H1447" i="2"/>
  <c r="K1428" i="2"/>
  <c r="I1428" i="2"/>
  <c r="H1428" i="2"/>
  <c r="K1409" i="2"/>
  <c r="I1409" i="2"/>
  <c r="H1409" i="2"/>
  <c r="K1390" i="2"/>
  <c r="I1390" i="2"/>
  <c r="H1390" i="2"/>
  <c r="K1371" i="2"/>
  <c r="I1371" i="2"/>
  <c r="H1371" i="2"/>
  <c r="K1352" i="2"/>
  <c r="I1352" i="2"/>
  <c r="H1352" i="2"/>
  <c r="K1333" i="2"/>
  <c r="H1333" i="2"/>
  <c r="I1316" i="2"/>
  <c r="I1333" i="2" s="1"/>
  <c r="K1314" i="2"/>
  <c r="I1314" i="2"/>
  <c r="H1314" i="2"/>
  <c r="K1295" i="2"/>
  <c r="I1295" i="2"/>
  <c r="H1295" i="2"/>
  <c r="K1276" i="2"/>
  <c r="I1276" i="2"/>
  <c r="H1276" i="2"/>
  <c r="K1257" i="2"/>
  <c r="I1257" i="2"/>
  <c r="H1257" i="2"/>
  <c r="K1238" i="2"/>
  <c r="K1219" i="2"/>
  <c r="K1200" i="2"/>
  <c r="I1200" i="2"/>
  <c r="H1200" i="2"/>
  <c r="K1181" i="2"/>
  <c r="I1181" i="2"/>
  <c r="H1181" i="2"/>
  <c r="K1162" i="2"/>
  <c r="K1143" i="2"/>
  <c r="I1143" i="2"/>
  <c r="H1143" i="2"/>
  <c r="K1124" i="2"/>
  <c r="K1105" i="2"/>
  <c r="I1105" i="2"/>
  <c r="H1105" i="2"/>
  <c r="I1088" i="2"/>
  <c r="K1086" i="2"/>
  <c r="I1086" i="2"/>
  <c r="H1086" i="2"/>
  <c r="K1067" i="2"/>
  <c r="I1067" i="2"/>
  <c r="I1124" i="2" s="1"/>
  <c r="I1162" i="2" s="1"/>
  <c r="H1067" i="2"/>
  <c r="H1124" i="2" s="1"/>
  <c r="H1162" i="2" s="1"/>
  <c r="K1048" i="2"/>
  <c r="I1048" i="2"/>
  <c r="H1048" i="2"/>
  <c r="K1029" i="2"/>
  <c r="I1029" i="2"/>
  <c r="H1029" i="2"/>
  <c r="K1010" i="2"/>
  <c r="I1010" i="2"/>
  <c r="H1010" i="2"/>
  <c r="K991" i="2"/>
  <c r="I991" i="2"/>
  <c r="H991" i="2"/>
  <c r="K972" i="2"/>
  <c r="I972" i="2"/>
  <c r="H972" i="2"/>
  <c r="K953" i="2"/>
  <c r="I953" i="2"/>
  <c r="H953" i="2"/>
  <c r="K934" i="2"/>
  <c r="I934" i="2"/>
  <c r="H934" i="2"/>
  <c r="K915" i="2"/>
  <c r="I915" i="2"/>
  <c r="H915" i="2"/>
  <c r="K896" i="2"/>
  <c r="I896" i="2"/>
  <c r="H896" i="2"/>
  <c r="K877" i="2"/>
  <c r="I877" i="2"/>
  <c r="H877" i="2"/>
  <c r="K858" i="2"/>
  <c r="I858" i="2"/>
  <c r="H858" i="2"/>
  <c r="K839" i="2"/>
  <c r="I839" i="2"/>
  <c r="H839" i="2"/>
  <c r="K820" i="2"/>
  <c r="I820" i="2"/>
  <c r="H820" i="2"/>
  <c r="K801" i="2"/>
  <c r="I801" i="2"/>
  <c r="H801" i="2"/>
  <c r="K782" i="2"/>
  <c r="I782" i="2"/>
  <c r="H782" i="2"/>
  <c r="K763" i="2"/>
  <c r="I763" i="2"/>
  <c r="H763" i="2"/>
  <c r="K744" i="2"/>
  <c r="I744" i="2"/>
  <c r="H744" i="2"/>
  <c r="K725" i="2"/>
  <c r="I725" i="2"/>
  <c r="H725" i="2"/>
  <c r="K706" i="2"/>
  <c r="I706" i="2"/>
  <c r="H706" i="2"/>
  <c r="K687" i="2"/>
  <c r="I687" i="2"/>
  <c r="H687" i="2"/>
  <c r="K668" i="2"/>
  <c r="I668" i="2"/>
  <c r="H668" i="2"/>
  <c r="K649" i="2"/>
  <c r="I649" i="2"/>
  <c r="H649" i="2"/>
  <c r="K630" i="2"/>
  <c r="I630" i="2"/>
  <c r="H630" i="2"/>
  <c r="K611" i="2"/>
  <c r="I611" i="2"/>
  <c r="H611" i="2"/>
  <c r="A593" i="2"/>
  <c r="A612" i="2" s="1"/>
  <c r="A631" i="2" s="1"/>
  <c r="A650" i="2" s="1"/>
  <c r="A669" i="2" s="1"/>
  <c r="A688" i="2" s="1"/>
  <c r="A707" i="2" s="1"/>
  <c r="A726" i="2" s="1"/>
  <c r="A745" i="2" s="1"/>
  <c r="A764" i="2" s="1"/>
  <c r="A783" i="2" s="1"/>
  <c r="A802" i="2" s="1"/>
  <c r="A821" i="2" s="1"/>
  <c r="A840" i="2" s="1"/>
  <c r="A859" i="2" s="1"/>
  <c r="A878" i="2" s="1"/>
  <c r="A897" i="2" s="1"/>
  <c r="A916" i="2" s="1"/>
  <c r="A935" i="2" s="1"/>
  <c r="A954" i="2" s="1"/>
  <c r="A973" i="2" s="1"/>
  <c r="A992" i="2" s="1"/>
  <c r="A1011" i="2" s="1"/>
  <c r="A1030" i="2" s="1"/>
  <c r="A1049" i="2" s="1"/>
  <c r="A1068" i="2" s="1"/>
  <c r="A1087" i="2" s="1"/>
  <c r="A1106" i="2" s="1"/>
  <c r="A1125" i="2" s="1"/>
  <c r="A1144" i="2" s="1"/>
  <c r="A1163" i="2" s="1"/>
  <c r="A1182" i="2" s="1"/>
  <c r="A1201" i="2" s="1"/>
  <c r="A1220" i="2" s="1"/>
  <c r="A1239" i="2" s="1"/>
  <c r="A1258" i="2" s="1"/>
  <c r="A1277" i="2" s="1"/>
  <c r="A1296" i="2" s="1"/>
  <c r="A1315" i="2" s="1"/>
  <c r="A1334" i="2" s="1"/>
  <c r="A1353" i="2" s="1"/>
  <c r="A1372" i="2" s="1"/>
  <c r="A1391" i="2" s="1"/>
  <c r="A1410" i="2" s="1"/>
  <c r="A1429" i="2" s="1"/>
  <c r="K592" i="2"/>
  <c r="I592" i="2"/>
  <c r="H592" i="2"/>
  <c r="K573" i="2"/>
  <c r="I573" i="2"/>
  <c r="H573" i="2"/>
  <c r="K554" i="2"/>
  <c r="I554" i="2"/>
  <c r="H554" i="2"/>
  <c r="K535" i="2"/>
  <c r="I535" i="2"/>
  <c r="H535" i="2"/>
  <c r="K516" i="2"/>
  <c r="K497" i="2"/>
  <c r="I497" i="2"/>
  <c r="H497" i="2"/>
  <c r="K478" i="2"/>
  <c r="I478" i="2"/>
  <c r="I516" i="2" s="1"/>
  <c r="H478" i="2"/>
  <c r="H516" i="2" s="1"/>
  <c r="K459" i="2"/>
  <c r="I459" i="2"/>
  <c r="H459" i="2"/>
  <c r="K440" i="2"/>
  <c r="I440" i="2"/>
  <c r="H440" i="2"/>
  <c r="K421" i="2"/>
  <c r="I421" i="2"/>
  <c r="H421" i="2"/>
  <c r="K402" i="2"/>
  <c r="I402" i="2"/>
  <c r="H402" i="2"/>
  <c r="K383" i="2"/>
  <c r="I383" i="2"/>
  <c r="H383" i="2"/>
  <c r="K364" i="2"/>
  <c r="I364" i="2"/>
  <c r="H364" i="2"/>
  <c r="K345" i="2"/>
  <c r="I345" i="2"/>
  <c r="H345" i="2"/>
  <c r="K326" i="2"/>
  <c r="I326" i="2"/>
  <c r="H326" i="2"/>
  <c r="K307" i="2"/>
  <c r="I307" i="2"/>
  <c r="H307" i="2"/>
  <c r="K288" i="2"/>
  <c r="I288" i="2"/>
  <c r="H288" i="2"/>
  <c r="K269" i="2"/>
  <c r="I269" i="2"/>
  <c r="H269" i="2"/>
  <c r="K250" i="2"/>
  <c r="I250" i="2"/>
  <c r="H250" i="2"/>
  <c r="K231" i="2"/>
  <c r="I231" i="2"/>
  <c r="H231" i="2"/>
  <c r="K212" i="2"/>
  <c r="I212" i="2"/>
  <c r="H212" i="2"/>
  <c r="K193" i="2"/>
  <c r="I193" i="2"/>
  <c r="H193" i="2"/>
  <c r="K174" i="2"/>
  <c r="I174" i="2"/>
  <c r="H174" i="2"/>
  <c r="K155" i="2"/>
  <c r="I155" i="2"/>
  <c r="H155" i="2"/>
  <c r="K135" i="2"/>
  <c r="I135" i="2"/>
  <c r="K116" i="2"/>
  <c r="I116" i="2"/>
  <c r="H116" i="2"/>
  <c r="H135" i="2" s="1"/>
  <c r="K97" i="2"/>
  <c r="I97" i="2"/>
  <c r="H97" i="2"/>
  <c r="K78" i="2"/>
  <c r="I78" i="2"/>
  <c r="H78" i="2"/>
  <c r="K59" i="2"/>
  <c r="I59" i="2"/>
  <c r="H59" i="2"/>
  <c r="K40" i="2"/>
  <c r="I40" i="2"/>
  <c r="H40" i="2"/>
  <c r="A22" i="2"/>
  <c r="A41" i="2" s="1"/>
  <c r="A60" i="2" s="1"/>
  <c r="A79" i="2" s="1"/>
  <c r="A98" i="2" s="1"/>
  <c r="A117" i="2" s="1"/>
  <c r="A136" i="2" s="1"/>
  <c r="A156" i="2" s="1"/>
  <c r="A175" i="2" s="1"/>
  <c r="A194" i="2" s="1"/>
  <c r="A213" i="2" s="1"/>
  <c r="A232" i="2" s="1"/>
  <c r="A251" i="2" s="1"/>
  <c r="A270" i="2" s="1"/>
  <c r="A289" i="2" s="1"/>
  <c r="A308" i="2" s="1"/>
  <c r="A327" i="2" s="1"/>
  <c r="A346" i="2" s="1"/>
  <c r="A365" i="2" s="1"/>
  <c r="A384" i="2" s="1"/>
  <c r="A403" i="2" s="1"/>
  <c r="A422" i="2" s="1"/>
  <c r="A441" i="2" s="1"/>
  <c r="A460" i="2" s="1"/>
  <c r="A479" i="2" s="1"/>
  <c r="A498" i="2" s="1"/>
  <c r="A517" i="2" s="1"/>
  <c r="A536" i="2" s="1"/>
  <c r="A555" i="2" s="1"/>
  <c r="K21" i="2"/>
  <c r="I21" i="2"/>
  <c r="H21" i="2"/>
  <c r="H1238" i="2" l="1"/>
  <c r="H1219" i="2"/>
  <c r="I1219" i="2"/>
  <c r="I1238" i="2" s="1"/>
  <c r="H19" i="8"/>
  <c r="H113" i="8" s="1"/>
  <c r="H11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300-000001000000}">
      <text>
        <r>
          <rPr>
            <sz val="10"/>
            <color rgb="FF000000"/>
            <rFont val="Arial"/>
            <scheme val="minor"/>
          </rPr>
          <t>750#/hr 1/8/20</t>
        </r>
      </text>
    </comment>
  </commentList>
</comments>
</file>

<file path=xl/sharedStrings.xml><?xml version="1.0" encoding="utf-8"?>
<sst xmlns="http://schemas.openxmlformats.org/spreadsheetml/2006/main" count="6832" uniqueCount="2889">
  <si>
    <t xml:space="preserve">                                                                                                                                                                                                   </t>
  </si>
  <si>
    <t>Cust/Job#</t>
  </si>
  <si>
    <t>Size</t>
  </si>
  <si>
    <t>Class/ Desc</t>
  </si>
  <si>
    <t>roll info</t>
  </si>
  <si>
    <t>due date</t>
  </si>
  <si>
    <t>Job#</t>
  </si>
  <si>
    <t>Class</t>
  </si>
  <si>
    <t>Date on run sheet to be 1 day before order due date except for Raybern &amp; 48x68 need more time ahead of order due date</t>
  </si>
  <si>
    <t>Put on schedule 1 day before run sheet date</t>
  </si>
  <si>
    <t>One size per set for Jennerjahn</t>
  </si>
  <si>
    <t>Slitters</t>
  </si>
  <si>
    <t>Sheeters</t>
  </si>
  <si>
    <t>Example do not use</t>
  </si>
  <si>
    <t xml:space="preserve">47237
Stock/Stater bros
17" </t>
  </si>
  <si>
    <t xml:space="preserve">381 40# 
Freezer Ocean Select </t>
  </si>
  <si>
    <t xml:space="preserve">3 or 4 Rolls 
2079# </t>
  </si>
  <si>
    <t>8000 48x68 103468</t>
  </si>
  <si>
    <t>060 40# Bleached Kraft</t>
  </si>
  <si>
    <t>Job #/ cust/ rls</t>
  </si>
  <si>
    <t>size</t>
  </si>
  <si>
    <t>class</t>
  </si>
  <si>
    <t xml:space="preserve">roll info </t>
  </si>
  <si>
    <t>due date (2 days before ship date)</t>
  </si>
  <si>
    <t>51206 Rewind to print Cartwright @ USA</t>
  </si>
  <si>
    <t>010 40# NAT Frzr "L"</t>
  </si>
  <si>
    <t>1 rl 2000# (NO PAPER)</t>
  </si>
  <si>
    <t>Marco - start scheduling for JJ April 6 please</t>
  </si>
  <si>
    <t xml:space="preserve"> </t>
  </si>
  <si>
    <t>time</t>
  </si>
  <si>
    <t># of ROLLS/ Wt</t>
  </si>
  <si>
    <t>Due Date</t>
  </si>
  <si>
    <t>WT to RUN</t>
  </si>
  <si>
    <t>Time</t>
  </si>
  <si>
    <t>Available</t>
  </si>
  <si>
    <t>Stater Bros</t>
  </si>
  <si>
    <t>S&amp;F</t>
  </si>
  <si>
    <t>Lakeshore  60" 850#/hr</t>
  </si>
  <si>
    <t>1 rl per hr+ 10 mins to chg rolls</t>
  </si>
  <si>
    <t>Training Rolls-Eric</t>
  </si>
  <si>
    <t>Shaft change over</t>
  </si>
  <si>
    <t>Jennerjahn 73" (5 KNIVES)</t>
  </si>
  <si>
    <t>Up size add 30 mins</t>
  </si>
  <si>
    <t>Down size add 1 hr.</t>
  </si>
  <si>
    <t>3900#  1-1/2 hrs to run</t>
  </si>
  <si>
    <t xml:space="preserve"> No Boxed (Prem) rls at night</t>
  </si>
  <si>
    <t>MAX 14 RLS PER DAY</t>
  </si>
  <si>
    <t>No Time</t>
  </si>
  <si>
    <t>Albertson</t>
  </si>
  <si>
    <t>30" L</t>
  </si>
  <si>
    <t>plus 10 mins to change rolls</t>
  </si>
  <si>
    <t>14 rls in 16 hrs</t>
  </si>
  <si>
    <t>⬇️</t>
  </si>
  <si>
    <t>USE 14-3/4 SHRINK FILM</t>
  </si>
  <si>
    <t>6:00 AM</t>
  </si>
  <si>
    <t>New Year Holiday</t>
  </si>
  <si>
    <t>Friday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</si>
  <si>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</si>
  <si>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</si>
  <si>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</si>
  <si>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</si>
  <si>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</si>
  <si>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</si>
  <si>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</si>
  <si>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</si>
  <si>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</si>
  <si>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</si>
  <si>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</si>
  <si>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</si>
  <si>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50917 Stock 12" 24" 141412 141424 use 2196#</t>
  </si>
  <si>
    <t>015 40# Kraft</t>
  </si>
  <si>
    <t>1 rl 2196#</t>
  </si>
  <si>
    <t>Monday</t>
  </si>
  <si>
    <t>50905 American Paper 24" 18" 121325 121801</t>
  </si>
  <si>
    <t xml:space="preserve">007 45# Frzr </t>
  </si>
  <si>
    <t>1 rl 2205#</t>
  </si>
  <si>
    <t>1/5 ships 1/7</t>
  </si>
  <si>
    <t>50933 Advance 18" 141417 141452 use 3166#</t>
  </si>
  <si>
    <t>1 rl 3166#</t>
  </si>
  <si>
    <t>50915 Armstrong / Stock 18" 24" 121926 121999 121925 use 3578#</t>
  </si>
  <si>
    <t>1 rl 3578#</t>
  </si>
  <si>
    <t>1/5 ships 1/10</t>
  </si>
  <si>
    <t>50897 Stock 18" 141418 use 3256#</t>
  </si>
  <si>
    <t>1 rl 3256#</t>
  </si>
  <si>
    <t>50907 Heritage - Tecate 24" 141324K</t>
  </si>
  <si>
    <t>014 30# Kraft</t>
  </si>
  <si>
    <t>2 rls 6482#</t>
  </si>
  <si>
    <t xml:space="preserve">use 3228# 3254# </t>
  </si>
  <si>
    <t>3 rls 9700#</t>
  </si>
  <si>
    <t>ships 1/6</t>
  </si>
  <si>
    <t>50908 Stock 18" 141518 use 3100#</t>
  </si>
  <si>
    <t>016 50# Kraft</t>
  </si>
  <si>
    <t>1 rl 3100#</t>
  </si>
  <si>
    <t>50916 Stock 36" 141331 use 2278#</t>
  </si>
  <si>
    <t>1 rl 2278#</t>
  </si>
  <si>
    <t>50868 Stater Bros 17" 121058</t>
  </si>
  <si>
    <t>381 40# Frzr Ocean Select</t>
  </si>
  <si>
    <t>3 rls 6881#</t>
  </si>
  <si>
    <t xml:space="preserve">use 2337# 2302# 2242# </t>
  </si>
  <si>
    <t xml:space="preserve">50928 Montroy / Stock 48" 101537 101548 </t>
  </si>
  <si>
    <t>004 50# Wht Butcher</t>
  </si>
  <si>
    <t xml:space="preserve">2 rls 3823# </t>
  </si>
  <si>
    <t>Tuesday</t>
  </si>
  <si>
    <t xml:space="preserve">use 1927# 1896# </t>
  </si>
  <si>
    <t>ships 1/7</t>
  </si>
  <si>
    <t>50357 GVH Distr. 17" 101380</t>
  </si>
  <si>
    <t>087 35# Bleached Kraft</t>
  </si>
  <si>
    <t>8 rls 21921#</t>
  </si>
  <si>
    <t xml:space="preserve">USE 2725# 2743# 2751# 2732# 2736# 2751# 2743# 2740# </t>
  </si>
  <si>
    <t>50899 Advance stk 36" 24" 141474 141452</t>
  </si>
  <si>
    <t>3 rls 7895#</t>
  </si>
  <si>
    <t xml:space="preserve">use 2630# 2641# 2624# </t>
  </si>
  <si>
    <t>50914 Stock 30" 101530 use 2443#</t>
  </si>
  <si>
    <t>1 rl 2443#</t>
  </si>
  <si>
    <t>50961 Albertson's PRTD 17" 121077</t>
  </si>
  <si>
    <t>102 40# "Albertson's PRTD"</t>
  </si>
  <si>
    <t xml:space="preserve">7 rls 25158# </t>
  </si>
  <si>
    <t>Wednesday</t>
  </si>
  <si>
    <t xml:space="preserve">use 3807# 3580# 3578# 3523# 3560# 3545# 3565# </t>
  </si>
  <si>
    <t>1328 rls</t>
  </si>
  <si>
    <t>50911 Area Stk 17" 121059</t>
  </si>
  <si>
    <t>330 45# Lunardi's Frzr</t>
  </si>
  <si>
    <t>2 rls 3851#</t>
  </si>
  <si>
    <t>use 2138# 1713#</t>
  </si>
  <si>
    <t>50926 Stock 18" 121123 use 2132#</t>
  </si>
  <si>
    <t>093 35# Valu Wht Frzr</t>
  </si>
  <si>
    <t>1 rl 2132#</t>
  </si>
  <si>
    <t>/</t>
  </si>
  <si>
    <t xml:space="preserve">50929 Stock 30" 141330 </t>
  </si>
  <si>
    <t>2 rls 5086#</t>
  </si>
  <si>
    <t xml:space="preserve">use 2707# 2379# </t>
  </si>
  <si>
    <t xml:space="preserve">50954 Coast / Stk 15" 20" 18" 24" 141515 141520 141518 141524 use 2659# </t>
  </si>
  <si>
    <t>1 rl 2659#</t>
  </si>
  <si>
    <t xml:space="preserve">50902 Stock 18" 101421 use 3889# </t>
  </si>
  <si>
    <t xml:space="preserve">1 rl 3889# </t>
  </si>
  <si>
    <t xml:space="preserve">50956 Johnson Sales 12" 141312 141324 </t>
  </si>
  <si>
    <t>1+3 part 5471</t>
  </si>
  <si>
    <t>Thursday</t>
  </si>
  <si>
    <t xml:space="preserve">use 1090# 1125# 1080# 2176# </t>
  </si>
  <si>
    <t>ships 11/10</t>
  </si>
  <si>
    <t>086 39/5 Prem Frzr</t>
  </si>
  <si>
    <t>1 rl 2200#</t>
  </si>
  <si>
    <t>1/7 ships 1/7</t>
  </si>
  <si>
    <t>1 rl 2288#</t>
  </si>
  <si>
    <t>50934 Stock 18" 141418 use 3166#</t>
  </si>
  <si>
    <t>50867 Stater Bros 16" 101443</t>
  </si>
  <si>
    <t>063 40# Wht Butcher</t>
  </si>
  <si>
    <t>9 rls 26992#</t>
  </si>
  <si>
    <t>use 3369# 3212# 3413# 3384# 3320# 3377# 3366# 3406#</t>
  </si>
  <si>
    <t>1184 rls</t>
  </si>
  <si>
    <t>50927 Stock 18" 121118 use 3371#</t>
  </si>
  <si>
    <t>006 40# Frzr</t>
  </si>
  <si>
    <t>1 rl 3371#</t>
  </si>
  <si>
    <t>50960 Albertson's 17" 121117</t>
  </si>
  <si>
    <t>005 40# Poly Kraft</t>
  </si>
  <si>
    <t xml:space="preserve">6 rls 21517# </t>
  </si>
  <si>
    <t>use 3530# 3629# 3600# 3600# 3609# 3549#</t>
  </si>
  <si>
    <t>1140 rls</t>
  </si>
  <si>
    <t>50979 Stock 18" 141418</t>
  </si>
  <si>
    <t>2 rls 6324#</t>
  </si>
  <si>
    <t>3219# 3153#</t>
  </si>
  <si>
    <t>50547 Focus 18" 121063</t>
  </si>
  <si>
    <t>337 47# "Meat Mkt w/ Safe"</t>
  </si>
  <si>
    <t xml:space="preserve">6 rls 10607# </t>
  </si>
  <si>
    <t>1/14/22 ships 1/12/22</t>
  </si>
  <si>
    <t xml:space="preserve">use 1755# 1788# 1777# 1786# 1786# 1715# </t>
  </si>
  <si>
    <t>Hood 32136# Due 1/14</t>
  </si>
  <si>
    <t>cont. 50547</t>
  </si>
  <si>
    <t>50980 Johnson / Stock 12" 141312</t>
  </si>
  <si>
    <t>2 rls 4363#</t>
  </si>
  <si>
    <t>use 2189# 2174#</t>
  </si>
  <si>
    <t>50963 Albertson's Stk 17" 121340</t>
  </si>
  <si>
    <t>520 35# Responsible Choice</t>
  </si>
  <si>
    <t>3 rls 8093#</t>
  </si>
  <si>
    <t>1/19</t>
  </si>
  <si>
    <t xml:space="preserve">use 2718# 2736# 2639# </t>
  </si>
  <si>
    <t>50931 Advance 36" 1415188 141536 use 3104#</t>
  </si>
  <si>
    <t>1 rl 3104#</t>
  </si>
  <si>
    <t>ships 1/13</t>
  </si>
  <si>
    <t>50955 Stock 36" 141436</t>
  </si>
  <si>
    <t>2 rls 6351#</t>
  </si>
  <si>
    <t xml:space="preserve">use 3148# 3203# </t>
  </si>
  <si>
    <t>50990 American Paper / Stk 24" 18" 121325 121803 121801 use 2269#</t>
  </si>
  <si>
    <t>1 rl 2269#</t>
  </si>
  <si>
    <t>1/13 ships 1/14</t>
  </si>
  <si>
    <t>50999 Moresco 17" 121012 use 1296#</t>
  </si>
  <si>
    <t>343 Mollie Stone Black</t>
  </si>
  <si>
    <t>1 rl 1296#</t>
  </si>
  <si>
    <t>1/14 ships 1/18</t>
  </si>
  <si>
    <t>50997 Moresco 17" 121346 use 1424#</t>
  </si>
  <si>
    <t>128 40# Berkeley Bowl "L"</t>
  </si>
  <si>
    <t>1 rl 1424#</t>
  </si>
  <si>
    <t>50962Albertson's PRTD 17" 121077</t>
  </si>
  <si>
    <t xml:space="preserve">6 rls 17016# </t>
  </si>
  <si>
    <t>use 2468# 3580# 3375# 3287# 3574# 732#</t>
  </si>
  <si>
    <t>50957 Stock 24" 141324</t>
  </si>
  <si>
    <t>3 rls 9687#</t>
  </si>
  <si>
    <t xml:space="preserve">use 2890# 2804# 2894# </t>
  </si>
  <si>
    <t>50770 Armstrong 18" 121065</t>
  </si>
  <si>
    <t>341 45# Poly Kraft Mill Valley</t>
  </si>
  <si>
    <t>2 rls 2104#</t>
  </si>
  <si>
    <t>1/12/22 ships 1/17</t>
  </si>
  <si>
    <t>use 741# 743# 588#</t>
  </si>
  <si>
    <t>50958 Area Stk 18" 121718 121801</t>
  </si>
  <si>
    <t>007 45# Frzr</t>
  </si>
  <si>
    <t>3+1 part 4131#</t>
  </si>
  <si>
    <t>use 780# 1133# 1109# 1109#</t>
  </si>
  <si>
    <t>50950 Bunzl 17" 121341 use 3750#</t>
  </si>
  <si>
    <t>220 43# Gelson's NAT Frzr</t>
  </si>
  <si>
    <t>1 rl 3750#</t>
  </si>
  <si>
    <t>50920 CD Foodservice 30" 121130 15" 121115</t>
  </si>
  <si>
    <t>8 rls 21924#</t>
  </si>
  <si>
    <t>use 2756# 2760# 2771# 2698# 2729# 2745# 2756# 2709#</t>
  </si>
  <si>
    <t>570 rls</t>
  </si>
  <si>
    <t>50896 Orora 24" 182257 use 1825# RUN SHEET ON VOOR#2</t>
  </si>
  <si>
    <t>040 30/36 Dry Wax</t>
  </si>
  <si>
    <t>1 rl 1800#</t>
  </si>
  <si>
    <t>1/11/22 ships 1/14</t>
  </si>
  <si>
    <t>50995 QSI 48" 141551</t>
  </si>
  <si>
    <t>2 rls 4153#</t>
  </si>
  <si>
    <t>use 2092# 2061#</t>
  </si>
  <si>
    <t>ships 1/20</t>
  </si>
  <si>
    <t xml:space="preserve">50986 Superio/Stk 24" 101524 </t>
  </si>
  <si>
    <t>2 rls 3807#</t>
  </si>
  <si>
    <t>use 1896# 1911#</t>
  </si>
  <si>
    <t>ships 1/21</t>
  </si>
  <si>
    <t>50993 E&amp;E Global 24" 141320</t>
  </si>
  <si>
    <t>2 rls 4497#</t>
  </si>
  <si>
    <t>use 2233# 2264#</t>
  </si>
  <si>
    <t>50949 Bunzl 17" 121003</t>
  </si>
  <si>
    <t>318 40# "Lazy Acres" NAT Frzr "L"</t>
  </si>
  <si>
    <t>4 rls 5904#</t>
  </si>
  <si>
    <t xml:space="preserve">use 1585# 1462# 1448# 1409# </t>
  </si>
  <si>
    <t>ships 1/24</t>
  </si>
  <si>
    <t>50951 Bunzl 17" 121017</t>
  </si>
  <si>
    <t xml:space="preserve">126 40# "Bristol Farms" </t>
  </si>
  <si>
    <t>3 rls 4969#</t>
  </si>
  <si>
    <t xml:space="preserve">use 1689# 1640# 1640# </t>
  </si>
  <si>
    <t>50932 Advance 30" 141429</t>
  </si>
  <si>
    <t>2 rls 5265#</t>
  </si>
  <si>
    <t>use 2641# 2624#</t>
  </si>
  <si>
    <t>50606 GVH 17" 101380</t>
  </si>
  <si>
    <t>7 rls 30000#</t>
  </si>
  <si>
    <t>1/17/22 ships  1/20</t>
  </si>
  <si>
    <t>use 2767# 2749# 2765# 2784# 2703# 2756# 2773# 2690# 2707# 2767# 2784#</t>
  </si>
  <si>
    <t>May run last jumbo</t>
  </si>
  <si>
    <t xml:space="preserve">Contacting Cust. </t>
  </si>
  <si>
    <t>50607 GVH 18" 101417</t>
  </si>
  <si>
    <t>002 40# Wht Butcher</t>
  </si>
  <si>
    <t>3 rls 10500#</t>
  </si>
  <si>
    <t xml:space="preserve">use 3644 3635# 3649# </t>
  </si>
  <si>
    <t>FIXING JENNERJAHN HEAT TUNNEL</t>
  </si>
  <si>
    <t>50969 Stock 18" 101418</t>
  </si>
  <si>
    <t>002 40# wht Butcher</t>
  </si>
  <si>
    <t>3 rls 5562#</t>
  </si>
  <si>
    <t>use 1858# 1883# 1821#</t>
  </si>
  <si>
    <t xml:space="preserve">50984 Y&amp;S / Stk 18" 102428 102417 102418 </t>
  </si>
  <si>
    <t>003 40# Pink Butcher</t>
  </si>
  <si>
    <t>3 rls 5253#</t>
  </si>
  <si>
    <t>1/17 ships 1/19</t>
  </si>
  <si>
    <t>Demetrio not here</t>
  </si>
  <si>
    <t xml:space="preserve">NO JennerJahn </t>
  </si>
  <si>
    <t>50998 Area Stk 17" 121059</t>
  </si>
  <si>
    <t>3 rls 5071#</t>
  </si>
  <si>
    <t>use 1649# 1711# 1711#</t>
  </si>
  <si>
    <t>50988 IFS/CD Foodservice / Stk 15" 20" 30" 121115 121120 121130</t>
  </si>
  <si>
    <t>006 40# Frzr "L"</t>
  </si>
  <si>
    <t>4 rls 10997#</t>
  </si>
  <si>
    <t>use 2760# 2756# 2705# 2776#</t>
  </si>
  <si>
    <t>ships 1/25</t>
  </si>
  <si>
    <t>50996 Stk 18" 101473 use 3865#</t>
  </si>
  <si>
    <t>060 40# Wht Bleached Kraft</t>
  </si>
  <si>
    <t>1 rl 3865#</t>
  </si>
  <si>
    <t>50970 Stock 18" 121918 use 2410#</t>
  </si>
  <si>
    <t xml:space="preserve">009 45# Nat Frzr </t>
  </si>
  <si>
    <t>1 rl 2410#</t>
  </si>
  <si>
    <t>51023 Advance / Stk 36" 141474</t>
  </si>
  <si>
    <t>2 rls 6292#</t>
  </si>
  <si>
    <t xml:space="preserve">use 3137# 3155# </t>
  </si>
  <si>
    <t xml:space="preserve">50982 Stock 18" 101418 101419Sf </t>
  </si>
  <si>
    <t>002 40# Wht butcher</t>
  </si>
  <si>
    <t xml:space="preserve">2 rls 7279# </t>
  </si>
  <si>
    <t>use 3644# 3635#</t>
  </si>
  <si>
    <t>50985 S&amp;F Stk 18" 36" 101517SF 101536</t>
  </si>
  <si>
    <t>2 rls 4246#</t>
  </si>
  <si>
    <t>use 2130# 2116#</t>
  </si>
  <si>
    <t>50981 S&amp;F Stk 15" 30" 101413SF 101415 101431 use 3236#</t>
  </si>
  <si>
    <t>1 rl 3236#</t>
  </si>
  <si>
    <t xml:space="preserve">50987 Bunzl 17" 121114 </t>
  </si>
  <si>
    <t>3 rls 9737#</t>
  </si>
  <si>
    <t>use 3256# 3258# 3223#</t>
  </si>
  <si>
    <t>086 44# Prem Frzr</t>
  </si>
  <si>
    <t>1 rl 2242#</t>
  </si>
  <si>
    <t>51025 Heritage - Tecate 24" 141324K</t>
  </si>
  <si>
    <t>2 rls 6600#</t>
  </si>
  <si>
    <t xml:space="preserve">51024 Stock 18" 141418 </t>
  </si>
  <si>
    <t>2 rls 6340#</t>
  </si>
  <si>
    <t>use 3172# 3168#</t>
  </si>
  <si>
    <t>ships 2/3</t>
  </si>
  <si>
    <t>51009 Albertson's 17" 121117</t>
  </si>
  <si>
    <t>005 40# Poly Kraft "Plain"</t>
  </si>
  <si>
    <t xml:space="preserve">9 rls 31140# </t>
  </si>
  <si>
    <t>use 3569# 3261# 3576# 3576# 3095# 3267# 3580# 3587# 3629#</t>
  </si>
  <si>
    <t>1648 rls</t>
  </si>
  <si>
    <t xml:space="preserve">50992 Stk 18" 121926 121999 </t>
  </si>
  <si>
    <t>010 NAT Frzr "L"</t>
  </si>
  <si>
    <t>2 rls 4325#</t>
  </si>
  <si>
    <t>USE 3349# 976#</t>
  </si>
  <si>
    <t>51021 Stock 24" 141524 use 2015#</t>
  </si>
  <si>
    <t>1 rl 2015#</t>
  </si>
  <si>
    <t xml:space="preserve">51032 Stock 48" 101548 use 1900# </t>
  </si>
  <si>
    <t>1 rl 1900#</t>
  </si>
  <si>
    <t xml:space="preserve">51031 Stock 30" 18" 48" 101431 101418 101448 </t>
  </si>
  <si>
    <t xml:space="preserve">2 rls 4694# </t>
  </si>
  <si>
    <t>use 2257# 2427#</t>
  </si>
  <si>
    <t>51014 Albertson's 17" 121340</t>
  </si>
  <si>
    <t xml:space="preserve">520 35# Responsible Choice </t>
  </si>
  <si>
    <t xml:space="preserve">2 rls 5242# </t>
  </si>
  <si>
    <t xml:space="preserve">use 2577# 2665# </t>
  </si>
  <si>
    <t>315 rls</t>
  </si>
  <si>
    <t>51015 Albertson's 17" 121340</t>
  </si>
  <si>
    <t xml:space="preserve">3 rls 7500# </t>
  </si>
  <si>
    <t>453 rls</t>
  </si>
  <si>
    <t>51008 Stock 18" 121123 use 2178#</t>
  </si>
  <si>
    <t>1 rl 2178#</t>
  </si>
  <si>
    <t>51022 Stock 30" 141530 use 2582#</t>
  </si>
  <si>
    <t>1 rl 2582#</t>
  </si>
  <si>
    <t>51044 Unipack Trading 12" Center Pull 141339 use 1500#</t>
  </si>
  <si>
    <t>1 part 1500#</t>
  </si>
  <si>
    <t>takes 2.5 hrs</t>
  </si>
  <si>
    <t>RUN ON SLITTER #1</t>
  </si>
  <si>
    <t>51016 Stater Bros 16" 101443</t>
  </si>
  <si>
    <t>063 38# Wht Butcher</t>
  </si>
  <si>
    <t xml:space="preserve">11 rls 37103# </t>
  </si>
  <si>
    <t>1/26</t>
  </si>
  <si>
    <t xml:space="preserve">use 3347# 3364# 3373# 3424# 3364# 3386# 3406# 3353# 3338# 3362# 3386# </t>
  </si>
  <si>
    <t>1628 rls</t>
  </si>
  <si>
    <t>51018 Stater Bros 17" 121058</t>
  </si>
  <si>
    <t xml:space="preserve">3 rls 7481# </t>
  </si>
  <si>
    <t xml:space="preserve">use 2787# 2240# 2454# </t>
  </si>
  <si>
    <t>396 rls</t>
  </si>
  <si>
    <t>\</t>
  </si>
  <si>
    <t>51012 Albertson's 17" 121077</t>
  </si>
  <si>
    <t>102 40# "Albertson's Prtd"</t>
  </si>
  <si>
    <t xml:space="preserve">10 rls 34420# </t>
  </si>
  <si>
    <t>takes 1.5 per jumbo</t>
  </si>
  <si>
    <t xml:space="preserve">use 3580# 3287# 3457# 3552# 3675# 3395# 3567# 2654# 3642# 3611# </t>
  </si>
  <si>
    <t>1820 rls</t>
  </si>
  <si>
    <t>bc jumbos big</t>
  </si>
  <si>
    <t>DOWN TIME TO FIX BELTS ON CONVERYER</t>
  </si>
  <si>
    <t>51040 Stk 24" 141424</t>
  </si>
  <si>
    <t>015 40# kraft</t>
  </si>
  <si>
    <t>5 rls 16112#</t>
  </si>
  <si>
    <t>use 3172# 3159# 3265# 3236# 3280#</t>
  </si>
  <si>
    <t xml:space="preserve">51039 Stk 24" 36" 141324 141331 </t>
  </si>
  <si>
    <t>4 rls 11624#</t>
  </si>
  <si>
    <t>use 2894# 3036# 3048# 3040#</t>
  </si>
  <si>
    <t>50565 Central Bag 18" 121101</t>
  </si>
  <si>
    <t>008 40/7 White Freezer</t>
  </si>
  <si>
    <t xml:space="preserve">4 rls 9600# </t>
  </si>
  <si>
    <t>1/11/22 ships 1/18</t>
  </si>
  <si>
    <t>use 2445# 2460# 2440# 2553#</t>
  </si>
  <si>
    <t>51056 Bunzl 17" 121039</t>
  </si>
  <si>
    <t>100 40# AJ's</t>
  </si>
  <si>
    <t>2 rls 4500#</t>
  </si>
  <si>
    <t>use 2348# 2152#</t>
  </si>
  <si>
    <t>ships 2/2</t>
  </si>
  <si>
    <t>51045 S&amp;F Stk 15" 101413SF use 3056#</t>
  </si>
  <si>
    <t>1 rl 3056#</t>
  </si>
  <si>
    <t>50912 Stock 15" 20" 121151 121154 RUN DAY BOXES NEEDED</t>
  </si>
  <si>
    <t>3 rls 6058#</t>
  </si>
  <si>
    <t>use 1984# 2046# 2028#</t>
  </si>
  <si>
    <t xml:space="preserve">51048 Stock 30" 141430 </t>
  </si>
  <si>
    <t>2 rls 5271#</t>
  </si>
  <si>
    <t>use 2617# 2654#</t>
  </si>
  <si>
    <t>51075 Albert/ Stk 18" 121326 121153 121335 use 3627# RUN DAY BOXES</t>
  </si>
  <si>
    <t>1 rl 3627#</t>
  </si>
  <si>
    <t>51067 Stock 36" 141336</t>
  </si>
  <si>
    <t>3 rls 9900#</t>
  </si>
  <si>
    <t xml:space="preserve">51035 Stock 24" 121803 2330# </t>
  </si>
  <si>
    <t>1 rl 2330#</t>
  </si>
  <si>
    <t xml:space="preserve">50989 Stock 18" 24" 121118 121124 </t>
  </si>
  <si>
    <t>3 rls 8167#</t>
  </si>
  <si>
    <t>use 3100# 2430# 2637#</t>
  </si>
  <si>
    <t>51080 Stock 36" 141536 use 3097#</t>
  </si>
  <si>
    <t>1 rl 3097#</t>
  </si>
  <si>
    <t>51068 Saveway/Stk 48" 24" 141410 141424 use 2143#</t>
  </si>
  <si>
    <t>1 rl 2143#</t>
  </si>
  <si>
    <t>1/21 ships 2/1</t>
  </si>
  <si>
    <t>51074 Stock 48" 141538</t>
  </si>
  <si>
    <t>2 rls 4205#</t>
  </si>
  <si>
    <t>use 2086# 2119#</t>
  </si>
  <si>
    <t>51076 Area Stk 17" 121059</t>
  </si>
  <si>
    <t xml:space="preserve">2 + 2 part 6117# </t>
  </si>
  <si>
    <t>use 1413# 1326# 1687# 1691#</t>
  </si>
  <si>
    <t>51083 Moresco 17" 121346 use 1799#</t>
  </si>
  <si>
    <t>128 40# "Berkeley Bowl "L"</t>
  </si>
  <si>
    <t>1 rl 1799#</t>
  </si>
  <si>
    <t>51082 Moresco 17" 121012 use 1523#</t>
  </si>
  <si>
    <t>343 45# Mollie Stone</t>
  </si>
  <si>
    <t>1 rl 1523#</t>
  </si>
  <si>
    <t>51066 Stock 30" 141330</t>
  </si>
  <si>
    <t>2 rls 5557#</t>
  </si>
  <si>
    <t>use 2773# 2784#</t>
  </si>
  <si>
    <t xml:space="preserve">51043 Stock 18" 36" 141318 141336 </t>
  </si>
  <si>
    <t>4 rls 11892# (From Prime)</t>
  </si>
  <si>
    <t>use 3040# 3030# 2912# 2910#</t>
  </si>
  <si>
    <t>51052 Stk / IFS 18" 121801 12131 use 2055#</t>
  </si>
  <si>
    <t>1 rl 2055#</t>
  </si>
  <si>
    <t>51059 Stock 18" 121119 use 2985#</t>
  </si>
  <si>
    <t>1 rl 2985#</t>
  </si>
  <si>
    <t>51065 Stock 18" 121918 use 1609#</t>
  </si>
  <si>
    <t>009 45# Nat Frzr</t>
  </si>
  <si>
    <t>1 rl 1609#</t>
  </si>
  <si>
    <t>51011 Albertson's 17" 121117</t>
  </si>
  <si>
    <t xml:space="preserve">10 rls 36117# </t>
  </si>
  <si>
    <t>use 3622# 3640# 3655# 3633# 3569# 3558# 3644# 3721# 3600# 3600#</t>
  </si>
  <si>
    <t>1340 rls</t>
  </si>
  <si>
    <t>per jumbos</t>
  </si>
  <si>
    <t>51100 Oak/Stock 48" 12" 141348 141312 use 2233#</t>
  </si>
  <si>
    <t>1 rl 2233#</t>
  </si>
  <si>
    <t xml:space="preserve">2 rls 4760# </t>
  </si>
  <si>
    <t xml:space="preserve">use 2390# 2370# </t>
  </si>
  <si>
    <t>ships 2/4</t>
  </si>
  <si>
    <t>51093 American Cups/ Stk 18" 102417 102428</t>
  </si>
  <si>
    <t xml:space="preserve">2 rls 3458# </t>
  </si>
  <si>
    <t xml:space="preserve">use 1713# 1745# </t>
  </si>
  <si>
    <t>51102 Stock 15" 30" 141415 141430 use 2668#</t>
  </si>
  <si>
    <t>1 rl 2668#</t>
  </si>
  <si>
    <t>51103 Stock 30" 141530 use 2564#</t>
  </si>
  <si>
    <t>1 rl 2564#</t>
  </si>
  <si>
    <t>51030 Stock 18" 101421 use 3871#</t>
  </si>
  <si>
    <t>1 rl 3871#</t>
  </si>
  <si>
    <t>51055 Stock 36" 141436</t>
  </si>
  <si>
    <t>2 rls 6490#</t>
  </si>
  <si>
    <t xml:space="preserve">use 3247# 3243# </t>
  </si>
  <si>
    <t>Demetrio to help cut after JOB#51055</t>
  </si>
  <si>
    <t>51101 Heritage - Tecate 24" 141324K</t>
  </si>
  <si>
    <t>014 30# kraft</t>
  </si>
  <si>
    <t>061 50# Bleached Butcher</t>
  </si>
  <si>
    <t>1+1part 4419# (2800#)</t>
  </si>
  <si>
    <t xml:space="preserve">use 1286# 3133# </t>
  </si>
  <si>
    <t>51113 Stock 18" 141518 use 3104#</t>
  </si>
  <si>
    <t>51054 KHL / Stk 24" 36" 141324 141331</t>
  </si>
  <si>
    <t>4 rls 11003#</t>
  </si>
  <si>
    <t xml:space="preserve">use 3030# 2912# 2910# 2151# </t>
  </si>
  <si>
    <t>cont 51054</t>
  </si>
  <si>
    <t>50840 Armstrong 18" 24" 121044 121045</t>
  </si>
  <si>
    <t>024 33/5 Red Frzr</t>
  </si>
  <si>
    <t>1 rl 4000#</t>
  </si>
  <si>
    <t>1/31/22 ships 2/7/22</t>
  </si>
  <si>
    <t>Owens 32436 Due 1/24</t>
  </si>
  <si>
    <t>ships 2/10</t>
  </si>
  <si>
    <t>51085 CD Foodservice / Stk 30" 121130</t>
  </si>
  <si>
    <t>6 + 2part rls 18778#</t>
  </si>
  <si>
    <t xml:space="preserve">use 2831# 2727# 2758# 2747# 2679# 2661# </t>
  </si>
  <si>
    <t>use 4083#</t>
  </si>
  <si>
    <t xml:space="preserve">51120 Stock 15" 121995 </t>
  </si>
  <si>
    <t>2 part 2683#</t>
  </si>
  <si>
    <t>use 1071# 1612#</t>
  </si>
  <si>
    <t>51121 Stock 18" 121999 use 3205#</t>
  </si>
  <si>
    <t>010 40# NAT Frzr "L'</t>
  </si>
  <si>
    <t>1 rl 3205#</t>
  </si>
  <si>
    <t>51089 Advance 18" 141417</t>
  </si>
  <si>
    <t>1 rl 3230#</t>
  </si>
  <si>
    <t>OPERATOR - PLACE PALLET TAG (FOR ADVANCE NOT STOCK)</t>
  </si>
  <si>
    <t>51072 S&amp;F Stk 18" 101419SF use 3671#</t>
  </si>
  <si>
    <t>1 rl 3671#</t>
  </si>
  <si>
    <t>51061 Albertson's 17" 121340</t>
  </si>
  <si>
    <t>3 rls 8474#</t>
  </si>
  <si>
    <t>1.5 per jumbo</t>
  </si>
  <si>
    <t xml:space="preserve">use 2842# 2826# 2806# </t>
  </si>
  <si>
    <t>510 RLS</t>
  </si>
  <si>
    <t>51073 S&amp;F Stk 18" 101517SF</t>
  </si>
  <si>
    <t>2 rls 4284#</t>
  </si>
  <si>
    <t>use 2134# 2150#</t>
  </si>
  <si>
    <t xml:space="preserve">51071 S&amp;F Stk 15" 101413SF use 3053# </t>
  </si>
  <si>
    <t>1 rl 3053#</t>
  </si>
  <si>
    <t>51064 Stock 30" 101431 use 3025#</t>
  </si>
  <si>
    <t>1 rl 3025#</t>
  </si>
  <si>
    <t>51088 Stock 17" 121116 use 3585#</t>
  </si>
  <si>
    <t>005 40# NAT Frzr "L"</t>
  </si>
  <si>
    <t>1 rl 3585#</t>
  </si>
  <si>
    <t xml:space="preserve">51118 Stock 24" 141424 </t>
  </si>
  <si>
    <t>4 rls 12975#</t>
  </si>
  <si>
    <t xml:space="preserve">use 3243# 3230# 3261# 3241# </t>
  </si>
  <si>
    <t>51128 Blower Dempsay 24" 36" 141537 141536 use 3097#</t>
  </si>
  <si>
    <t>51099 Stock 18" 121801 use 2244#</t>
  </si>
  <si>
    <t>1 rl 2244#</t>
  </si>
  <si>
    <t>51122 Stock 18" 24" 141518 141524 use 3200#</t>
  </si>
  <si>
    <t>1 rl 3200#</t>
  </si>
  <si>
    <t>51094 Stock 18" 24" 101418 101428 use 3686#</t>
  </si>
  <si>
    <t>1 rl 3686#</t>
  </si>
  <si>
    <t>51060 Albertson's 17" 121117</t>
  </si>
  <si>
    <t xml:space="preserve">  </t>
  </si>
  <si>
    <t>8 rls 28600#</t>
  </si>
  <si>
    <t>use 3556# 3552# 3536# 3466# 3541# 3563# 3545# 3541#</t>
  </si>
  <si>
    <t>1496 rls</t>
  </si>
  <si>
    <t>takes .5 b/c size of jumbos</t>
  </si>
  <si>
    <t>51096 Stock 18" 121119</t>
  </si>
  <si>
    <t xml:space="preserve">1+1 part 4057# </t>
  </si>
  <si>
    <t>use 1200# 2857#</t>
  </si>
  <si>
    <t>50922 IPS 17.5" 141419</t>
  </si>
  <si>
    <t xml:space="preserve">10 rls 24500# </t>
  </si>
  <si>
    <t>1/26/22 ships 2/14</t>
  </si>
  <si>
    <t>use 2269# 2302# 2275# 2381# 2280# 2280# 2286# 2295# 2273# 2284# 2372#</t>
  </si>
  <si>
    <t>Box 989150 18x12x12</t>
  </si>
  <si>
    <t>cont. 50922</t>
  </si>
  <si>
    <t>51062 Stater Bros 16" 101443</t>
  </si>
  <si>
    <t>8 rls 26801#</t>
  </si>
  <si>
    <t>use 3362# 3342# 3373# 3395# 3371# 3355# 3380# 3223#</t>
  </si>
  <si>
    <t>1176 RLS</t>
  </si>
  <si>
    <t>51129 Katzke / Stock 48" 12" 141348 141312 use 2264#</t>
  </si>
  <si>
    <t>1 rl 2264#</t>
  </si>
  <si>
    <t>51095 Stock 15" 18" 48" 101415 101418 101448 use 2141#</t>
  </si>
  <si>
    <t>1 rl 2141#</t>
  </si>
  <si>
    <t>51097 Stock 18" 121123 use 2165#</t>
  </si>
  <si>
    <t>1 rl 2165#</t>
  </si>
  <si>
    <t>51142 S&amp;F Stk 18" 101517SF</t>
  </si>
  <si>
    <t>2 rls 4347#</t>
  </si>
  <si>
    <t>use 2202# 2145#</t>
  </si>
  <si>
    <t>1 rl 1492#</t>
  </si>
  <si>
    <t>086 39/5# Prem Frzr</t>
  </si>
  <si>
    <t>1 rl 2187#</t>
  </si>
  <si>
    <t xml:space="preserve">51139 Stock 36" 141436 </t>
  </si>
  <si>
    <t xml:space="preserve">2 rl 6426# </t>
  </si>
  <si>
    <t>CAT 32529 Due 2/9</t>
  </si>
  <si>
    <t>51143 Stock 36" 141336</t>
  </si>
  <si>
    <t>DEMETRIO CUT HALF DAY</t>
  </si>
  <si>
    <t>51145 Stater Bros 17" 121058</t>
  </si>
  <si>
    <t>381 40# Frezr "Ocean Select"</t>
  </si>
  <si>
    <t xml:space="preserve">4 rls 9401# </t>
  </si>
  <si>
    <t xml:space="preserve">use 2368# 2359# 2337# 2337# </t>
  </si>
  <si>
    <t>50921 IPS 24" 101480</t>
  </si>
  <si>
    <t>026 40# NAT Butcher</t>
  </si>
  <si>
    <t xml:space="preserve">3+1 part 6687## </t>
  </si>
  <si>
    <t>2/9/22 ships 2/14</t>
  </si>
  <si>
    <t>use 345# 2116# 2121# 2105#</t>
  </si>
  <si>
    <t>51148 Container / Stock 48" 141448 use 2097#</t>
  </si>
  <si>
    <t>1 rl 2097#</t>
  </si>
  <si>
    <t>2/11 ships 2/14</t>
  </si>
  <si>
    <t>51154 Area 17" 121059</t>
  </si>
  <si>
    <t>3 rls 5123#</t>
  </si>
  <si>
    <t xml:space="preserve">use 1691# 1662# 1770# </t>
  </si>
  <si>
    <t>51141 S&amp;F Stk 15" 101413Sf use 3000#</t>
  </si>
  <si>
    <t>1 rl 3000#</t>
  </si>
  <si>
    <t>51150 Triple One / Stock 15" 101435 101415</t>
  </si>
  <si>
    <t xml:space="preserve">3 part 3000# </t>
  </si>
  <si>
    <t>51137 Stock 20" 121154 use 1500# RUN DAY BOXES NEEDED</t>
  </si>
  <si>
    <t>1 part 1914##</t>
  </si>
  <si>
    <t>51155 Area Stk 18" 121153 use 1997#  RUN DAY BOXES</t>
  </si>
  <si>
    <t>1 rl 1997#</t>
  </si>
  <si>
    <t>51147 BirdCageLiners 18" 24" 30" 121118 121124 121130</t>
  </si>
  <si>
    <t xml:space="preserve">2 rls 5794# </t>
  </si>
  <si>
    <t>use 2857# 2937#</t>
  </si>
  <si>
    <t>ships 2/15</t>
  </si>
  <si>
    <t>51149 Stock 18" 101418</t>
  </si>
  <si>
    <t>3 rls 11021#</t>
  </si>
  <si>
    <t xml:space="preserve">use 3671# 3686# 3664# </t>
  </si>
  <si>
    <t>51151 Stock 18" 24" 121801 121803</t>
  </si>
  <si>
    <t>1+1 part 3763#</t>
  </si>
  <si>
    <t>use 1490# 2273#</t>
  </si>
  <si>
    <t>51115 Albertson's 17" 121117</t>
  </si>
  <si>
    <t>005 40# Albertson's Plain</t>
  </si>
  <si>
    <t xml:space="preserve">8 rls 28258# </t>
  </si>
  <si>
    <t xml:space="preserve">use 3560# 3545# </t>
  </si>
  <si>
    <t>Owens 32088# Due 2/10</t>
  </si>
  <si>
    <t>.5 per jumbo</t>
  </si>
  <si>
    <t>51116 Albertson's 17" 121077</t>
  </si>
  <si>
    <t>7 rls 24500#</t>
  </si>
  <si>
    <t>1296 rls</t>
  </si>
  <si>
    <t>cont 5116</t>
  </si>
  <si>
    <t>51117 Stater Bros 16" 101443</t>
  </si>
  <si>
    <t>38# Wht Butcher</t>
  </si>
  <si>
    <t>8 rls 26871#</t>
  </si>
  <si>
    <t xml:space="preserve">use 3380# 3386# 3316# 3318# 3389# 3355# 3325# 3402# </t>
  </si>
  <si>
    <t>1180 rls</t>
  </si>
  <si>
    <t>51162 Stock 24" 48" 101524 101548 use 2399#</t>
  </si>
  <si>
    <t>1 rl 2399#</t>
  </si>
  <si>
    <t>51165 Link Plastic / Stock 48" 24" 141473 141424 use 2213#</t>
  </si>
  <si>
    <t>1 rl 2213#</t>
  </si>
  <si>
    <t>2/25 ships 2/25</t>
  </si>
  <si>
    <t>51159 Stock 12" 141312 use 2218#</t>
  </si>
  <si>
    <t>1 rl 2218#</t>
  </si>
  <si>
    <t>51164 Stock 12" 141312 use 2249#</t>
  </si>
  <si>
    <t>1 rl 2249#</t>
  </si>
  <si>
    <t>51163 Shasta / Stock 15" 30" 121151 121329 RUN DAY BOXES</t>
  </si>
  <si>
    <t>2 rls 3481#</t>
  </si>
  <si>
    <t>use 1755# 1726#</t>
  </si>
  <si>
    <t>ships 2/18</t>
  </si>
  <si>
    <t>51158 Monteeva Corp 20" 15" 30" 121121 121115 121130 use 4056#</t>
  </si>
  <si>
    <t>1 rl 4056#</t>
  </si>
  <si>
    <t>51161 Schutler / Stock 18" 101414 101421 use 3865#</t>
  </si>
  <si>
    <t>2/21 ships 2/23</t>
  </si>
  <si>
    <t xml:space="preserve">51156 Stock 18" 121119 </t>
  </si>
  <si>
    <t xml:space="preserve">3 rls 8543# </t>
  </si>
  <si>
    <t xml:space="preserve">use 2939# 2727# 2877# </t>
  </si>
  <si>
    <t xml:space="preserve">51153 Stock 24" 141424 </t>
  </si>
  <si>
    <t>4 rls 12698#</t>
  </si>
  <si>
    <t>use 3170# 3183# 3126# 3219#</t>
  </si>
  <si>
    <t>51180 Advance 12" 30" 141411 141429 use 2643#</t>
  </si>
  <si>
    <t>1 rl 2643#</t>
  </si>
  <si>
    <t>51168 Stock 36" 141536 use 3142#</t>
  </si>
  <si>
    <t>1 rl 3142#</t>
  </si>
  <si>
    <t>51179 Advance / Stk 36" 141588 141536 use 3155#</t>
  </si>
  <si>
    <t>1 rl 3155#</t>
  </si>
  <si>
    <t>51172 Stock 18" 141418</t>
  </si>
  <si>
    <t>2 rls 6455#</t>
  </si>
  <si>
    <t xml:space="preserve">use 3258# 3197# </t>
  </si>
  <si>
    <t>51173 Pickwick / Stock 18" 121918 36" 121923</t>
  </si>
  <si>
    <t>009 45# NAT Frzr</t>
  </si>
  <si>
    <t>2 rls 4427#</t>
  </si>
  <si>
    <t xml:space="preserve">use 2218# 2209# </t>
  </si>
  <si>
    <t>ships 2/22</t>
  </si>
  <si>
    <t>DEMETRIO CUTTING PINK PLATTER</t>
  </si>
  <si>
    <t>JennerJahn down for One Hours - P&amp;S Roll Covers</t>
  </si>
  <si>
    <t>51169 Stock 30" 141430</t>
  </si>
  <si>
    <t>2 rls 5245#</t>
  </si>
  <si>
    <t xml:space="preserve">use 2626# 2619# </t>
  </si>
  <si>
    <t>51170 Stock 36" 141436</t>
  </si>
  <si>
    <t>2 rls 6318#</t>
  </si>
  <si>
    <t xml:space="preserve">use 3126# 3192# </t>
  </si>
  <si>
    <t>51152 Stock 18" 121999 121926</t>
  </si>
  <si>
    <t>2 rls 6100#</t>
  </si>
  <si>
    <t xml:space="preserve">use 3430# 2670# </t>
  </si>
  <si>
    <t>2/21 ships 2/24</t>
  </si>
  <si>
    <t>51186 E&amp;E Global / Stock 24" 141320 141324 141371</t>
  </si>
  <si>
    <t>4 rls 12800#</t>
  </si>
  <si>
    <t>cont 51186</t>
  </si>
  <si>
    <t>51029 Imperial 18" 121014</t>
  </si>
  <si>
    <t xml:space="preserve">177 45# "El Rancho Meat" NAT Frzr </t>
  </si>
  <si>
    <t>4 rls 5871#</t>
  </si>
  <si>
    <t>4/11/22 ships 4/13</t>
  </si>
  <si>
    <t>use 1441# 1453# 1380# 1480#</t>
  </si>
  <si>
    <t>51190 Orora / Stock 48" 24" 12" 141538 141524 141512</t>
  </si>
  <si>
    <t>2 rls 4004#</t>
  </si>
  <si>
    <t>use 1951# 2053#</t>
  </si>
  <si>
    <t>51196 P&amp;R Stk 18" 102417 102418</t>
  </si>
  <si>
    <t>2 rls 3474#</t>
  </si>
  <si>
    <t xml:space="preserve">use 1741# 1733# </t>
  </si>
  <si>
    <t>51191 Stock 36" 141331 use 3200#</t>
  </si>
  <si>
    <t>HELP CUT PINK PLATTER &amp; FREEZER PAPER</t>
  </si>
  <si>
    <t>51183 Everite / Stock 12" 36" 121112 121152</t>
  </si>
  <si>
    <t>3 rls 4091#</t>
  </si>
  <si>
    <t>use 1351# 1351# 1389#</t>
  </si>
  <si>
    <t>ships 3/3</t>
  </si>
  <si>
    <t>51174 Bunzl 17" 121039</t>
  </si>
  <si>
    <t>2 rls 4768#</t>
  </si>
  <si>
    <t xml:space="preserve">use 2407# 2361# </t>
  </si>
  <si>
    <t>ships 3/2</t>
  </si>
  <si>
    <t>51175 Stock 18" 121123 use 2165#</t>
  </si>
  <si>
    <t>093 35# Valu Whte Frzr</t>
  </si>
  <si>
    <t>#51177 Stock 18" 121118 use 287</t>
  </si>
  <si>
    <t>1 rl 2877#</t>
  </si>
  <si>
    <t>51176 Stock 18" 101473 use 3847#</t>
  </si>
  <si>
    <t>1 rl 3847#</t>
  </si>
  <si>
    <t>HELP CUT Freezer paper</t>
  </si>
  <si>
    <t>51184 Stock 18" 121801 use 2282#</t>
  </si>
  <si>
    <t>1 rl 2282#</t>
  </si>
  <si>
    <t xml:space="preserve">51203 Bunzl 17" 121114 </t>
  </si>
  <si>
    <t>006 35/5 Frzr "L"</t>
  </si>
  <si>
    <t>5 rls 11415#</t>
  </si>
  <si>
    <t xml:space="preserve">use 2145# 2370# 2374# 2257# 2269# </t>
  </si>
  <si>
    <t>51192 Albertson's Stk 17" 121077</t>
  </si>
  <si>
    <t>8 rls 28322#</t>
  </si>
  <si>
    <t xml:space="preserve">use 3481# 3530# 3585# 3530# 3578# 3576# 3510# 3532# </t>
  </si>
  <si>
    <t>1500 rolls</t>
  </si>
  <si>
    <t>50880 Armstrong 18" 121064</t>
  </si>
  <si>
    <t>109 45# "Baron's Nat Frzr"</t>
  </si>
  <si>
    <t>2 rls 2032#</t>
  </si>
  <si>
    <t>2/21/22 ships 2/24</t>
  </si>
  <si>
    <t>use 721# 1303#</t>
  </si>
  <si>
    <t>51051 Imperial 18" 121035</t>
  </si>
  <si>
    <t>122 40# "Bianchini's" NAT Frzr "L"</t>
  </si>
  <si>
    <t>2+1part 2332#</t>
  </si>
  <si>
    <t>3/15 ships 3/21</t>
  </si>
  <si>
    <t>use 1188# 1150# RUN SMALL V#2 on 134#</t>
  </si>
  <si>
    <t>50821 Armstrong 18" 101483</t>
  </si>
  <si>
    <t>270 40# Columbo</t>
  </si>
  <si>
    <t>2 rls 1800#</t>
  </si>
  <si>
    <t>1/28/22 ships 2/1</t>
  </si>
  <si>
    <t>use 904# 892#</t>
  </si>
  <si>
    <t>51188 Moresco 17" 121012 use 1484#</t>
  </si>
  <si>
    <t>343 45# "Mollie Stone Black"</t>
  </si>
  <si>
    <t>1 rl 1464#</t>
  </si>
  <si>
    <t>51086 CD Foodservice / Stk 30" 121130</t>
  </si>
  <si>
    <t>4 rls 16000#</t>
  </si>
  <si>
    <t>use</t>
  </si>
  <si>
    <t>Owens 31711 Due 2/23</t>
  </si>
  <si>
    <t>Gabby Emailed@Fri</t>
  </si>
  <si>
    <t>51182 Stock 15" 20" 101515 101520 use 1115#</t>
  </si>
  <si>
    <t>1 part 1115#</t>
  </si>
  <si>
    <t>51207 Spicers 10" 18" 121910 121918 use 900# 900#</t>
  </si>
  <si>
    <t>2 rls 1817#</t>
  </si>
  <si>
    <t>WORK ON Q2S 49.125"</t>
  </si>
  <si>
    <t>RUN SHEET ON V#2</t>
  </si>
  <si>
    <t>51202 Everite / Stock 30" 121130</t>
  </si>
  <si>
    <t>5 rls 20000#</t>
  </si>
  <si>
    <t>51209 Montroy/Adagio 36" 18" 101439 101657 use 3821#</t>
  </si>
  <si>
    <t>1 rl 3821# (2672#)</t>
  </si>
  <si>
    <t>51199 Stock 18" 101421 use 3865#</t>
  </si>
  <si>
    <t>50973 Blower Dempsay  18" 121005</t>
  </si>
  <si>
    <t xml:space="preserve">166 45# "Diablo Deli" NAT Frzr </t>
  </si>
  <si>
    <t>2 rls 2250#</t>
  </si>
  <si>
    <t>2/22/22 ships 3/7</t>
  </si>
  <si>
    <t>use 1309# 1295#</t>
  </si>
  <si>
    <t>50974 Blower Dempsay  18" 121006</t>
  </si>
  <si>
    <t xml:space="preserve">167 45# "Diablo Foods" NAT Frzr </t>
  </si>
  <si>
    <t>3000#</t>
  </si>
  <si>
    <t>use 1545# 1474#</t>
  </si>
  <si>
    <t>51193 Albertson's Stock 17" 121340</t>
  </si>
  <si>
    <t>3 rls 8441#</t>
  </si>
  <si>
    <t xml:space="preserve">use 2791# 2844# 2806# </t>
  </si>
  <si>
    <t>510 rolls</t>
  </si>
  <si>
    <t>6 rls 13402#</t>
  </si>
  <si>
    <t>use 2002# 2339# 2200# 2361# 2209# 2291#</t>
  </si>
  <si>
    <t>JennerJahn Down - Maintance</t>
  </si>
  <si>
    <t>51240 Stater Bros 17" 101443</t>
  </si>
  <si>
    <t xml:space="preserve">9 rls 23290# </t>
  </si>
  <si>
    <t>use 2590# 2615# 2568# 2604# 2604# 2573# 2608# 2557# 2571#</t>
  </si>
  <si>
    <t>Demetrio to help us cut Black Platter/ Heavy Pink Platter/ Pink Platter</t>
  </si>
  <si>
    <t>51194 S&amp;F Stk 15" 101413SF 101415</t>
  </si>
  <si>
    <t>2 rls 6103#</t>
  </si>
  <si>
    <t xml:space="preserve">use 3058# 3045# </t>
  </si>
  <si>
    <t>51231 Albert/Imperial 15" 121327 121151 Box RUN DAY USE 1913#</t>
  </si>
  <si>
    <t>086 36/5 Prem Frzr</t>
  </si>
  <si>
    <t>1 rl 1913#</t>
  </si>
  <si>
    <t>51233 Albert/Stock 18" 121328 121153 use 2134# RUN Day BOXES NEEDED</t>
  </si>
  <si>
    <t>1 rl 2134#</t>
  </si>
  <si>
    <t>51230 Stock 36" 141536 use 3144#</t>
  </si>
  <si>
    <t>016 50# kraft</t>
  </si>
  <si>
    <t>1 rl 3144#</t>
  </si>
  <si>
    <t>51226 Stock 18" 141518 use 3135#</t>
  </si>
  <si>
    <t>1 rl 3135#</t>
  </si>
  <si>
    <t>51195 S&amp;F Stk 18" 101419SF</t>
  </si>
  <si>
    <t>3 rls 10937#</t>
  </si>
  <si>
    <t>use 3633# 3622#  3682#</t>
  </si>
  <si>
    <t>51228 Stock 18" 121118 121119</t>
  </si>
  <si>
    <t>2 rls 5412#</t>
  </si>
  <si>
    <t>use 2771# 2641#</t>
  </si>
  <si>
    <t>51215 Stock 18" 121119 use 3100#</t>
  </si>
  <si>
    <t>51218 Stock 24" 18" 121925 121926 121999</t>
  </si>
  <si>
    <t>2 rls 5335#</t>
  </si>
  <si>
    <t xml:space="preserve">use 2674# 2661# </t>
  </si>
  <si>
    <t>51219 15" 20" 121131 121134 use 1111#</t>
  </si>
  <si>
    <t>1 rl 1111#</t>
  </si>
  <si>
    <t xml:space="preserve">51251 Coast / Stock 15" 20" 30" 141515 141520 141530 use 2564# </t>
  </si>
  <si>
    <t xml:space="preserve">51250 Advance / Orora / Stock 20" 12" 30" 141420 141411 141430 use 2628# </t>
  </si>
  <si>
    <t>1 rl 2628#</t>
  </si>
  <si>
    <t>51252 Advance 36" 101538 use 3144#</t>
  </si>
  <si>
    <t>51222 Stock 24" 18" 36" 141324 141318 141336</t>
  </si>
  <si>
    <t>7 rls 14000#</t>
  </si>
  <si>
    <t>NO ERIC</t>
  </si>
  <si>
    <t>SAL IN THE FRONT</t>
  </si>
  <si>
    <t>JASON CUTTING and JUAN RUNNING SHEETER #2</t>
  </si>
  <si>
    <t>51253 CM School 36" 101453 use 1865#</t>
  </si>
  <si>
    <t>1 rl 1865#</t>
  </si>
  <si>
    <t>51027 Imperial 18" 121042</t>
  </si>
  <si>
    <t>490 45# Pacfic Ranch Mkt Frzr</t>
  </si>
  <si>
    <t>2 rls 2308#</t>
  </si>
  <si>
    <t>3/30/22 ships 4/6</t>
  </si>
  <si>
    <t>51224 Stock 12" 24" 141412 141452</t>
  </si>
  <si>
    <t>2 rls 3250#</t>
  </si>
  <si>
    <t xml:space="preserve">use 2191# 1059# </t>
  </si>
  <si>
    <t>51229 Stock 24" 48" 141524 141538</t>
  </si>
  <si>
    <t>2 rls 4093#</t>
  </si>
  <si>
    <t>use 1942# 2081#</t>
  </si>
  <si>
    <t>51256 Clean Sweep / Stock 36" 141536</t>
  </si>
  <si>
    <t>3 rls 9341#</t>
  </si>
  <si>
    <t xml:space="preserve">use 3146# 3122# 3073# </t>
  </si>
  <si>
    <t>ships 3/10</t>
  </si>
  <si>
    <t>51217 Stock 18" 24" 18" 121801 121803 121718 RUN DAY BOXES</t>
  </si>
  <si>
    <t>3 rls 6382#</t>
  </si>
  <si>
    <t>use 2266# 2207# 1909#</t>
  </si>
  <si>
    <t>51212 Stock 36" 101536 use 1424#</t>
  </si>
  <si>
    <t>51213 Bunzl 17" 121017</t>
  </si>
  <si>
    <t>126 40# "Bristol Farms"</t>
  </si>
  <si>
    <t>7 rls 11179#</t>
  </si>
  <si>
    <t>use 1651# 1612# 1653# 1523# 1468# 1687# 1585#</t>
  </si>
  <si>
    <t>51241 Stater Bros 16" 101443</t>
  </si>
  <si>
    <t>13 rls 43761#</t>
  </si>
  <si>
    <t xml:space="preserve">use 3386# 3364# 3333# 3347# 3347# 3382# 3340# 3437# </t>
  </si>
  <si>
    <t>1920 rls</t>
  </si>
  <si>
    <t>51281 Oak / Stock 15" 30" 141415 141430 use 2628#</t>
  </si>
  <si>
    <t>50972 IFS 30" 101484</t>
  </si>
  <si>
    <t>245 40# Wht Butcher "Kitchen Mouse"</t>
  </si>
  <si>
    <t>2 rls 2315#</t>
  </si>
  <si>
    <t>3/11/22 ships 2/12</t>
  </si>
  <si>
    <t>50923 Imperial 15" 141466</t>
  </si>
  <si>
    <t>557 40# Wild Root Deli Kraft</t>
  </si>
  <si>
    <t xml:space="preserve">1 rl 1063# </t>
  </si>
  <si>
    <t xml:space="preserve">03/11 ships 2/4 </t>
  </si>
  <si>
    <t xml:space="preserve">51245 Stock 17" 121116 use 3521# </t>
  </si>
  <si>
    <t>005 40# NAT Frzr "l"</t>
  </si>
  <si>
    <t>1 rl 3521</t>
  </si>
  <si>
    <t>51204 Area Stk 17" 121059</t>
  </si>
  <si>
    <t>330 45# Lunardis</t>
  </si>
  <si>
    <t>2 rls 3947#</t>
  </si>
  <si>
    <t>use 1939# 2008#</t>
  </si>
  <si>
    <t>51260 Bunzl 17" 121341 use 3741#</t>
  </si>
  <si>
    <t>1 rl 3741#</t>
  </si>
  <si>
    <t>51242 Albertson's 17" 121117</t>
  </si>
  <si>
    <t>005 40# Poly Kraft "Albertson's Plain"</t>
  </si>
  <si>
    <t>7 rls 24676#</t>
  </si>
  <si>
    <t xml:space="preserve">use 3545# 3527# 3530# 3530# 3514# 3545# 3485# </t>
  </si>
  <si>
    <t>1304 rls</t>
  </si>
  <si>
    <t>51263 Stock 18" 141418 use 3100#</t>
  </si>
  <si>
    <t>51283 Mid Valley 12" 18" 15" 121102 121108 121089</t>
  </si>
  <si>
    <t>089 47/7 Prem Frzr</t>
  </si>
  <si>
    <t>1 rl 1200#</t>
  </si>
  <si>
    <t>51211 Stock 15" 20" 30" 101515 101520 101530 use 1957#</t>
  </si>
  <si>
    <t>1 rl 1957#</t>
  </si>
  <si>
    <t xml:space="preserve">51223 Stock 30" 141330 </t>
  </si>
  <si>
    <t>2 rls 5428#</t>
  </si>
  <si>
    <t xml:space="preserve">use 2727# 2701# </t>
  </si>
  <si>
    <t>51247 American Paper / E&amp;A Plastic / Stock 24" 36" 18" 121325 121805 121801 use 1909#</t>
  </si>
  <si>
    <t>1 rl 1909#</t>
  </si>
  <si>
    <t>3/11 ships 3/11</t>
  </si>
  <si>
    <t>51255 Stock 18" 121119</t>
  </si>
  <si>
    <t>3 rls 8053#</t>
  </si>
  <si>
    <t xml:space="preserve">use 2780# 2577# 2696# </t>
  </si>
  <si>
    <t>51210 Stock 18" 24" 36" 101418 101428 101436</t>
  </si>
  <si>
    <t>2 rls 7325#</t>
  </si>
  <si>
    <t>use 3657# 3668#</t>
  </si>
  <si>
    <t>51290 Gorman Industry / stock 36" 24" 141428 141424 use 3200#</t>
  </si>
  <si>
    <t>51225 Stock 36" 141443 141474</t>
  </si>
  <si>
    <t>3 rls 9000#</t>
  </si>
  <si>
    <t>CAT 32682 Due 3/7</t>
  </si>
  <si>
    <t>51178 Advance / Stock 36" 141474</t>
  </si>
  <si>
    <t>2 rls 6200#</t>
  </si>
  <si>
    <t>51221 Stock 12" 141312</t>
  </si>
  <si>
    <t>3 part 4642#</t>
  </si>
  <si>
    <t xml:space="preserve">use 1548# 1529# 1565# </t>
  </si>
  <si>
    <t>51259 Bunzl 17" 121003</t>
  </si>
  <si>
    <t>3 rls 4110#</t>
  </si>
  <si>
    <t xml:space="preserve">use 1508# 1400# 1202# </t>
  </si>
  <si>
    <t>ships 3/23</t>
  </si>
  <si>
    <t>51214 Bunzl 17" 121039</t>
  </si>
  <si>
    <t>100 40# Aj's</t>
  </si>
  <si>
    <t>3 rls 6391#</t>
  </si>
  <si>
    <t>use 2050# 1980# 2361#</t>
  </si>
  <si>
    <t>51216 Stock 18" 121123 use 2149#</t>
  </si>
  <si>
    <t>1 rl 2149#</t>
  </si>
  <si>
    <t>51286 Stock 30" 121130 use 4045#</t>
  </si>
  <si>
    <t>1 rl 4054#</t>
  </si>
  <si>
    <t>51246 Stock 15" 30" 101415 101431</t>
  </si>
  <si>
    <t>2 part 4999#</t>
  </si>
  <si>
    <t xml:space="preserve">use 2509# 2490# </t>
  </si>
  <si>
    <t>51278 Stock 17" 121116 use 3516#</t>
  </si>
  <si>
    <t>005 40# NAT Frzr "L'</t>
  </si>
  <si>
    <t>1 rl 3516#</t>
  </si>
  <si>
    <t>51220 Area Stk 18" 121153 RUN DAY BOXES use 2604#</t>
  </si>
  <si>
    <t>1 rl 2604#</t>
  </si>
  <si>
    <t>51292 Heritage - Corona 24" 141324C</t>
  </si>
  <si>
    <t>4 rls 8350#</t>
  </si>
  <si>
    <t xml:space="preserve">use 2105# 2081# 2083# 2081# </t>
  </si>
  <si>
    <t>ships 3/17</t>
  </si>
  <si>
    <t>51277 Stock 18" 121918 use 2255#</t>
  </si>
  <si>
    <t xml:space="preserve">009 45# NAT Frzr </t>
  </si>
  <si>
    <t>1 rl 2255#</t>
  </si>
  <si>
    <t>51285 Stock 18" 121801</t>
  </si>
  <si>
    <t>2 rls 4548#</t>
  </si>
  <si>
    <t>4548#</t>
  </si>
  <si>
    <t>use 2264# 2284#</t>
  </si>
  <si>
    <t>51261 Stock 18" use 1200#</t>
  </si>
  <si>
    <t>1 part 1200#</t>
  </si>
  <si>
    <t xml:space="preserve">51275 Stock 24" 48" 141524 141538 </t>
  </si>
  <si>
    <t>2 rls 3431#</t>
  </si>
  <si>
    <t>use 1684# 1747#</t>
  </si>
  <si>
    <t>51279 Moresco 17" 121346</t>
  </si>
  <si>
    <t>2 rls 3611#</t>
  </si>
  <si>
    <t>use 1799# 1812#</t>
  </si>
  <si>
    <t>51280 Moresco 17" 121012</t>
  </si>
  <si>
    <t>343 45# Mollie Stone Black</t>
  </si>
  <si>
    <t>2 rls 2844#</t>
  </si>
  <si>
    <t>use 1448# 1396#</t>
  </si>
  <si>
    <t>51299 S&amp;F Stk 18" 101517 101517SF use 2723#</t>
  </si>
  <si>
    <t>1 rl 2743#</t>
  </si>
  <si>
    <t>NO JASON</t>
  </si>
  <si>
    <t>FRANCISCO ON SHEETER #1</t>
  </si>
  <si>
    <t>51243 Albertson's 17" 121077</t>
  </si>
  <si>
    <t>7 rls 25008#</t>
  </si>
  <si>
    <t xml:space="preserve">use 3534# 3532# 3523# 3530# 3622# 3585# </t>
  </si>
  <si>
    <t>1324 rls</t>
  </si>
  <si>
    <t>51305 Stock 18" 141418 use 3214#</t>
  </si>
  <si>
    <t>1 rl 3214#</t>
  </si>
  <si>
    <t>51306 Stock 18" 36" 141318 141336</t>
  </si>
  <si>
    <t>3 rls 6000#</t>
  </si>
  <si>
    <t>51297 Stock 18" 101421 use 3865#</t>
  </si>
  <si>
    <t xml:space="preserve">51301 Stock 24" 141324 </t>
  </si>
  <si>
    <t>2 rls 4167#</t>
  </si>
  <si>
    <t xml:space="preserve">use 2090# 2077# </t>
  </si>
  <si>
    <t>51307 Stock 30" 141330</t>
  </si>
  <si>
    <t>2 rls 5477#</t>
  </si>
  <si>
    <t>use 2732# 2745#</t>
  </si>
  <si>
    <t>51310 Stock 15" 30" 101415 101431</t>
  </si>
  <si>
    <t>2 rls 6098#</t>
  </si>
  <si>
    <t>use 3020# 3078#</t>
  </si>
  <si>
    <t>51308 Stock 18" 121926 121999 use 2209#</t>
  </si>
  <si>
    <t>1 rl 2209#</t>
  </si>
  <si>
    <t>51288 Stock 24" 121124 use 2700#</t>
  </si>
  <si>
    <t>1 rl 2700#</t>
  </si>
  <si>
    <t>51298 S&amp;F Stk 18" 36" 101419SF 101436 use 3693#</t>
  </si>
  <si>
    <t>1 rl 3693#</t>
  </si>
  <si>
    <t>51321 Oak/ Stock 48" 24" 141348 141324</t>
  </si>
  <si>
    <t>2 rls 4000#</t>
  </si>
  <si>
    <t>51324 Heritage - Tecate 24" 141324K</t>
  </si>
  <si>
    <t xml:space="preserve">5 rolls 10412# </t>
  </si>
  <si>
    <t xml:space="preserve">use 2099# 2070# 2083# 2083# 2077# </t>
  </si>
  <si>
    <t>51293 Heritage - Corona 24" 141324C</t>
  </si>
  <si>
    <t>5 rls 10434#</t>
  </si>
  <si>
    <t>use 2090# 2079# 2094# 2099# 2072#</t>
  </si>
  <si>
    <t>51314 Stock 18" 36" 121118 121152 use 3018#</t>
  </si>
  <si>
    <t>1 rl 3018#</t>
  </si>
  <si>
    <t xml:space="preserve">51320 Ez/ Stock 36" 141476 141436 </t>
  </si>
  <si>
    <t xml:space="preserve">2 rls 6493# </t>
  </si>
  <si>
    <t xml:space="preserve">use 32580# 3243# </t>
  </si>
  <si>
    <t>ships 3/28</t>
  </si>
  <si>
    <t>51289 Montroy / Stock 48" 101537 101548 101546</t>
  </si>
  <si>
    <t>2 rls 4793#</t>
  </si>
  <si>
    <t xml:space="preserve">use 2399# 2394# </t>
  </si>
  <si>
    <t>ships 3/25</t>
  </si>
  <si>
    <t>50983 Ever Pacific / Stock 18" 102422 102417 102432 102418</t>
  </si>
  <si>
    <t>003 40# Pink butcher</t>
  </si>
  <si>
    <t>10 rls 17000#</t>
  </si>
  <si>
    <t>03/14 ships 03/16</t>
  </si>
  <si>
    <t>WR 32481 Due 2/14</t>
  </si>
  <si>
    <t>51063 Johnson Sales / stk 24" 18" 102424 102418</t>
  </si>
  <si>
    <t>GABBY EMAILED 2/14 for Paper</t>
  </si>
  <si>
    <t>ships 2/16</t>
  </si>
  <si>
    <t xml:space="preserve">51312 Albertson's Stock 17" 121340 </t>
  </si>
  <si>
    <t>4 rls 11318#</t>
  </si>
  <si>
    <t>1.5 per jumbp</t>
  </si>
  <si>
    <t xml:space="preserve">use 2844# 2806# 2846# 2822# </t>
  </si>
  <si>
    <t>51311 Albertson's Stock 17" 121117</t>
  </si>
  <si>
    <t>005 40# poly kraft</t>
  </si>
  <si>
    <t>2 rls 6896#</t>
  </si>
  <si>
    <t xml:space="preserve">use 3397# 3499# </t>
  </si>
  <si>
    <t>51326 Stock 18" 141418 use 3214#</t>
  </si>
  <si>
    <t>51327 Stock 24" 121124 use 2652#</t>
  </si>
  <si>
    <t>1 rl 2652#</t>
  </si>
  <si>
    <t>RUN SLITTER #1</t>
  </si>
  <si>
    <t>REWIND</t>
  </si>
  <si>
    <t xml:space="preserve">51291 Moresco 18" 121057 </t>
  </si>
  <si>
    <t>472 40# Frzr "L" SPD mkts</t>
  </si>
  <si>
    <t>2 rls 2000#</t>
  </si>
  <si>
    <t>ships 3/16</t>
  </si>
  <si>
    <t>51234 P&amp;R Paper 18" 121022</t>
  </si>
  <si>
    <t>117 40# "B&amp;E Meat" NAT Frzr "L"</t>
  </si>
  <si>
    <t>6 rls 6600#</t>
  </si>
  <si>
    <t>4/11 ships 4/27</t>
  </si>
  <si>
    <t>51294 Heritage - Corona 24" 141324C</t>
  </si>
  <si>
    <t xml:space="preserve">5 rls 10426# </t>
  </si>
  <si>
    <t>ships 3/30</t>
  </si>
  <si>
    <t>51239 Moresco 15" 121021</t>
  </si>
  <si>
    <t>465 45# Frzr "Scotty's Mkt"</t>
  </si>
  <si>
    <t>5/23 ships 6/3</t>
  </si>
  <si>
    <t xml:space="preserve">51328 Albert / Stock 18" 121328 </t>
  </si>
  <si>
    <t xml:space="preserve">2 rls 2240# </t>
  </si>
  <si>
    <t xml:space="preserve">use 1120# 1120# </t>
  </si>
  <si>
    <t>51235 Moresco 18" 121055</t>
  </si>
  <si>
    <t>241 40# Poly Kraft "Harvest Market"</t>
  </si>
  <si>
    <t>4/25 ships 4/29</t>
  </si>
  <si>
    <t>51302 Stock 48" 101448 use 1891#</t>
  </si>
  <si>
    <t>1 rl 1891#</t>
  </si>
  <si>
    <t>51136 CD/Stock 30" 15" 121130 121115</t>
  </si>
  <si>
    <t>10 rls 40000#</t>
  </si>
  <si>
    <t>3/21 ships 3/23</t>
  </si>
  <si>
    <t>Owens 32464 Due 3/21</t>
  </si>
  <si>
    <t>51295 Heritage - Corona 24" 141324C</t>
  </si>
  <si>
    <t>5 rls 10416#</t>
  </si>
  <si>
    <t>Marco, Please move to the 30th.  JJ should be down 31st.</t>
  </si>
  <si>
    <t>ships 4/7</t>
  </si>
  <si>
    <t>51322 Stock 36" 141331 use 2000#</t>
  </si>
  <si>
    <t>1 rl 2000#</t>
  </si>
  <si>
    <t>51341 Stater Bros 17" 101443</t>
  </si>
  <si>
    <t>2 rls 5109#</t>
  </si>
  <si>
    <t xml:space="preserve">use 2590# 2573# </t>
  </si>
  <si>
    <t>51081 Moresco 17" 121037</t>
  </si>
  <si>
    <t>392 40# "Oliver Mkt"</t>
  </si>
  <si>
    <t>5 rls 10400#</t>
  </si>
  <si>
    <t>4/4 ships 4/12</t>
  </si>
  <si>
    <t>51347 Stock 18" 102418 use 1689#</t>
  </si>
  <si>
    <t xml:space="preserve">1 rl 1689# </t>
  </si>
  <si>
    <t>51346 S&amp;F Stk / Stock 15" 101413SF use 3078#</t>
  </si>
  <si>
    <t>1 rl 3078#</t>
  </si>
  <si>
    <t>51348 Focus/Stk 20" 15" 30" 121120 121115 121130 use 4056#</t>
  </si>
  <si>
    <t>1 rl 4046#</t>
  </si>
  <si>
    <t>51345 S&amp;F Stk 18" 36" 24" 101418 101419SF 101436 101428</t>
  </si>
  <si>
    <t>2 rls 7295#</t>
  </si>
  <si>
    <t>use 3673# 3622#</t>
  </si>
  <si>
    <t>51343 American Paper 24" 121325 use 2255#</t>
  </si>
  <si>
    <t xml:space="preserve">1 rl 2255# </t>
  </si>
  <si>
    <t>51350 Stock 18" 24" 36" 141318 141324 141336</t>
  </si>
  <si>
    <t>6 rls 12397#</t>
  </si>
  <si>
    <t>use 2015# 2075# 2081# 2088# 2092# 2046#</t>
  </si>
  <si>
    <t>51355R 60" Rewind on Slitter #1</t>
  </si>
  <si>
    <t xml:space="preserve">006 40# Frzr </t>
  </si>
  <si>
    <t>1 rl 3651#</t>
  </si>
  <si>
    <t>using to sheet  J#8574</t>
  </si>
  <si>
    <t>on Tuesday afternoon</t>
  </si>
  <si>
    <t>51349 Stock 18" 24" 48" 141418 141424 141448</t>
  </si>
  <si>
    <t>2 rls 6493#</t>
  </si>
  <si>
    <t>use 3250# 3243#</t>
  </si>
  <si>
    <t>rolls marked not to move</t>
  </si>
  <si>
    <t>51351 Stock 18" 121926 121999 use 3792#</t>
  </si>
  <si>
    <t>1 rl 3792#</t>
  </si>
  <si>
    <t>51108 Moresco 18" 121029</t>
  </si>
  <si>
    <t>323 40# NAT Frzr "L" "Payless"</t>
  </si>
  <si>
    <t>2 rls 2969#</t>
  </si>
  <si>
    <t>3/21 ships 4/5</t>
  </si>
  <si>
    <t>use 1865# 1234#</t>
  </si>
  <si>
    <t>51084 P&amp;R 18" 121010</t>
  </si>
  <si>
    <t>238 45# "Haight Mkt Gus's"</t>
  </si>
  <si>
    <t>4 rls 5600#</t>
  </si>
  <si>
    <t>4/6 ships 4/8</t>
  </si>
  <si>
    <t>use 1684# 1605# 1733# 1508#</t>
  </si>
  <si>
    <t>Want to close Month of March Early</t>
  </si>
  <si>
    <t>SECOND SHIFT CAN HELP ORGANiZE FG</t>
  </si>
  <si>
    <t>COUNTING AND Palletizing</t>
  </si>
  <si>
    <t>Jenny moving to Komar</t>
  </si>
  <si>
    <t>Jenny Being Installed at Komar</t>
  </si>
  <si>
    <t>51365 Orora 24" 182257 use 1790#</t>
  </si>
  <si>
    <t>1 rl 1790#</t>
  </si>
  <si>
    <t>51340 Albertson's 17" 121340</t>
  </si>
  <si>
    <t>2 rls 5672#</t>
  </si>
  <si>
    <t xml:space="preserve">use 2846# 2826# </t>
  </si>
  <si>
    <t>50937 Pantelides 17" 121002</t>
  </si>
  <si>
    <t>477 35/5 NAT "Santa Monica SF"</t>
  </si>
  <si>
    <t>7 rls 9000#</t>
  </si>
  <si>
    <t>Hood 32517 Due 4/1</t>
  </si>
  <si>
    <t>51362 Katzke / Stock 55" 30" 141416 141430 use 2635#</t>
  </si>
  <si>
    <t>1 rl 2635#</t>
  </si>
  <si>
    <t>51359 CD Foodservice / Stock 30" 121130</t>
  </si>
  <si>
    <t>6 rls 22000#</t>
  </si>
  <si>
    <t>Owens 32696 Due 4/4</t>
  </si>
  <si>
    <t>51338 Albertson's 17" 121117</t>
  </si>
  <si>
    <t>9 rls 31852#</t>
  </si>
  <si>
    <t xml:space="preserve">use 3541# 3514# 3523# 3549# 3530# 3485# 3569# 3589# 3552# </t>
  </si>
  <si>
    <t>51339 Albertson's 17" 121077</t>
  </si>
  <si>
    <t>3 rls 10637#</t>
  </si>
  <si>
    <t>10637#</t>
  </si>
  <si>
    <t xml:space="preserve">use 3496# 3521# 3620# </t>
  </si>
  <si>
    <t>51342 Stater Bros 17" 121058</t>
  </si>
  <si>
    <t>381 40# Frzr</t>
  </si>
  <si>
    <t>2 rls 4546#</t>
  </si>
  <si>
    <t xml:space="preserve">use 2269# 2277# </t>
  </si>
  <si>
    <t>51363 Katzke / Stock 62" 24" 141464 141424 use 3188#</t>
  </si>
  <si>
    <t>1 rl 3188#</t>
  </si>
  <si>
    <t>4/8 ships 4/12</t>
  </si>
  <si>
    <t>51361 Stock 36" 24" 141331 141324</t>
  </si>
  <si>
    <t>3 rls 9655#</t>
  </si>
  <si>
    <t xml:space="preserve">use 3188# 3250# 3217# </t>
  </si>
  <si>
    <t xml:space="preserve">51357 Imperial / Stock 24" 18" 121920 121918 </t>
  </si>
  <si>
    <t>1 rl 2250# Owens 32314 Due 4/4</t>
  </si>
  <si>
    <t>51360 Advance 24" 36" 141452 141474</t>
  </si>
  <si>
    <t>2 rls 6400#</t>
  </si>
  <si>
    <t>use 3199# 3206#</t>
  </si>
  <si>
    <t>51106 Bunzl 18" 121038</t>
  </si>
  <si>
    <t>211 40# Frzr "L" "Frazier Seafood"</t>
  </si>
  <si>
    <t>3 rls 4041#</t>
  </si>
  <si>
    <t>Morr 32712 Due 4/11</t>
  </si>
  <si>
    <t>51050 Central Bag 18" 121103</t>
  </si>
  <si>
    <t>161 45# "Deli Zone" Wht Frzr</t>
  </si>
  <si>
    <t>4 rls 4059#</t>
  </si>
  <si>
    <t>Morr 32629 Due 4/11</t>
  </si>
  <si>
    <t>51364 Stock 48" 141448 use 2147#</t>
  </si>
  <si>
    <t>1 rl 2147#</t>
  </si>
  <si>
    <t>NO TIME AVAIL</t>
  </si>
  <si>
    <t>Run DW,FC,Parch</t>
  </si>
  <si>
    <t>DW /FC 900#/hr + 1 hr loading</t>
  </si>
  <si>
    <t>16hrs for16m# DW?</t>
  </si>
  <si>
    <t>start 9/14 13 hr shift        (1-8hr &amp; 1- 5 hr)</t>
  </si>
  <si>
    <t>48x68/40 103468 Shtr #2- 10 hrs 211 T 9500#</t>
  </si>
  <si>
    <t>Schedule Next Blade Change on sheeter #2 (every 2-3 months)</t>
  </si>
  <si>
    <t>Running 5 hrs/day</t>
  </si>
  <si>
    <t xml:space="preserve">Parchment run on Shtr #2 </t>
  </si>
  <si>
    <t>NO DRY WAX NO PARCH</t>
  </si>
  <si>
    <t>Raybern apprx 21-22 hrs to run + load time</t>
  </si>
  <si>
    <t xml:space="preserve">Time </t>
  </si>
  <si>
    <t xml:space="preserve">Sheeter #2 62" with 2 slitters </t>
  </si>
  <si>
    <t>Sheeter #1</t>
  </si>
  <si>
    <t>Loading Time 1hr to 1hr30min</t>
  </si>
  <si>
    <t>cont 8416</t>
  </si>
  <si>
    <t>8420 10.75x10 222016 18x18x25.5 9x12 6" Circle 223007 10" Circle 223007 9x9 8" scallop</t>
  </si>
  <si>
    <t>047 27# Parchment</t>
  </si>
  <si>
    <t>6 rls 8400# (2957#)</t>
  </si>
  <si>
    <t>COPAMEX 32055 Due 12/27</t>
  </si>
  <si>
    <t>ships 1/12</t>
  </si>
  <si>
    <t>8344 Raybern 12x15 122885</t>
  </si>
  <si>
    <t>440 Rayberns Frzr (40/10#) PD#1</t>
  </si>
  <si>
    <t>3+1part 8063#</t>
  </si>
  <si>
    <t>use 2511# 2412# 2480# 688#</t>
  </si>
  <si>
    <t>ships 1/5/22</t>
  </si>
  <si>
    <t>cont. 8344</t>
  </si>
  <si>
    <t>8431 Area Stk 15x18 122879</t>
  </si>
  <si>
    <t>2 rls 1036#</t>
  </si>
  <si>
    <t xml:space="preserve">use 518# 518# </t>
  </si>
  <si>
    <t>8345 Raybern 12x15 122885</t>
  </si>
  <si>
    <t>440 Rayberns Frzr (40/5#) PD#1</t>
  </si>
  <si>
    <t>5 rls 13125#</t>
  </si>
  <si>
    <t>use 3230# 3313# 3287# 2116# 1237#</t>
  </si>
  <si>
    <t>ships 1/5</t>
  </si>
  <si>
    <t xml:space="preserve">8410 Mountaing View 14x23 103323 </t>
  </si>
  <si>
    <t>001 35# Wht Grocery</t>
  </si>
  <si>
    <t>3 part 5490#</t>
  </si>
  <si>
    <t xml:space="preserve">use 1820# 1830# 1840# </t>
  </si>
  <si>
    <t>8430 Vertiv / IFS 14.75x14.75 202113 14x14 202126 12x12 202102</t>
  </si>
  <si>
    <t>045 43# 140# Brown Wax</t>
  </si>
  <si>
    <t>5 RLS 17361# (4137# )</t>
  </si>
  <si>
    <t>use 2208# 2533# 3202# 3156# 3090# 3172#</t>
  </si>
  <si>
    <t>8441 Dong Vinh / American Paper / Imperial / Saladino 12x12 228412/12s 228411 228413</t>
  </si>
  <si>
    <t>056 35# Sili Grpsrf</t>
  </si>
  <si>
    <t>4+3 part 2962# (2323#)</t>
  </si>
  <si>
    <t xml:space="preserve">use 429# 440# 462# </t>
  </si>
  <si>
    <t>3 more rolls</t>
  </si>
  <si>
    <t>8440 California North 32x34.5 142541</t>
  </si>
  <si>
    <t xml:space="preserve">4 part 1100# </t>
  </si>
  <si>
    <t>paper due J#50924R</t>
  </si>
  <si>
    <t>ships 1/10</t>
  </si>
  <si>
    <t>8424 American Packaging 24x24 142464</t>
  </si>
  <si>
    <t>3+1part 7027# (5333#)</t>
  </si>
  <si>
    <t>use 2187# 2198# 2202# 440#</t>
  </si>
  <si>
    <t xml:space="preserve">8267 Area / MS Stock 54x30 use 1517# 1512# 1605# 1629# </t>
  </si>
  <si>
    <t>160 40# Draegers Frzr</t>
  </si>
  <si>
    <t xml:space="preserve">4 rls 6263# </t>
  </si>
  <si>
    <t xml:space="preserve">NO SHEEETING </t>
  </si>
  <si>
    <t xml:space="preserve">JASON OUT - WIFE ACCIDENT </t>
  </si>
  <si>
    <t>JUAN OUT SICK</t>
  </si>
  <si>
    <t xml:space="preserve">FRNACISCO CAME IN EARLY </t>
  </si>
  <si>
    <t>8438 Stock 14x14 182109 182112</t>
  </si>
  <si>
    <t>056 19# Dry Wax</t>
  </si>
  <si>
    <t>7 rls 14700# (13955#)</t>
  </si>
  <si>
    <t xml:space="preserve">use 910# 935# 995# 985# 628# 1043# </t>
  </si>
  <si>
    <t>cont. 8438</t>
  </si>
  <si>
    <t>8435 Orora 20x24 122129</t>
  </si>
  <si>
    <t>3 rls 8183# (4617#)</t>
  </si>
  <si>
    <t>use 2745# 2729# 2709#</t>
  </si>
  <si>
    <t>ships 1/3</t>
  </si>
  <si>
    <t>8454 Saladinos 10x10 14x14 16x16 228415s 228411s 228413s</t>
  </si>
  <si>
    <t>084 27# Sil Veg Parch</t>
  </si>
  <si>
    <t>3rls 5400# (2867#)</t>
  </si>
  <si>
    <t xml:space="preserve">use Walsh Expera rls apprx 5400# </t>
  </si>
  <si>
    <t>Walsh PO 32564 Due 1/7</t>
  </si>
  <si>
    <t>8444 Superior Packaging 36x24 232065 4.5" Circle 232206 11x11 232031</t>
  </si>
  <si>
    <t>050 25# Q2S</t>
  </si>
  <si>
    <t>4 rls 5777# (1356#)</t>
  </si>
  <si>
    <t>8450 Saladinos / Stock 16x16182131 12x12 182101 6x6 182175</t>
  </si>
  <si>
    <t>036 19# Dry Wax</t>
  </si>
  <si>
    <t>7 rls 16155#</t>
  </si>
  <si>
    <t>use 1477# 1451# 1458# 1391#</t>
  </si>
  <si>
    <t>CONT. 8450</t>
  </si>
  <si>
    <t>8389 Imperial 14x14 122854</t>
  </si>
  <si>
    <t>556 40# "World Wraps" Frzr "L"</t>
  </si>
  <si>
    <t xml:space="preserve">3-4 rls 2000# </t>
  </si>
  <si>
    <t>1/4/22 ships 1/3/22</t>
  </si>
  <si>
    <t>use 524# 524# 520# 522#</t>
  </si>
  <si>
    <t>8446 Bunzl 6x30 133324</t>
  </si>
  <si>
    <t>025 4# NAT Platter</t>
  </si>
  <si>
    <t>4 part 5217#</t>
  </si>
  <si>
    <t xml:space="preserve">use 1345# 1357# 1252# 1263# </t>
  </si>
  <si>
    <t>ships 1/11</t>
  </si>
  <si>
    <t>CHANGE of BLADE</t>
  </si>
  <si>
    <t>8437 Stock / Bunzl 20x30 15x20 103516 103532 103517</t>
  </si>
  <si>
    <t>3+3 part 9176# (5962# )</t>
  </si>
  <si>
    <t>use 467# 563# 978# 2339# 2480# 2352#</t>
  </si>
  <si>
    <t>8447 Monteeva Corp / American Cups / P&amp;R / Stk 18x30 132202 8x30 132090 132071 12x30 132130</t>
  </si>
  <si>
    <t>012 40# Pink Platter</t>
  </si>
  <si>
    <t>7 rls 18211# (10595#)</t>
  </si>
  <si>
    <t xml:space="preserve">use 2557# 2566# 2588# 2591# 2611# 2616# 2682# </t>
  </si>
  <si>
    <t>cont. 8447</t>
  </si>
  <si>
    <t>8390 Bunzl 18x18 122830</t>
  </si>
  <si>
    <t>450 Rubicon NAT Frzr "L'</t>
  </si>
  <si>
    <t>4 rls + 1 part 2100#</t>
  </si>
  <si>
    <t>1/3/22 ships 1/10</t>
  </si>
  <si>
    <t>use 97# 615# 604# 605# 200#</t>
  </si>
  <si>
    <t>8445 Stock MS 60x32 60x30</t>
  </si>
  <si>
    <t>011 40# Green Platter</t>
  </si>
  <si>
    <t>6 RLS 5215#</t>
  </si>
  <si>
    <t>use 841# 900# 901# 881# 860# 880#</t>
  </si>
  <si>
    <t>8455 Oakland / Imperial 16x16 12x12 8x11 D/C 6x6 22128</t>
  </si>
  <si>
    <t>084 24# Sili Grsrpf</t>
  </si>
  <si>
    <t>3 rls 3745# (2734#)</t>
  </si>
  <si>
    <t>8456 Sysco / Oakland 24x36 103494 47.5x29.5 103447</t>
  </si>
  <si>
    <t>3 rls 7749# (602#)</t>
  </si>
  <si>
    <t>use 1241# 1254# 1250#</t>
  </si>
  <si>
    <t>use 2643# 2639#  2467#</t>
  </si>
  <si>
    <t>ships 1/14</t>
  </si>
  <si>
    <t>8414 Vertiv 48x68 103468 24x30 103430</t>
  </si>
  <si>
    <t>060 40# Bleaced Kraft</t>
  </si>
  <si>
    <t>3 rls 7533#</t>
  </si>
  <si>
    <t>1/7/22 ships 1/18</t>
  </si>
  <si>
    <t>8453 Stock 36x36 103467</t>
  </si>
  <si>
    <t>3+1 part 6886# (1292#)</t>
  </si>
  <si>
    <t>use 2327# 2330# 2325#</t>
  </si>
  <si>
    <t xml:space="preserve">use 1231# 1911# 1881# 1863# </t>
  </si>
  <si>
    <t xml:space="preserve">8462 Stock / Stater Bro's 8x30 132705 6x30 10x30 8x30 5.5x29 9.5x29 8x29 </t>
  </si>
  <si>
    <t>058 40# Black platter</t>
  </si>
  <si>
    <t>2+6 part 7175# (4844#)</t>
  </si>
  <si>
    <t xml:space="preserve">use 220# 351# 721# 769# 738# 741# 1831# 1804# </t>
  </si>
  <si>
    <t>ships 1/19</t>
  </si>
  <si>
    <t>8313 GVH 12x29 12x28 8x29 8x28 10x29 10x28</t>
  </si>
  <si>
    <t>030 65# Heavy Pink Platter</t>
  </si>
  <si>
    <t>15 rls 36000#</t>
  </si>
  <si>
    <t>use 964# 999# 976# 2493# 2465# 2461# 2448# 2500# 2513#</t>
  </si>
  <si>
    <t>use 2533# 2538# 2515# 2577# 2584# 2487#</t>
  </si>
  <si>
    <t>cont 8313</t>
  </si>
  <si>
    <t>cont 8414</t>
  </si>
  <si>
    <t>8393 Moresco 15x15 122831</t>
  </si>
  <si>
    <t>348 40# NAT Mollie Stone Green</t>
  </si>
  <si>
    <t>4 rls 2547# (583#)</t>
  </si>
  <si>
    <t>1/12/22 ships 1/20</t>
  </si>
  <si>
    <t>USA 32325 Due 1/6/22</t>
  </si>
  <si>
    <t>8471 ifs 16X16 122922</t>
  </si>
  <si>
    <t>010 40# NAT FRZR "l"</t>
  </si>
  <si>
    <t>1+3 part 3522# (640#)</t>
  </si>
  <si>
    <t>use 373# 650# 652# 1947#</t>
  </si>
  <si>
    <t>ships 1/27</t>
  </si>
  <si>
    <t>8461 Moresco/Imperial 18x18x25.5 12x18 9x9 222013</t>
  </si>
  <si>
    <t>4 rls 2000#</t>
  </si>
  <si>
    <t xml:space="preserve">use 1278# 1378# 1345# 1345# </t>
  </si>
  <si>
    <t>ships 1/18</t>
  </si>
  <si>
    <t xml:space="preserve">8458 Imperial / Stk 15x15 122915 14x14 122938 </t>
  </si>
  <si>
    <t>4 rls 4996# (3917#)</t>
  </si>
  <si>
    <t>Jason not in</t>
  </si>
  <si>
    <t>12</t>
  </si>
  <si>
    <t>use 354# 954# 1663# 2025# 3036#</t>
  </si>
  <si>
    <t>ships 1/26</t>
  </si>
  <si>
    <t>Juan will run sheeter #2</t>
  </si>
  <si>
    <t>8465 Contract Sorucing / Stk 10.5x16.75 182096</t>
  </si>
  <si>
    <t>5+9 part 14688# (12000#)</t>
  </si>
  <si>
    <t xml:space="preserve">use 910# 935# 995# 982# 628# 292# 203# 287# 95# </t>
  </si>
  <si>
    <t xml:space="preserve">use 1926# 1985# 1980# 1770# 1795# </t>
  </si>
  <si>
    <t>8477 Oakland / Armstrong / Oak 7" Circle 14x19.5 14.5" Circle 232016232227 232016</t>
  </si>
  <si>
    <t>050 24# Q2S</t>
  </si>
  <si>
    <t>2+4 part 5001# (1586#)</t>
  </si>
  <si>
    <t xml:space="preserve">use 773# 766# 560# 556# 1171# 1175# </t>
  </si>
  <si>
    <t>8476 Contract Sorucing / GT Paper 8.5x11 192814 4" Circle 192774</t>
  </si>
  <si>
    <t>043 143# SW Wax</t>
  </si>
  <si>
    <t>5+2part 11863# (5504#)</t>
  </si>
  <si>
    <t xml:space="preserve">use 306# 1252# 2036# 199# 2045# 1910# 2319# </t>
  </si>
  <si>
    <t>Jason OUT</t>
  </si>
  <si>
    <t>Francisco  OUT</t>
  </si>
  <si>
    <t>Sal OUT</t>
  </si>
  <si>
    <t>8457 Walsh 12z12 122700 15x15 122150 14x17 122153</t>
  </si>
  <si>
    <t>3+8 part 15105# (8950#)</t>
  </si>
  <si>
    <t>use 136# 272# 256# 385# 300# 381# 375# 1278# 3902# 3889# 3991#</t>
  </si>
  <si>
    <t>ships 1/28</t>
  </si>
  <si>
    <t>Francisco is out</t>
  </si>
  <si>
    <t>cont. 8457</t>
  </si>
  <si>
    <t>8482 Bunzl 30x30 142372</t>
  </si>
  <si>
    <t>4 rls 11100# (1688#)</t>
  </si>
  <si>
    <t>use 2771# 2776# 2773# 2780#</t>
  </si>
  <si>
    <t>8467 Mountain View 14x23 103323 30x48 103490</t>
  </si>
  <si>
    <t>5 rls 15219# (6135#)</t>
  </si>
  <si>
    <t>use 3036# 3038# 3064# 3025# 3056#</t>
  </si>
  <si>
    <t>Jason out with stomach ache</t>
  </si>
  <si>
    <t>8328 Allied Box 10x10 122845</t>
  </si>
  <si>
    <t>138 C Casa Frzr</t>
  </si>
  <si>
    <t>3 rls 1600##</t>
  </si>
  <si>
    <t>1/5 SHIPS 1/7</t>
  </si>
  <si>
    <t>Juan ran sheeter #1 to finish j#8328</t>
  </si>
  <si>
    <t>USA 32237 Due 12/10</t>
  </si>
  <si>
    <t>After lunch, ran sheeter #2</t>
  </si>
  <si>
    <t>8469 Saladinos / Stk 12x12 182101  16x16 12x12 6x6</t>
  </si>
  <si>
    <t xml:space="preserve">6+3 part 15373# </t>
  </si>
  <si>
    <t>use 1714# 1000# 202#</t>
  </si>
  <si>
    <t>Dunn 31933 Due 1/19</t>
  </si>
  <si>
    <t>ships 1/31</t>
  </si>
  <si>
    <t>cont. 8469</t>
  </si>
  <si>
    <t>8483 Stock 6x30 8x30 132704 132705</t>
  </si>
  <si>
    <t>058 40# Black Platter</t>
  </si>
  <si>
    <t>3+2 part 7534# (5536#)</t>
  </si>
  <si>
    <t>8463 Stock 9.5x16 132143 8x30 132090 6x30 132069</t>
  </si>
  <si>
    <t xml:space="preserve">7 rls 17691# </t>
  </si>
  <si>
    <t>cont. 8463</t>
  </si>
  <si>
    <t>8486 Orora 18.5x22.5 103328</t>
  </si>
  <si>
    <t>4 rls 10347# (781#)</t>
  </si>
  <si>
    <t>use 2417# 2654# 2617# 2659#</t>
  </si>
  <si>
    <t>ship 2/3</t>
  </si>
  <si>
    <t>8492 P&amp;R 8.5x12 133408</t>
  </si>
  <si>
    <t>099 40# Red Steak Paper</t>
  </si>
  <si>
    <t>4 rls 1953# (853#)</t>
  </si>
  <si>
    <t>FROM REWIND J#51070R</t>
  </si>
  <si>
    <t>8484 Stater Bros 9.5x29 132719</t>
  </si>
  <si>
    <t>4 rls 10517# (2686#)</t>
  </si>
  <si>
    <t xml:space="preserve">use 2683# 2577# 2567# 2690# </t>
  </si>
  <si>
    <t>ships 2/1</t>
  </si>
  <si>
    <t>8470 Saladinos 16x16 228415S 10x10 228411s 14x14 228413s</t>
  </si>
  <si>
    <t>056 27# Si Veg Parch</t>
  </si>
  <si>
    <t>3 rls 8117# (1341#)</t>
  </si>
  <si>
    <t xml:space="preserve">use 929# 898# 890# </t>
  </si>
  <si>
    <t>Francsico on Jenny</t>
  </si>
  <si>
    <t>Demetrio Cutting w/ Mario</t>
  </si>
  <si>
    <t xml:space="preserve">8502 Multile Customers 9x12 16x16 12x12 15x16 14x14 </t>
  </si>
  <si>
    <t>034 20# Wht Grsr Resitant</t>
  </si>
  <si>
    <t xml:space="preserve">7 part 8125# </t>
  </si>
  <si>
    <t>8500 Mendes Supply / Oakland 17x17 2.5x6.5 192765 192764</t>
  </si>
  <si>
    <t>2+3 part 6482# (1097#)</t>
  </si>
  <si>
    <t>use 1230# 1155 1557# 1162# 1182# 1140# 1099#</t>
  </si>
  <si>
    <t xml:space="preserve">use 701# 672# 1028# 2045# 2036# </t>
  </si>
  <si>
    <t>RUN 60" partials also</t>
  </si>
  <si>
    <t>use 166# 165#</t>
  </si>
  <si>
    <t>8499 Imperial / Stock 15x20 20x30</t>
  </si>
  <si>
    <t>3 part 2541# (1955#)</t>
  </si>
  <si>
    <t>use 978# 653# 910#</t>
  </si>
  <si>
    <t>-</t>
  </si>
  <si>
    <t>8491 Star Box 13x34 103484</t>
  </si>
  <si>
    <t xml:space="preserve">060 40# Bleached </t>
  </si>
  <si>
    <t>5 rls 9043#</t>
  </si>
  <si>
    <t>8501 Jacmar Food / Royco 16x16 12x12</t>
  </si>
  <si>
    <t>084 27# Sili Grsprf</t>
  </si>
  <si>
    <t>3 part 888#</t>
  </si>
  <si>
    <t>use 1812# 1801# 1808# 1819# 1803#</t>
  </si>
  <si>
    <t>ship 2/1</t>
  </si>
  <si>
    <t xml:space="preserve">use 282# 301# 305# </t>
  </si>
  <si>
    <t>MUST BE CAREFUL</t>
  </si>
  <si>
    <t>NOT TOO MUCH LOSS</t>
  </si>
  <si>
    <t>SAL/CHUY SUPERVISE</t>
  </si>
  <si>
    <t>8488 Ernest Pkg 12x12 142412 142441 142445 142408</t>
  </si>
  <si>
    <t>3 part 1647# (3333#)</t>
  </si>
  <si>
    <t xml:space="preserve">use 543# 554# 550# 2185# 2169# </t>
  </si>
  <si>
    <t>ships 2/8</t>
  </si>
  <si>
    <t>8383 See's Candies 5.875x4.375 192475</t>
  </si>
  <si>
    <t>048 30.5# Twist Wax</t>
  </si>
  <si>
    <t>3-4 rls 4500#</t>
  </si>
  <si>
    <t>1/28/22 ships 2/9/22 ASAP</t>
  </si>
  <si>
    <t xml:space="preserve">8460 Vertiv 48X68 103468 </t>
  </si>
  <si>
    <t>060 30# Bleached Kraft</t>
  </si>
  <si>
    <t xml:space="preserve">6 rls 14222# </t>
  </si>
  <si>
    <t>use 1414# 1414# 1424#</t>
  </si>
  <si>
    <t>8459 Area 15x17 122861</t>
  </si>
  <si>
    <t>330 45# Lunardi's</t>
  </si>
  <si>
    <t>3 part 3720# (2550#)</t>
  </si>
  <si>
    <t>use 1711# 1720# 981#</t>
  </si>
  <si>
    <t xml:space="preserve">8480 Imperial 18x22 122919 </t>
  </si>
  <si>
    <t>7 rls 9990#</t>
  </si>
  <si>
    <t>use 1510# 1510# 1459# 1459# 1380# 1380# 1292#</t>
  </si>
  <si>
    <t>ships 2/9</t>
  </si>
  <si>
    <t>cont. 8480</t>
  </si>
  <si>
    <t>cont. 8460</t>
  </si>
  <si>
    <t>8478 Ernest Pkg 40x48 232091</t>
  </si>
  <si>
    <t>4 rls 1910#</t>
  </si>
  <si>
    <t>use 1057# 1006# 1949# 967#</t>
  </si>
  <si>
    <t>ships 2/11</t>
  </si>
  <si>
    <t>JUAN HELPING WRAP 48x68</t>
  </si>
  <si>
    <t>Francisco on Jenny</t>
  </si>
  <si>
    <t>NO Sheeting</t>
  </si>
  <si>
    <t>Too many pallets</t>
  </si>
  <si>
    <t>8507 Stock 15x20 103517 24x30 103536</t>
  </si>
  <si>
    <t>004 50# wht Butcher</t>
  </si>
  <si>
    <t>2+1 part 6304# (2413#)</t>
  </si>
  <si>
    <t xml:space="preserve">use 987# 2339# 2978# </t>
  </si>
  <si>
    <t>8517 Star Box 24x36 191515</t>
  </si>
  <si>
    <t>041 130# SW Wax</t>
  </si>
  <si>
    <t>5 rls 6771# (3960#)</t>
  </si>
  <si>
    <t xml:space="preserve">use 1493# 1780# 1130# 1164# 1204# </t>
  </si>
  <si>
    <t>8511 Contract Sourcing / A. Clark / Stock 10.5x16.75 182096 5.5x5.5 182020 10.5x15 5x5 6x6</t>
  </si>
  <si>
    <t>7+4 part 13096# (3568#)</t>
  </si>
  <si>
    <t xml:space="preserve">use 1840# 1817# 1940# 1942# 1942# 1503# 1309# </t>
  </si>
  <si>
    <t>8509 American Cups / stock 7x38 132083 8x30 132071 12x30 132130</t>
  </si>
  <si>
    <t>7 rls 17500#</t>
  </si>
  <si>
    <t xml:space="preserve">use 2573# 2594# 2445# 2639# </t>
  </si>
  <si>
    <t>ships 27</t>
  </si>
  <si>
    <t>small partials alos</t>
  </si>
  <si>
    <t>8525 Komar / Bunzl 40x40 103478 18x24 103419</t>
  </si>
  <si>
    <t>3 rls 7366# (1174#)</t>
  </si>
  <si>
    <t xml:space="preserve">use 2372# 2335# 2659# </t>
  </si>
  <si>
    <t xml:space="preserve">8526 Komar 24x36 142375 </t>
  </si>
  <si>
    <t>3 rls 6674# (1000#)</t>
  </si>
  <si>
    <t>use 2222# 2205# 2247#</t>
  </si>
  <si>
    <t>8496 Area 15x18 122879</t>
  </si>
  <si>
    <t>3 rls 2000# (1320#)</t>
  </si>
  <si>
    <t xml:space="preserve">use 385# 387# 1213# </t>
  </si>
  <si>
    <t>8513 Oakland / Orora / Imperial 9.6875x19.5 232039 4.5" Circle 232206 12" Scallop 7" Circle 12x12</t>
  </si>
  <si>
    <t>6 part 3351# (1133#)</t>
  </si>
  <si>
    <t>use 501# 495# 286# 285# 893# 891#</t>
  </si>
  <si>
    <t>ships 2/7</t>
  </si>
  <si>
    <t>8510 American Cups / Stock 12.75x17.75 182179 8.625x13.25 182178</t>
  </si>
  <si>
    <t>034 20# Wht Grs Resistant</t>
  </si>
  <si>
    <t xml:space="preserve">7 rls 16100# </t>
  </si>
  <si>
    <t>COULD NOT START IT BC PAPER FLYING</t>
  </si>
  <si>
    <t xml:space="preserve">HAD TO CHANGE SIZE TO SMALLER </t>
  </si>
  <si>
    <t>8504 Sysco 27x27 103433</t>
  </si>
  <si>
    <t>4 rls 11531# (1485#)</t>
  </si>
  <si>
    <t xml:space="preserve">use 2972# 2873# 2754# 2932# </t>
  </si>
  <si>
    <t>8514 Stater Bros 7.5x29 132717 9.5x29 132719</t>
  </si>
  <si>
    <t>4 part 7781# (3047#)</t>
  </si>
  <si>
    <t>use 2001# 1894# 1883# 2003#</t>
  </si>
  <si>
    <t>8524 Stock 8x30 132090</t>
  </si>
  <si>
    <t xml:space="preserve">6 rls 18301# </t>
  </si>
  <si>
    <t xml:space="preserve">use 2553# 2565# 2624# 2573# 2573# 2445# </t>
  </si>
  <si>
    <t>8508 Imperial bag / Stock 15x18 12x12 15x15 122915 122927122925</t>
  </si>
  <si>
    <t>010 45# NAT Frzr "L"</t>
  </si>
  <si>
    <t>4 rls 9002# (5000#)</t>
  </si>
  <si>
    <t xml:space="preserve">use 2304# 2330# 2194# 2174# </t>
  </si>
  <si>
    <t>USING HEAVIER BASIS WT</t>
  </si>
  <si>
    <t>ok</t>
  </si>
  <si>
    <t>RUN TO SHEET COUNT</t>
  </si>
  <si>
    <t>using 40/5 as a sub</t>
  </si>
  <si>
    <t>8523 Oakland 15x15 122933 5.25x9.75 12200</t>
  </si>
  <si>
    <t>1+3 part 5638# (3729#)</t>
  </si>
  <si>
    <t>cont 8524</t>
  </si>
  <si>
    <t>use 1174# 1201# 2127# 1136#</t>
  </si>
  <si>
    <t>ships 2/14</t>
  </si>
  <si>
    <t>8505 Ernest Pkg 20x28 103480</t>
  </si>
  <si>
    <t>5 part 8923# (3700#)</t>
  </si>
  <si>
    <t xml:space="preserve">use 1777# 1769# 1763# 1809# 1805# </t>
  </si>
  <si>
    <t>8531 Stock 14x14 182109 182112</t>
  </si>
  <si>
    <t>036 Dry Wax</t>
  </si>
  <si>
    <t xml:space="preserve">2+11 part 11171# </t>
  </si>
  <si>
    <t>use 1192# 1172# 1053# 1077# 744# 550# 496# 424# 169# 284# 4010#</t>
  </si>
  <si>
    <t>cont 8531</t>
  </si>
  <si>
    <t>8530 8x10 142408</t>
  </si>
  <si>
    <t>2+2 part 4928# (933#)</t>
  </si>
  <si>
    <t xml:space="preserve">use 787# 741# 1303# 2097# </t>
  </si>
  <si>
    <t>ships 2/23</t>
  </si>
  <si>
    <t>No Sheeting</t>
  </si>
  <si>
    <t>Too many Pallets on the floor for me to run</t>
  </si>
  <si>
    <t>8534 Stock 20x30 103532 24x30 103536</t>
  </si>
  <si>
    <t>4 rls 4064#</t>
  </si>
  <si>
    <t>8481 Imperial Bag 9" Circle 2230009 10" Scallop 223022 222018</t>
  </si>
  <si>
    <t>047 27# Parch</t>
  </si>
  <si>
    <t>1+4 part 3439# (1208#)</t>
  </si>
  <si>
    <t>2/14 ships 2/21</t>
  </si>
  <si>
    <t xml:space="preserve">use 877# 874# 846# 1429# </t>
  </si>
  <si>
    <t>8522 Imperial 12x8 232018 8" Circle 232228</t>
  </si>
  <si>
    <t xml:space="preserve">050 24# Q2S </t>
  </si>
  <si>
    <t>4+3 part 6051#</t>
  </si>
  <si>
    <t>use 1193# 1177# 1180# 1191# 704# 305# 301#</t>
  </si>
  <si>
    <t>8536 Armstrong 3.5x3.5 231043 7x7 232066 3.5x4.375 231044</t>
  </si>
  <si>
    <t xml:space="preserve">3 part 3266# (514#) </t>
  </si>
  <si>
    <t>use 1108# 1110# 1048#</t>
  </si>
  <si>
    <t>8538 American Pack 18x18 122165</t>
  </si>
  <si>
    <t>2+1part 9183# (563#)</t>
  </si>
  <si>
    <t>use 1504# 3847# 3832#</t>
  </si>
  <si>
    <t>ships 2/25</t>
  </si>
  <si>
    <t>8537 Multiple Cust.  15x16 182183 182190 12x12 182185 122187</t>
  </si>
  <si>
    <t>033 20# NAT F/C</t>
  </si>
  <si>
    <t>6 rls 14395#</t>
  </si>
  <si>
    <t xml:space="preserve">use 2399# 2410# 2399# 2399# 2394# 2394# </t>
  </si>
  <si>
    <t>cont. 8537</t>
  </si>
  <si>
    <t>8540 Ernest / Excellence 21.5x103465 15x15 103495</t>
  </si>
  <si>
    <t>5 part 5674# (4000#)</t>
  </si>
  <si>
    <t>use 1111# 1161# 3025# 3036#</t>
  </si>
  <si>
    <t>ships 2/21</t>
  </si>
  <si>
    <t>8535 Stock 14x14 182168</t>
  </si>
  <si>
    <t>034# 20# Wht Grs Resistant</t>
  </si>
  <si>
    <t>6 rls 7046#</t>
  </si>
  <si>
    <t>FROM REWIND J#51146R</t>
  </si>
  <si>
    <t>cont. 8535</t>
  </si>
  <si>
    <t>Help Maria with IPS rolls</t>
  </si>
  <si>
    <t>8542 Imperial Bag / Armstrong 9" Circle 223009 9x9 222013</t>
  </si>
  <si>
    <t>4 part 2462# (1283#)</t>
  </si>
  <si>
    <t xml:space="preserve">use 553# 544# 523# 842# </t>
  </si>
  <si>
    <t>8545 Stock 15x15 122915 14x14 16x16 12x12 122911 122922 122927 122938</t>
  </si>
  <si>
    <t>1+4 part 5772# (4678# )</t>
  </si>
  <si>
    <t>8515 Vertiv 48x68 103468</t>
  </si>
  <si>
    <t>6 rls 9600#</t>
  </si>
  <si>
    <t xml:space="preserve">use 933# 961# 899# 882# 2097# </t>
  </si>
  <si>
    <t>8541 Schulter &amp; Assoc 8x30  6x30 10x30 12x30 132090DV 132069DV 132109DV 132130DV</t>
  </si>
  <si>
    <t>10 rls 26309#</t>
  </si>
  <si>
    <t xml:space="preserve">use 2639# 2604# 2612# 2612# 2618# 2631# 2661# 2674# 2668# 2590# </t>
  </si>
  <si>
    <t>Francisco on Vacation</t>
  </si>
  <si>
    <t>cont 8541</t>
  </si>
  <si>
    <t>cont 8515</t>
  </si>
  <si>
    <t>FRANCISCO ON JENNY</t>
  </si>
  <si>
    <t>8546 Ernest Pkg / Komar 27x16.5 103384 18x24 103419</t>
  </si>
  <si>
    <t>5 rls 12767# (2438#)</t>
  </si>
  <si>
    <t>use 2462# 2368# 2432# 2754# 2751#</t>
  </si>
  <si>
    <t>8426 Bunzl 18x18 122830</t>
  </si>
  <si>
    <t>450 Rubicon NAT Frzr "L"</t>
  </si>
  <si>
    <t>5 rls 6326#</t>
  </si>
  <si>
    <t>2/11/22 ships 2/13</t>
  </si>
  <si>
    <t>use 1091# 1042# 1511# 1171# 1511#</t>
  </si>
  <si>
    <t>RUN ALL</t>
  </si>
  <si>
    <t xml:space="preserve">105 tabs - 210 cases </t>
  </si>
  <si>
    <t>BLADE CHANGE - NO SHEETING</t>
  </si>
  <si>
    <t>OKAY TO INCREASE TABS ON RUN SHEET</t>
  </si>
  <si>
    <t>8544 Walsh / Stock 12x12 122700 15x15 122150</t>
  </si>
  <si>
    <t>3+3part 17212# (10031#)</t>
  </si>
  <si>
    <t>NO JASON, JUAN RAN SHEETER #1</t>
  </si>
  <si>
    <t xml:space="preserve">use 1300# 850# 3600# 3832# 3783# 3847# </t>
  </si>
  <si>
    <t>ships 3/1</t>
  </si>
  <si>
    <t>,</t>
  </si>
  <si>
    <t>8550 IFS 13x13 122936</t>
  </si>
  <si>
    <t>5-6 rls 8000#</t>
  </si>
  <si>
    <t xml:space="preserve">use 2751# 2712# 2738# </t>
  </si>
  <si>
    <t>cont. 8426</t>
  </si>
  <si>
    <t>8556 IFS 13x13 122936</t>
  </si>
  <si>
    <t>2+1 part 6536# (3611# )</t>
  </si>
  <si>
    <t>use 1221# 2989# 2326#</t>
  </si>
  <si>
    <t>8527 Oakland 11x24 232046 7" Circle 232227</t>
  </si>
  <si>
    <t>4 rls 6000#</t>
  </si>
  <si>
    <t>8563 Saladinos/P&amp;R/Stock 10.5x15 182072 5.5x5.5 5x5 16x16 12x12 6x6 11.75x15.5 182088 15x20</t>
  </si>
  <si>
    <t>6+1 part 11971# (7477#)</t>
  </si>
  <si>
    <t xml:space="preserve">use 745# 1616# 1405# 2087# 2056# 2034# 2028# </t>
  </si>
  <si>
    <t xml:space="preserve">8547 Forest Rest. 15x20 103415 </t>
  </si>
  <si>
    <t>2+2 part 9982# (1900#)</t>
  </si>
  <si>
    <t>use 3045# 3025# 1910# 2002#</t>
  </si>
  <si>
    <t>ships 3/4</t>
  </si>
  <si>
    <t xml:space="preserve">8551 Bunzl 30x30 142372 </t>
  </si>
  <si>
    <t>4 rls 9353# (500#)</t>
  </si>
  <si>
    <t>use 2200# 2197# 2183# 2773#</t>
  </si>
  <si>
    <t>8516 Imperial Bag/ Cerenzia / Saladinos 12x12 228412/12S 16x16 228415 6x12 222029 10x10 14x14</t>
  </si>
  <si>
    <t>056 27# Sili Parch (SUB FOR 35#)</t>
  </si>
  <si>
    <t>3+2 part 6279# (6000#)</t>
  </si>
  <si>
    <t xml:space="preserve">8557 Stock 6x30 8x30 10x30 </t>
  </si>
  <si>
    <t>4+3 part 7578# (4880#)</t>
  </si>
  <si>
    <t xml:space="preserve">use 425# 454# </t>
  </si>
  <si>
    <t>use 154# 122# 123# 1827# 1770# 1784# 1798#</t>
  </si>
  <si>
    <t>8369 IFS 13x13 122936</t>
  </si>
  <si>
    <t>010 40# NAT FRZR "L"</t>
  </si>
  <si>
    <t xml:space="preserve">6 rls 11450# </t>
  </si>
  <si>
    <t>1/28/22 ships 1/31</t>
  </si>
  <si>
    <t>Hood 32344 Due 1/28</t>
  </si>
  <si>
    <t>8560 The 365 Trading / P&amp;R / Ghazal &amp; Sons / Cental Bag 12x29 132412 5.5x29 132309 8x29 132408 7.5x29 10x29 6x26 6x29</t>
  </si>
  <si>
    <t>3 rls 7500# (5000#)</t>
  </si>
  <si>
    <t>8562 American Cups / Stock 7x38 132083 8x30 132071 10x30 132109 60x30</t>
  </si>
  <si>
    <t xml:space="preserve">6 rls 15539# </t>
  </si>
  <si>
    <t>cont. 8560</t>
  </si>
  <si>
    <t xml:space="preserve">use 2590# 2581# 2607# 2597# 2575# 2589# </t>
  </si>
  <si>
    <t>ships 3/7</t>
  </si>
  <si>
    <t>8554 P&amp;R 11" Circle 133400</t>
  </si>
  <si>
    <t>4 rls 600#</t>
  </si>
  <si>
    <t>from 51198R</t>
  </si>
  <si>
    <t>8575 Komar 18x24 142519</t>
  </si>
  <si>
    <t>4 rls 8278# (1000#)</t>
  </si>
  <si>
    <t xml:space="preserve">use 2081# 2022# 2083# 2092# </t>
  </si>
  <si>
    <t>cont 8562</t>
  </si>
  <si>
    <t>8346 Raybern 12x15 122885</t>
  </si>
  <si>
    <t>444 50# Raybern Frzr</t>
  </si>
  <si>
    <t>11 rls 25000#</t>
  </si>
  <si>
    <t>2/21 SHIPS 3/1</t>
  </si>
  <si>
    <t>8553 Advance Paper 6x9.5 191385</t>
  </si>
  <si>
    <t>041 #130 SW Wax</t>
  </si>
  <si>
    <t>4 part 3224# (1663#)</t>
  </si>
  <si>
    <t xml:space="preserve">use 2381# 2385# 2412# 2377# 2401# 2599# 2416# 2418# 2480# 1843# 1810# </t>
  </si>
  <si>
    <t>Owens 32258 DUE 2/11</t>
  </si>
  <si>
    <t>use 1040# 971# 606# 607#</t>
  </si>
  <si>
    <t>SHIP ALL</t>
  </si>
  <si>
    <t>EXACT COUNT ON BOXES TO BILL CUST</t>
  </si>
  <si>
    <t>8473 15x18 122871</t>
  </si>
  <si>
    <t xml:space="preserve">176 40/5 "El Rancho Deli" </t>
  </si>
  <si>
    <t xml:space="preserve">3 rls 2949# </t>
  </si>
  <si>
    <t>4/8 ships 4/13</t>
  </si>
  <si>
    <t>use 1464# 1477#</t>
  </si>
  <si>
    <t>8370 IFS 13x13 122936</t>
  </si>
  <si>
    <t xml:space="preserve">7 rls 11450# </t>
  </si>
  <si>
    <t>8425 Walsh 12x12 122853</t>
  </si>
  <si>
    <t>236 H Burrito NAT Frzr "L"</t>
  </si>
  <si>
    <t>4 rls 4000#</t>
  </si>
  <si>
    <t>3/11/22 ships 2/10</t>
  </si>
  <si>
    <t>use 1859# 1898# 1911# 2297# 2306#</t>
  </si>
  <si>
    <t>USA 32457 Due 2/21</t>
  </si>
  <si>
    <t>8570 Stater Bros 5.5x29 132716 7.5x29 132717 9.5x29 132719</t>
  </si>
  <si>
    <t>2+4 part 12464# (9000#)</t>
  </si>
  <si>
    <t>JUAN RAN SHEETER #2</t>
  </si>
  <si>
    <t>use 1213# 1099# 1089# 2588# 2624# 2636#</t>
  </si>
  <si>
    <t>ships 3/9</t>
  </si>
  <si>
    <t>Jason Cutting</t>
  </si>
  <si>
    <t>Sal taking care of the front</t>
  </si>
  <si>
    <t>8472 Saveway 46.5x47.5 142576</t>
  </si>
  <si>
    <t>066 50# Spec 2492 Kraft Date Wrap</t>
  </si>
  <si>
    <t>5 rls 11000#</t>
  </si>
  <si>
    <t>2/18/22 ships 3/7 CAN SHIP SOONER so RUN ASAP</t>
  </si>
  <si>
    <t>Kapstone 32616 Due 2/9</t>
  </si>
  <si>
    <t>8573 Imperial / Stock 18x18 122935 18x22 122919</t>
  </si>
  <si>
    <t>5 rls 12851# (4000#)</t>
  </si>
  <si>
    <t>use 2465# 2579# 2522# 2520# 2765#</t>
  </si>
  <si>
    <t>ships 3/8</t>
  </si>
  <si>
    <t>8569 Mid Valley 12x36 182238</t>
  </si>
  <si>
    <t xml:space="preserve">12 rls 14532# </t>
  </si>
  <si>
    <t>use 51# 1306# 1269# 1024# 1048# 1137# 1166# 1210# 1256# 1219# 1174# 1313# 1359#</t>
  </si>
  <si>
    <t>ships 3/15</t>
  </si>
  <si>
    <t>8568 Contract Souurcing / Ghazal 8.5x11 12x12 192814 192512</t>
  </si>
  <si>
    <t xml:space="preserve">5 part 5329# </t>
  </si>
  <si>
    <t xml:space="preserve">use 427# 465# 806# 1815# 1816# </t>
  </si>
  <si>
    <t>LOAD ALL 5 part</t>
  </si>
  <si>
    <t>2 Big Jumbos in front and 806# third, small part at end</t>
  </si>
  <si>
    <t>Run three at a time, two 1800# and one of the others at a time</t>
  </si>
  <si>
    <t xml:space="preserve">8590 Saladino's 14x14 182111 </t>
  </si>
  <si>
    <t>6 part 5329# (3000#)</t>
  </si>
  <si>
    <t xml:space="preserve">use 485# 527# 580# 744# 1053# 1940# </t>
  </si>
  <si>
    <t>ships 3/11</t>
  </si>
  <si>
    <t xml:space="preserve">8589 Saladino's 16x16 12x12 6x6 14x14 182111 </t>
  </si>
  <si>
    <t xml:space="preserve">7 part 6291# (5616#) </t>
  </si>
  <si>
    <t>use 260# 471# 959# 903# 909# 897# 1892#</t>
  </si>
  <si>
    <t>cont. 8589</t>
  </si>
  <si>
    <t>8580 Orora / Oak / Armstrong 10" Circle 232232 232239</t>
  </si>
  <si>
    <t>2+3 part 5504# (1523#)</t>
  </si>
  <si>
    <t>use 937# 938# 747# 1455# 1427#</t>
  </si>
  <si>
    <t>ships 3/14</t>
  </si>
  <si>
    <t xml:space="preserve">8432 Cerenzia Saladinos 14x14 228413 228413s 228412s 228411s </t>
  </si>
  <si>
    <t>48/49.125</t>
  </si>
  <si>
    <t>056 35# Sili grsprf</t>
  </si>
  <si>
    <t>3+3part 6173# (2003#)</t>
  </si>
  <si>
    <t>use 309# 131# 333#</t>
  </si>
  <si>
    <t xml:space="preserve">8355 GVH 12x29 12x28 8x29 8x28 10x28 6x29 132413 132412 132409 132408 132411 132406 </t>
  </si>
  <si>
    <t>030 65# Heavy pink Platter</t>
  </si>
  <si>
    <t>15 rls 37500#</t>
  </si>
  <si>
    <t>3/11 ships 3/25</t>
  </si>
  <si>
    <t>LOAD 6 rolls at a time</t>
  </si>
  <si>
    <t>RUN THREE</t>
  </si>
  <si>
    <t>cont. 8355</t>
  </si>
  <si>
    <t>8578 Economic 12x18 142318</t>
  </si>
  <si>
    <t>4 rls 10734# (900#)</t>
  </si>
  <si>
    <t xml:space="preserve">use 1961# 2555# 2543# </t>
  </si>
  <si>
    <t>8577 Economic 14x26 103325</t>
  </si>
  <si>
    <t>3 part 1444#</t>
  </si>
  <si>
    <t>use 1400# 1499#</t>
  </si>
  <si>
    <t>8427 Imperial 14x14 122854</t>
  </si>
  <si>
    <t>3-4 rls 1899#</t>
  </si>
  <si>
    <t>3/11/22 ships 2/21</t>
  </si>
  <si>
    <t>use 511# 500# 527# 517#</t>
  </si>
  <si>
    <t>SHEETER #2 DOWN</t>
  </si>
  <si>
    <t>8582 Adagio / Y&amp;S Dist. / U Smart / Stock 9.5x16 132143 8x30 132071 6x30 10x30</t>
  </si>
  <si>
    <t>012 40# Pink platter</t>
  </si>
  <si>
    <t>6 rls 11000#</t>
  </si>
  <si>
    <t>RUNNING SHEETER #1</t>
  </si>
  <si>
    <t>8479 Area Stk 15x18 18x30 MS</t>
  </si>
  <si>
    <t>4 rls 5000#</t>
  </si>
  <si>
    <t>Hood 31728 Due 2/10</t>
  </si>
  <si>
    <t>8576 Mid Valley 24x36 182132</t>
  </si>
  <si>
    <t>4 rls 6318#</t>
  </si>
  <si>
    <t xml:space="preserve">use 1406# 1571# 1640# 1701# </t>
  </si>
  <si>
    <t>8572 Area 15x18 122879 15x15 122881</t>
  </si>
  <si>
    <t>3 rls 5784# (1503#)</t>
  </si>
  <si>
    <t xml:space="preserve">use 1913# 1933# 1938# </t>
  </si>
  <si>
    <t>8598 Saveway 46.5x47.5</t>
  </si>
  <si>
    <t>066 50# Spec 2492# Kraft Date Wrap</t>
  </si>
  <si>
    <t>4 rls 2500#</t>
  </si>
  <si>
    <t>8571 Veritiv / Kevidko 48x68 103468 24x30 103430</t>
  </si>
  <si>
    <t>3 rls 9000# (4717#)</t>
  </si>
  <si>
    <t>use 2405# 2467# 2456#</t>
  </si>
  <si>
    <t>cont 8571</t>
  </si>
  <si>
    <t>8596 Moutain View 14x23 103323</t>
  </si>
  <si>
    <t>001 30# Wht Grocery</t>
  </si>
  <si>
    <t>5 rls 7733# (3500#)</t>
  </si>
  <si>
    <t>use 1533# 1544# 1552# 1559# 1545#</t>
  </si>
  <si>
    <t>use 3/23</t>
  </si>
  <si>
    <t>8356 GVH 10x29 132410</t>
  </si>
  <si>
    <t>6 rls 22500# (19112# )</t>
  </si>
  <si>
    <t>3/19 ships 3/25</t>
  </si>
  <si>
    <t>NO JUAN OR FRANCISCO</t>
  </si>
  <si>
    <t>use 1784# 1809# 1710# 2542# 2803# 2639# 2525# 2498# 1198# 1114# 935#</t>
  </si>
  <si>
    <t>BOTH ON VACATION</t>
  </si>
  <si>
    <t>SHEETER #2 @ Komar</t>
  </si>
  <si>
    <t>RUNNING DAY SHIFT ONLY</t>
  </si>
  <si>
    <t>cont. 8356</t>
  </si>
  <si>
    <t xml:space="preserve">NO JUAN </t>
  </si>
  <si>
    <t xml:space="preserve">COVID SYMPTOMS  </t>
  </si>
  <si>
    <t>cont 8596</t>
  </si>
  <si>
    <t>8584 Bunzl / Albertson's / Stk 8x30 133326 6x30 10x30</t>
  </si>
  <si>
    <t>025 40# NAT Platter</t>
  </si>
  <si>
    <t>4 rls 7308#  (3120# )</t>
  </si>
  <si>
    <t>use 1883# 1613# 1758# 2054#</t>
  </si>
  <si>
    <t>8388 IFS 13x13 122936</t>
  </si>
  <si>
    <t>3/3/22 ships 3/9</t>
  </si>
  <si>
    <t>8601 Albertson's / Sysco 18x20 103472 27x27 103433</t>
  </si>
  <si>
    <t>002 38# Wht Butcher</t>
  </si>
  <si>
    <t>5 part 10380#  (8526#)</t>
  </si>
  <si>
    <t>use 2288# 2282# 2260# 2266# 2299#</t>
  </si>
  <si>
    <t xml:space="preserve">use 1576# 1955# 1955# 2462# 2432# </t>
  </si>
  <si>
    <t>ships 3/29</t>
  </si>
  <si>
    <t>8583 Stock 15x20 20x30</t>
  </si>
  <si>
    <t>4-6 rls 4000#</t>
  </si>
  <si>
    <t>use 258# 176# 1859# 1853# 1893#</t>
  </si>
  <si>
    <t>FRANCISCO LEFT EARLY</t>
  </si>
  <si>
    <t>DID NOT LOAD RIGHT AWAY</t>
  </si>
  <si>
    <t>cont. 8583</t>
  </si>
  <si>
    <t xml:space="preserve">ISSUES AROSE WITH MACHINE </t>
  </si>
  <si>
    <t>HEAVY PINK PLATTER RAN IN THE MORNING STILL</t>
  </si>
  <si>
    <t>8387 IFS 13x13 122936</t>
  </si>
  <si>
    <t xml:space="preserve">5 rls 11450# </t>
  </si>
  <si>
    <t>3/16/22 ships 3/23</t>
  </si>
  <si>
    <t>8594 Poly Wholesale 20x30 / Sunrise Food 232021 9" 232230</t>
  </si>
  <si>
    <t>2+5 part 3512# (2167#)</t>
  </si>
  <si>
    <t xml:space="preserve">use 2251# 2251# 2273# 2280# 2280# </t>
  </si>
  <si>
    <t>started on Friday</t>
  </si>
  <si>
    <t>use 114# 99# 113# 113# 699# 1188# 1186#</t>
  </si>
  <si>
    <t>@11 am</t>
  </si>
  <si>
    <t>1.5 shift or 11 hrs</t>
  </si>
  <si>
    <t>85611 American paper 12.75x17.875 192701</t>
  </si>
  <si>
    <t xml:space="preserve">2 part 487# </t>
  </si>
  <si>
    <t xml:space="preserve">use 250# 237# </t>
  </si>
  <si>
    <t>8629 Imperial / P&amp;R / Stock 15x18 122925 14x14 122911/38</t>
  </si>
  <si>
    <t>5 rls 4216#</t>
  </si>
  <si>
    <t>ROLLS CAME FROM KOMAR</t>
  </si>
  <si>
    <t>8597 Stock 15x20 103517 103532 103593 103506</t>
  </si>
  <si>
    <t>004 50# Wht Bucher</t>
  </si>
  <si>
    <t>4 12512# (8200#)</t>
  </si>
  <si>
    <t xml:space="preserve">use 3009# 2974# 2970# 2985# </t>
  </si>
  <si>
    <t>8406 IFS 13x13 122936</t>
  </si>
  <si>
    <t>3/24/22 ships 4/4</t>
  </si>
  <si>
    <t>8608 Eve Pack / American paper 8x10 26x32 24x24 142464</t>
  </si>
  <si>
    <t>2+1 part 5457# (2333#)</t>
  </si>
  <si>
    <t>use 2273# 2273# 2282# 2306# 2299#</t>
  </si>
  <si>
    <t>use 1059# 2207# 2191#</t>
  </si>
  <si>
    <t>cont. 8406</t>
  </si>
  <si>
    <t>Mastersheets-8032107 - Finish goods-8032108</t>
  </si>
  <si>
    <t xml:space="preserve">8604 Bunzl 30x30 142372 </t>
  </si>
  <si>
    <t>3 rls 95353# (500# )</t>
  </si>
  <si>
    <t xml:space="preserve">use 220# 2197# 2183# </t>
  </si>
  <si>
    <t>8548 Stock 36x36 103467</t>
  </si>
  <si>
    <t xml:space="preserve">3 rls 1140# </t>
  </si>
  <si>
    <t>use 901# 1821# 1806#</t>
  </si>
  <si>
    <t>marked off report not to move</t>
  </si>
  <si>
    <t xml:space="preserve">8609 Imperial Bag 12x12 122927 </t>
  </si>
  <si>
    <t xml:space="preserve">3+2 part 6253# </t>
  </si>
  <si>
    <t>8612 Oak / Sunrise Food 14.5" Circle 232239 6" Circle 232219 8" Cicle 232228</t>
  </si>
  <si>
    <t>4 part 2776# (1994# )</t>
  </si>
  <si>
    <t>cutter run sheet #4 received 4/4</t>
  </si>
  <si>
    <t xml:space="preserve">use 1888# 1889# 1900# 201# 375# </t>
  </si>
  <si>
    <t>Rolls are at Komar</t>
  </si>
  <si>
    <t>ships 4/6</t>
  </si>
  <si>
    <t xml:space="preserve">use 620# 619# 423# 1114# </t>
  </si>
  <si>
    <t>232232 - 18 cases</t>
  </si>
  <si>
    <t>Run sheet @ Komar</t>
  </si>
  <si>
    <t xml:space="preserve">use 694# 796# 3042# </t>
  </si>
  <si>
    <t>rolls marked not to move to Komar</t>
  </si>
  <si>
    <t>ships 4/1</t>
  </si>
  <si>
    <t>8574 Armstrong / Stock 15x15 122933 12x12 122120</t>
  </si>
  <si>
    <t>3-4 rls 5646#</t>
  </si>
  <si>
    <t>3 cutter run sheets received 4/4</t>
  </si>
  <si>
    <t>FROM SLITTER #1 rewind</t>
  </si>
  <si>
    <t>122933 - 8 cases, 122120 - 15 cases, 122001 - 90 cases</t>
  </si>
  <si>
    <t>and 970#</t>
  </si>
  <si>
    <t>8599 Central Bag 12x12 122125 122700 12x15 122128</t>
  </si>
  <si>
    <t>4+5part 15159# (13725#)</t>
  </si>
  <si>
    <t>use 1649# 1669# 1708# 1812# 790# 1940# 1898# 1830# 1863#</t>
  </si>
  <si>
    <t>Take these rolls to Komar</t>
  </si>
  <si>
    <t>8610 GT Paper / Customized Bus / Fukuoka Pac 8x9 192777 5.875x11.125 192822 10x12 192778 4" D/C 192774</t>
  </si>
  <si>
    <t>5 rls 3619# (2387#)</t>
  </si>
  <si>
    <t>FROM J#51323</t>
  </si>
  <si>
    <t>rolls marked off not to move</t>
  </si>
  <si>
    <t xml:space="preserve">8619 Bunzl/ Stock 6x30 8x30 10x30 </t>
  </si>
  <si>
    <t>4+4 part 9697# (8000#)</t>
  </si>
  <si>
    <t>8552 Vertiv 48x68 103468 24x30 103430</t>
  </si>
  <si>
    <t>4+3part 12235# (11467#)</t>
  </si>
  <si>
    <t>4/01 ships 4/04</t>
  </si>
  <si>
    <t>cutter run sheet # 1 received 4/5</t>
  </si>
  <si>
    <t xml:space="preserve">use 556# 507# 518# 942# 1784# 1798# 1773# 1819# </t>
  </si>
  <si>
    <t>use 844# 882# 844# 2405# 2423# 2434# 2403#</t>
  </si>
  <si>
    <t xml:space="preserve">RUN 24x30 First with Big Jumbos </t>
  </si>
  <si>
    <t xml:space="preserve">rolls marked off not to move </t>
  </si>
  <si>
    <t>(job pulled to stay here)</t>
  </si>
  <si>
    <t>103468 - 188 cases, ship via Kings Truck</t>
  </si>
  <si>
    <t>RUN Smaller Jumbos laster</t>
  </si>
  <si>
    <t>8618 American Pack 24x24 142464</t>
  </si>
  <si>
    <t>3+1 part 7604# (5333#)</t>
  </si>
  <si>
    <t>cont. 8552</t>
  </si>
  <si>
    <t xml:space="preserve">use 1059# 2207# 2191# 2147# </t>
  </si>
  <si>
    <t>rolls to ship to Komar</t>
  </si>
  <si>
    <t>ships 4/8</t>
  </si>
  <si>
    <t>8620 American Cups / Stock 7x38 132083 8x30 132071 12x30 132130 6x30 132094 10x30 132073</t>
  </si>
  <si>
    <t>6 rls 15289# (7036#)</t>
  </si>
  <si>
    <t xml:space="preserve">use 2565# 2526# 2262# 2653# 2634# 2649# </t>
  </si>
  <si>
    <t xml:space="preserve">2+3part 5250# </t>
  </si>
  <si>
    <t>use 747# 747# 752# 764# 759# 1487#</t>
  </si>
  <si>
    <t>8617 Container Consulting 28x30 142988</t>
  </si>
  <si>
    <t>020 99# Westvaco</t>
  </si>
  <si>
    <t>2 rls 2600#</t>
  </si>
  <si>
    <t>rolls delivering to Komar by vendor</t>
  </si>
  <si>
    <t>4/6 per Gabby paper picked up by CH Robinson, get delivery date</t>
  </si>
  <si>
    <t>WR 32933 Due 3/28</t>
  </si>
  <si>
    <t>use 1107# 1144# 1138#</t>
  </si>
  <si>
    <t>ASK KOMAR TO BRING BACK CHUCKS</t>
  </si>
  <si>
    <t>ships 3/21</t>
  </si>
  <si>
    <t>8616 Container Consulting 30x48 142900 23x28 142901</t>
  </si>
  <si>
    <t>2-4 6900#</t>
  </si>
  <si>
    <t>326 45# "Lombardis" Frzr</t>
  </si>
  <si>
    <t>2 rls 1901#</t>
  </si>
  <si>
    <t>use 917# 984#</t>
  </si>
  <si>
    <t>job pulled to stay here</t>
  </si>
  <si>
    <t xml:space="preserve">ships 4/8 </t>
  </si>
  <si>
    <t xml:space="preserve">8638 Imperial 6x12 222029 use 1497# 1421# 1415# </t>
  </si>
  <si>
    <t>3 part 4333# (810#)</t>
  </si>
  <si>
    <t>CHECK IN WITH IMPERIAL IF THEY CAN TAKE 27# Sili Parch</t>
  </si>
  <si>
    <t>8566 Allied Box 10x10 122845</t>
  </si>
  <si>
    <t>138 40# "C Casa" Frzr</t>
  </si>
  <si>
    <t>3-4 rls 1020#</t>
  </si>
  <si>
    <t>4/5 ships 4/11</t>
  </si>
  <si>
    <t>4/6 arriving next week per Gabby</t>
  </si>
  <si>
    <t>USA 32771 Due 4/1</t>
  </si>
  <si>
    <t>8626 P&amp;R / Multiple Customers 12x12 182135 16x16 182169 14x14 182168 9x12 180759</t>
  </si>
  <si>
    <t>034 20# WHT Grs Resistant</t>
  </si>
  <si>
    <t>7 rls 12804# (9428#)</t>
  </si>
  <si>
    <t xml:space="preserve">8614 P&amp;R / IFS 8.5x12 8.5x16 </t>
  </si>
  <si>
    <t>099 40# Red/Peach Butcher</t>
  </si>
  <si>
    <t>3-4 rls 2720# (1252#)</t>
  </si>
  <si>
    <t xml:space="preserve">use 1825# 1828# 1828# 1836# 1819# 1836# 1832# </t>
  </si>
  <si>
    <t>Rolls at Komar</t>
  </si>
  <si>
    <t>4/6 Gabby following up on delivery date</t>
  </si>
  <si>
    <t>KAP 32883 Due 4/8</t>
  </si>
  <si>
    <t>8615 P&amp;R / IFS 5.5x8.75 133408 11.5x20 133420</t>
  </si>
  <si>
    <t>3-4 rls 3398# (1216#)</t>
  </si>
  <si>
    <t>8633 Cogent (Oakland) 9.6875x19.5 232039</t>
  </si>
  <si>
    <t>4-6 rls 500#</t>
  </si>
  <si>
    <t>ships 4/11</t>
  </si>
  <si>
    <t>8635 Contract Sourcing / Stock / Professional Pack 10.5x16.75 182096 5.5x5.5 5x5 180740 11.75x15.5 182088</t>
  </si>
  <si>
    <t>7 rls 14912# (4018# )</t>
  </si>
  <si>
    <t>8632 Sysco 24x30 103536</t>
  </si>
  <si>
    <t>8032143/8032148 60</t>
  </si>
  <si>
    <t>4 part 2343# (940#)</t>
  </si>
  <si>
    <t xml:space="preserve">use 1744# 2150# 2217# 2215# 2204# 2207# </t>
  </si>
  <si>
    <t>ships 4/13</t>
  </si>
  <si>
    <t>use 709# 721# 701# 212#</t>
  </si>
  <si>
    <t>MRBTRWHT4760</t>
  </si>
  <si>
    <t>8634 Mozaik LLC 9x15 191509</t>
  </si>
  <si>
    <t>2+4 part 6224# (5625#)</t>
  </si>
  <si>
    <t xml:space="preserve">use 616# 546# 207# 206# 1975# 2674# </t>
  </si>
  <si>
    <t>MRWAXSW13060</t>
  </si>
  <si>
    <t>8630 Stock 15x16 182183 182190 12x12 182185 182187</t>
  </si>
  <si>
    <t>33 20# NAT F/C</t>
  </si>
  <si>
    <t>4 rls 7666#</t>
  </si>
  <si>
    <t>use 1918# 1920# 1914# 1914#</t>
  </si>
  <si>
    <t>8636 The 365 trading 8x29 132408 6x29 10x29 132408 132410</t>
  </si>
  <si>
    <t>3 part 2822#</t>
  </si>
  <si>
    <t>use 989# 917# 916</t>
  </si>
  <si>
    <t>weigh rolls behind Sheeter 2</t>
  </si>
  <si>
    <t>back to stock from J8356?</t>
  </si>
  <si>
    <t>8595 Imperial Bag 12x12 122927 14x14 122938 122967 122911 122915</t>
  </si>
  <si>
    <t>6 rls 15000# (11489#)</t>
  </si>
  <si>
    <t>ships 4/15</t>
  </si>
  <si>
    <t>Owens 32533 Due 4/11</t>
  </si>
  <si>
    <t xml:space="preserve">8581 Jaesco / Imperial 10.75x10 222016 12x18 222018 </t>
  </si>
  <si>
    <t>3 rls 6000# (1184#)</t>
  </si>
  <si>
    <t>COPA 32745 Due 4/5</t>
  </si>
  <si>
    <t>Due 4/11</t>
  </si>
  <si>
    <t>8631 Sysco 27x27 103433</t>
  </si>
  <si>
    <t>5 part 7231# (1924#)</t>
  </si>
  <si>
    <t>use 171# 174# 669# 588# 2743# 2886#</t>
  </si>
  <si>
    <t>RUN</t>
  </si>
  <si>
    <t>Avail</t>
  </si>
  <si>
    <t xml:space="preserve">Chuy 10:30  </t>
  </si>
  <si>
    <t>Sal 10:00</t>
  </si>
  <si>
    <t>500#/hr</t>
  </si>
  <si>
    <t>Voor #2</t>
  </si>
  <si>
    <t>LBS</t>
  </si>
  <si>
    <t>Voor #1</t>
  </si>
  <si>
    <t>No Premium Frzr (hard on blades)</t>
  </si>
  <si>
    <t>Focus on frzr, prtd frzr, wax papers       2-3 rls</t>
  </si>
  <si>
    <t>No kraft or short ftg rls -NO Prem Frzr</t>
  </si>
  <si>
    <t xml:space="preserve">Voorwood #2  72"           (15 knives) </t>
  </si>
  <si>
    <t>3-4M#/day
(6am, 12pm)</t>
  </si>
  <si>
    <t>Large Dia rls</t>
  </si>
  <si>
    <t>Slitter #5 84"(6 knives) / Slitter #1 60"on</t>
  </si>
  <si>
    <t>DRUM SHEETS 36X48</t>
  </si>
  <si>
    <t>MAX JUMBO WT. 1850# can load</t>
  </si>
  <si>
    <t>Slitter #1 60"</t>
  </si>
  <si>
    <t>6:00AM</t>
  </si>
  <si>
    <t>No Voor# 2</t>
  </si>
  <si>
    <t xml:space="preserve">50953 Bagcraft / Stk 36-24" 201036 201024 </t>
  </si>
  <si>
    <t>045 140# Brown Wax</t>
  </si>
  <si>
    <t>1 part 2208# (1054#)</t>
  </si>
  <si>
    <t>Down till Josh can fix</t>
  </si>
  <si>
    <t>use 2208#</t>
  </si>
  <si>
    <t>50766 Imperial Bag 15" 121046</t>
  </si>
  <si>
    <t>122 40# Bianchini's Nat Frzr "L"</t>
  </si>
  <si>
    <t>2 rls 1656#</t>
  </si>
  <si>
    <t>1/5/22 ships 1/10</t>
  </si>
  <si>
    <t>use 867# 863#</t>
  </si>
  <si>
    <t>No VooR# 2</t>
  </si>
  <si>
    <t>50918 Stock 48" 141538</t>
  </si>
  <si>
    <t>2 rls 4226#</t>
  </si>
  <si>
    <t xml:space="preserve">use 2121# 2105# </t>
  </si>
  <si>
    <t>50964 Rewind J#8441</t>
  </si>
  <si>
    <t>056 35# Sili Grsprf</t>
  </si>
  <si>
    <t>1 rl 1631#</t>
  </si>
  <si>
    <t xml:space="preserve">use 1631# </t>
  </si>
  <si>
    <t>50967 Oakland / Imperial 15" 30" 121131 121135</t>
  </si>
  <si>
    <t>1 rl 2932# (1267#)</t>
  </si>
  <si>
    <t>use 2932#</t>
  </si>
  <si>
    <t>50968 Johnson Sales 48" 141648</t>
  </si>
  <si>
    <t>017 60# Kraft</t>
  </si>
  <si>
    <t>1 part 660#</t>
  </si>
  <si>
    <t>use 660#</t>
  </si>
  <si>
    <t>50564 Imperial 17" 121078</t>
  </si>
  <si>
    <t>558 40# "Wild Root Meat" NAT Frzr "L"</t>
  </si>
  <si>
    <t xml:space="preserve">2 rls 2090# </t>
  </si>
  <si>
    <t>USA 32151 Due 12/6</t>
  </si>
  <si>
    <t>50952 American Cups / Stk 24" 203024 203030</t>
  </si>
  <si>
    <t>046 40# Green Wax</t>
  </si>
  <si>
    <t>1 part 523#</t>
  </si>
  <si>
    <t>use 523#</t>
  </si>
  <si>
    <t>50966 P&amp;R 18" 102417</t>
  </si>
  <si>
    <t>1 rl 1751#</t>
  </si>
  <si>
    <t>50978 Area/Stock 15"121089 20" 121090</t>
  </si>
  <si>
    <t>089 47/7 Premium frzr</t>
  </si>
  <si>
    <t>1 rl 3893# (1080#)</t>
  </si>
  <si>
    <t>50959 Stock 15" 30" 101415 101431</t>
  </si>
  <si>
    <t>3 part 2752#</t>
  </si>
  <si>
    <t>Mario on Jenny &amp; Jesus trainng w/ Day shift</t>
  </si>
  <si>
    <t xml:space="preserve">use 328# 1213# 1211# </t>
  </si>
  <si>
    <t xml:space="preserve">50971 Armstrong 20" 121802 </t>
  </si>
  <si>
    <t>1 part 404#</t>
  </si>
  <si>
    <t>51000R Rewind for Sheeting J#8445</t>
  </si>
  <si>
    <t>011 Green platter</t>
  </si>
  <si>
    <t>2 rls 5215#</t>
  </si>
  <si>
    <t>use 2602# 2613#</t>
  </si>
  <si>
    <t>cont. 51000R</t>
  </si>
  <si>
    <t>50767 Blower Dempsay 18" 121006</t>
  </si>
  <si>
    <t>167 45# "Diablo Food Square" NAT Frzr</t>
  </si>
  <si>
    <t xml:space="preserve">2 rls 2350# </t>
  </si>
  <si>
    <t>use 1415# 964#</t>
  </si>
  <si>
    <t>50768 Blower Dempsay 18" 121067</t>
  </si>
  <si>
    <t>168 45# Diablo Fisherman</t>
  </si>
  <si>
    <t>2 rls 2354#</t>
  </si>
  <si>
    <t>2/1/22 ship 2/14</t>
  </si>
  <si>
    <t>use 980# 1383#</t>
  </si>
  <si>
    <t>cont . 50768</t>
  </si>
  <si>
    <t>50820 IFS 18" 121025</t>
  </si>
  <si>
    <t xml:space="preserve">526 40# NAT Frzr "West Coast" </t>
  </si>
  <si>
    <t>1 rl 1237#</t>
  </si>
  <si>
    <t>Morr 32407 Due 1/26</t>
  </si>
  <si>
    <t>51003 Moresco 18" 121335 use 2013#</t>
  </si>
  <si>
    <t>1 rl 2013# (1065#)</t>
  </si>
  <si>
    <t>51004R Rewind for Kayo 30"</t>
  </si>
  <si>
    <t>use 2134#</t>
  </si>
  <si>
    <t>50965 Stock 12" 191402</t>
  </si>
  <si>
    <t>1 part 462#</t>
  </si>
  <si>
    <t xml:space="preserve">50994 Royal Industries 67" 141378 </t>
  </si>
  <si>
    <t>2 rls 3600#</t>
  </si>
  <si>
    <t>51034 Moresco 17" 121012</t>
  </si>
  <si>
    <t xml:space="preserve">51019 Oakland / Stk 15" 30" 121131 121135 </t>
  </si>
  <si>
    <t>1 rl 3126# (1533#)</t>
  </si>
  <si>
    <t>use 1631#</t>
  </si>
  <si>
    <t xml:space="preserve">use 3126# </t>
  </si>
  <si>
    <t>51006 Ernest 60" 30" 141660 141630</t>
  </si>
  <si>
    <t>1 rl 3000# (1485#)</t>
  </si>
  <si>
    <t>use 3000#</t>
  </si>
  <si>
    <t>Komar 32589 Due 1/14</t>
  </si>
  <si>
    <t>51033 Moreso 18" 121087</t>
  </si>
  <si>
    <t xml:space="preserve">200 40# Pacific Mkt Nat Frzr </t>
  </si>
  <si>
    <t>3 rls 2091#</t>
  </si>
  <si>
    <t>Mario testing for Covid</t>
  </si>
  <si>
    <t>use 614# 851# 626#</t>
  </si>
  <si>
    <t>51007 Stock 15" 141315</t>
  </si>
  <si>
    <t>1 rl 2703# (1138#)</t>
  </si>
  <si>
    <t>use 2703#</t>
  </si>
  <si>
    <t>51037 Stock 15" 121131</t>
  </si>
  <si>
    <t>1 part 1592# (733#)</t>
  </si>
  <si>
    <t>50991 Stock 17" 121116 use 3430#</t>
  </si>
  <si>
    <t>1 rl 3430#</t>
  </si>
  <si>
    <t>Silvester out</t>
  </si>
  <si>
    <t>Stomach ache</t>
  </si>
  <si>
    <t>51036 Stock 36" 121152</t>
  </si>
  <si>
    <t>1 rl 1433#</t>
  </si>
  <si>
    <t>cont. 50991</t>
  </si>
  <si>
    <t>use 1433#</t>
  </si>
  <si>
    <t>50687 J&amp;B Distribution 16.25 231022</t>
  </si>
  <si>
    <t>3 rls 10000#</t>
  </si>
  <si>
    <t>1/12/22 ships 1/14/22</t>
  </si>
  <si>
    <t>SAL to run after Chuy comes in</t>
  </si>
  <si>
    <t>Issue running order</t>
  </si>
  <si>
    <t>kept on ripping / paper got winded/ running slow - Susan stopped it</t>
  </si>
  <si>
    <t>51053 Orora/ Stk 30" 141630</t>
  </si>
  <si>
    <t>1 part 1611# (495#)</t>
  </si>
  <si>
    <t>50537 Pacific Food 15" 121034</t>
  </si>
  <si>
    <t>148 40# Poly Kraft "Cartwright's"</t>
  </si>
  <si>
    <t>2 rls 1604#</t>
  </si>
  <si>
    <t>use 1611#</t>
  </si>
  <si>
    <t>cont. 50537</t>
  </si>
  <si>
    <t>50793 Albert 18" 121100</t>
  </si>
  <si>
    <t>340 40# "Corti Red" Frzr "L"</t>
  </si>
  <si>
    <t>2 rls 1961#</t>
  </si>
  <si>
    <t>1/26/22 ships 2/1</t>
  </si>
  <si>
    <t>50769 Armstrong 18" 121074</t>
  </si>
  <si>
    <t>202 45# Frzr Falletti's</t>
  </si>
  <si>
    <t>2 rls 2251#</t>
  </si>
  <si>
    <t xml:space="preserve">51077 Stock 20" 30" 101520 101530 </t>
  </si>
  <si>
    <t>2 part 2149#</t>
  </si>
  <si>
    <t>51070R Rewind 52.5" for J#8492</t>
  </si>
  <si>
    <t>099 Red Steak Paper</t>
  </si>
  <si>
    <t>1 rl 1951# (600#)</t>
  </si>
  <si>
    <t>use 1133# 1016#</t>
  </si>
  <si>
    <t>51002 Imperial 20" 121090 use 2769#</t>
  </si>
  <si>
    <t xml:space="preserve">089 47/7 Prem Frzr </t>
  </si>
  <si>
    <t>1 rl 2769# (1530#)</t>
  </si>
  <si>
    <t>51005R Rewind for Woodland / Pacific</t>
  </si>
  <si>
    <t>2 rls 4623#</t>
  </si>
  <si>
    <t>on voorwood</t>
  </si>
  <si>
    <t>use 2240# 2383#</t>
  </si>
  <si>
    <t>51047 S&amp;F Stk 18" 101517SF use 2213#</t>
  </si>
  <si>
    <t xml:space="preserve">1 rl 2213# </t>
  </si>
  <si>
    <t>51079 Stock 30" 141630 use 1106#</t>
  </si>
  <si>
    <t>1 part 1106#</t>
  </si>
  <si>
    <t>51046 S&amp;F Stk 18" 101419SF 101419 use 2745#</t>
  </si>
  <si>
    <t>1 rl 2745#</t>
  </si>
  <si>
    <t>cont. 51005R</t>
  </si>
  <si>
    <t xml:space="preserve">51057 Central Bag 18" 121108 </t>
  </si>
  <si>
    <t>089 47/7# Prem Frzr</t>
  </si>
  <si>
    <t>1 rl 1259#</t>
  </si>
  <si>
    <t>2/14/22 ships 2/16</t>
  </si>
  <si>
    <t>use 1259#</t>
  </si>
  <si>
    <t>51078 Stock 24" 121124 use 2846#</t>
  </si>
  <si>
    <t>1 rl 2846# (1584#)</t>
  </si>
  <si>
    <t>51090 ARE 60" 30" 141431 141430</t>
  </si>
  <si>
    <t>2 rls 7100#</t>
  </si>
  <si>
    <t>51087 Armstrong 20" 121802</t>
  </si>
  <si>
    <t>1 part 860#</t>
  </si>
  <si>
    <t>cont. 51090</t>
  </si>
  <si>
    <t>use 860#</t>
  </si>
  <si>
    <t>51058 Chester 15" 232366</t>
  </si>
  <si>
    <t>056 27# Silicone Veg Parch</t>
  </si>
  <si>
    <t>1 part 600#</t>
  </si>
  <si>
    <t xml:space="preserve">use 600# </t>
  </si>
  <si>
    <t>DONT RUN UNTIL SHEETING J#8470 is done</t>
  </si>
  <si>
    <t>50976 WCP Solutions 18" 121011</t>
  </si>
  <si>
    <t>400 40# Frzr "L" Podestos</t>
  </si>
  <si>
    <t>2 rls 2312#</t>
  </si>
  <si>
    <t>2/23/22 ships 3/7</t>
  </si>
  <si>
    <t xml:space="preserve">8503 Imperial 10x14 142314 </t>
  </si>
  <si>
    <t>5 FG of 30"/30# Kraft</t>
  </si>
  <si>
    <t>use 1379# 1250#</t>
  </si>
  <si>
    <t>use item#101430</t>
  </si>
  <si>
    <t>RUN ON DRUM SHEETER</t>
  </si>
  <si>
    <t>51119R Rewind for Sheeting J#8496</t>
  </si>
  <si>
    <t>1 rl 1971# (733#)</t>
  </si>
  <si>
    <t>50859 Moresco 17" 121023</t>
  </si>
  <si>
    <t>125 40# "Big Trees" NAT Frzr "L"</t>
  </si>
  <si>
    <t>2/14/22 ships 2/25</t>
  </si>
  <si>
    <t>use 1014# 991#</t>
  </si>
  <si>
    <t>51114 Interstate / Stock 60" 15" 101560 101515 use 987#</t>
  </si>
  <si>
    <t>1 part 987#</t>
  </si>
  <si>
    <t>2/6 ships 2/7</t>
  </si>
  <si>
    <t>51104 Ghazal / Stk 30" 203030 use 668#</t>
  </si>
  <si>
    <t>046 Green Wax</t>
  </si>
  <si>
    <t>1 part 668#</t>
  </si>
  <si>
    <t>51126 Montroy Supply 24" 101553</t>
  </si>
  <si>
    <t>2 part 1220#</t>
  </si>
  <si>
    <t>Silvester HELP JUAN WRAP THE 48x68</t>
  </si>
  <si>
    <t>51127 Montroy 36" 24" 101533 101553</t>
  </si>
  <si>
    <t>061 50# Bleached Grocery</t>
  </si>
  <si>
    <t>1 rl 1673#</t>
  </si>
  <si>
    <t>use 1673#</t>
  </si>
  <si>
    <t>NO MARIO</t>
  </si>
  <si>
    <t>51125R Rewind for Print Good Earth</t>
  </si>
  <si>
    <t>VACATION</t>
  </si>
  <si>
    <t>8521 Imperial 12x12 228412</t>
  </si>
  <si>
    <t>2 part 380#</t>
  </si>
  <si>
    <t>run on Drum Sheeter</t>
  </si>
  <si>
    <t>NOT WORKING VOOR #2</t>
  </si>
  <si>
    <t>50792 Central Bag 18" 121004</t>
  </si>
  <si>
    <t>328 45# Lucky's Nat Frzr</t>
  </si>
  <si>
    <t>2 rls 2300#</t>
  </si>
  <si>
    <t>1/24/22 ships 1/31</t>
  </si>
  <si>
    <t>use 1237# 1248#</t>
  </si>
  <si>
    <t>50975 Area 18" 121009</t>
  </si>
  <si>
    <t>226 "Gene's Wht Frzr"</t>
  </si>
  <si>
    <t>50882 Armstrong 18" 121083</t>
  </si>
  <si>
    <t>334 45# NAT Frzr "Mkt Hall"</t>
  </si>
  <si>
    <t>2 rls 2328#</t>
  </si>
  <si>
    <t>2/12/22 ships 2/24</t>
  </si>
  <si>
    <t>use 1136# 1169#</t>
  </si>
  <si>
    <t>use 1040# 1229#</t>
  </si>
  <si>
    <t>51028 North County Tape 30" 101541</t>
  </si>
  <si>
    <t>275 50# Wht Butcher "Kayo"</t>
  </si>
  <si>
    <t>2 rls 2132#</t>
  </si>
  <si>
    <t>2/25 ships 3/2</t>
  </si>
  <si>
    <t>use 553# 530# 552# 544#</t>
  </si>
  <si>
    <t>51135 Big Valley / Stk 45" 24" 101446 101428 RUN VOOR#2</t>
  </si>
  <si>
    <t xml:space="preserve">2 part 3800# </t>
  </si>
  <si>
    <t>NO SILVESTER</t>
  </si>
  <si>
    <t>use 1900# 1900#</t>
  </si>
  <si>
    <t>Helping Demetrio Wrap by cutters</t>
  </si>
  <si>
    <t>cont. 51028</t>
  </si>
  <si>
    <t>51140 Ernest / Orora 60" 24" 36" 141660 141624 141636 use 3000#</t>
  </si>
  <si>
    <t>1 rl 3000# (1000#)</t>
  </si>
  <si>
    <t>Komar 32747 Due 2/8</t>
  </si>
  <si>
    <t xml:space="preserve">51124 Stock 18" 121918 </t>
  </si>
  <si>
    <t>2 part 618#</t>
  </si>
  <si>
    <t>51160 IPS / Amazon 24" 101480</t>
  </si>
  <si>
    <t>1 part 345#</t>
  </si>
  <si>
    <t xml:space="preserve">use 309# 309# </t>
  </si>
  <si>
    <t>USE BAD ROLLS THAT WERE REWIND</t>
  </si>
  <si>
    <t xml:space="preserve">51138 Stock 15" 121800  </t>
  </si>
  <si>
    <t>2 part 641#</t>
  </si>
  <si>
    <t>51026 Imperial 18" 121016</t>
  </si>
  <si>
    <t>550 45# Poly Woodlands Meat</t>
  </si>
  <si>
    <t>2/25 ships 2/28</t>
  </si>
  <si>
    <t xml:space="preserve">use 256# 385# </t>
  </si>
  <si>
    <t>51157 Area Stk 20" 121154 RUN DAY BOXES</t>
  </si>
  <si>
    <t>1 part 622#</t>
  </si>
  <si>
    <t>cont 51026</t>
  </si>
  <si>
    <t xml:space="preserve">51166 Sample for J&amp;B Dist. 16.375" </t>
  </si>
  <si>
    <t>1 part 566#</t>
  </si>
  <si>
    <t>50881 IFs 18" 121030</t>
  </si>
  <si>
    <t>240 40# Frzr "Handy Mkt"</t>
  </si>
  <si>
    <t>3 rls 4000#</t>
  </si>
  <si>
    <t>2/5/22 ships 2/9</t>
  </si>
  <si>
    <t>51146 Rewind for Sheeting</t>
  </si>
  <si>
    <t>034 20# Wht FC</t>
  </si>
  <si>
    <t>3 rls 7046#</t>
  </si>
  <si>
    <t>1438# 1440# 1245#</t>
  </si>
  <si>
    <t xml:space="preserve">use 2352# 2348# 2346# </t>
  </si>
  <si>
    <t>Rewind into three more JUMBOS TO SHEET</t>
  </si>
  <si>
    <t>cont 50881</t>
  </si>
  <si>
    <t>cont 51146R</t>
  </si>
  <si>
    <t>51171 Lindsey Doors / Stock 67" 18" 141399 141318</t>
  </si>
  <si>
    <t>2 rls 6561#</t>
  </si>
  <si>
    <t>use 3236# 3325#</t>
  </si>
  <si>
    <t>cont 51171</t>
  </si>
  <si>
    <t>51167 Vertiv 18" 232210</t>
  </si>
  <si>
    <t>1 part 1121#</t>
  </si>
  <si>
    <t>use 1121#</t>
  </si>
  <si>
    <t>Helped Demetrio bc issues with running machine</t>
  </si>
  <si>
    <t>V#2 doesn't want to reset</t>
  </si>
  <si>
    <t>51189 Big Valley / Stock 45" 101446</t>
  </si>
  <si>
    <t>2 rls 4670#  (2627#)</t>
  </si>
  <si>
    <t>51181R Rewind for Scotty / Lombardis' 30"</t>
  </si>
  <si>
    <t>use 2245# 2425#</t>
  </si>
  <si>
    <t>DO NOT RUN THESE JUMBOS ON VOOR#1</t>
  </si>
  <si>
    <t>use 3847#</t>
  </si>
  <si>
    <t>HELPING DEMETRIO WRAP / NOT WORKING</t>
  </si>
  <si>
    <t>51069 Shasta Packaging 18" 121096</t>
  </si>
  <si>
    <t>456 39/5 "R&amp;R Quality Meats"</t>
  </si>
  <si>
    <t>4 rls 3438#</t>
  </si>
  <si>
    <t>No OPERATOR</t>
  </si>
  <si>
    <t>cont 51069</t>
  </si>
  <si>
    <t>51198 Rewind J#8554</t>
  </si>
  <si>
    <t>1 rl 1102# (600#)</t>
  </si>
  <si>
    <t>use 1102#</t>
  </si>
  <si>
    <t>FINISH J# on small Voor</t>
  </si>
  <si>
    <t>cont. 51189</t>
  </si>
  <si>
    <t xml:space="preserve">NO SYLVESTER </t>
  </si>
  <si>
    <t>NO OPERATOR</t>
  </si>
  <si>
    <t>51187 Moresco 17" 121346</t>
  </si>
  <si>
    <t>128 40# "Berkley Bowl L"</t>
  </si>
  <si>
    <t>1 rl 1803#</t>
  </si>
  <si>
    <t>use 1803#</t>
  </si>
  <si>
    <t>51185 Moresco / Stock 15" 121800</t>
  </si>
  <si>
    <t>1 rl 743#</t>
  </si>
  <si>
    <t xml:space="preserve">use 1 rl </t>
  </si>
  <si>
    <t>51200 J&amp;B Dist. 16.375 231022</t>
  </si>
  <si>
    <t xml:space="preserve">4 rls 4539# </t>
  </si>
  <si>
    <t>cont 51200</t>
  </si>
  <si>
    <t>51205 Moresco 24" 132724</t>
  </si>
  <si>
    <t>1 rl 2588# (700#)</t>
  </si>
  <si>
    <t>51244 Ghazal /Stock 30" 203030 use 2732#</t>
  </si>
  <si>
    <t>1 rl 2732# (702#)</t>
  </si>
  <si>
    <t>use 2732#</t>
  </si>
  <si>
    <t>HELP DEMETRIO WITH CUTTING</t>
  </si>
  <si>
    <t>51105 Moresco 18" 121087</t>
  </si>
  <si>
    <t>200 40# NAT Frzr "Pacific Market"</t>
  </si>
  <si>
    <t>3 rls 2322#</t>
  </si>
  <si>
    <t>04/1 ships 4/8</t>
  </si>
  <si>
    <t>use 1542# 1460#</t>
  </si>
  <si>
    <t xml:space="preserve">NO JESUS </t>
  </si>
  <si>
    <t>MARIO COVERING ON JENNY</t>
  </si>
  <si>
    <t>NO MARIA</t>
  </si>
  <si>
    <t>51262 Central Bag 18" 121108</t>
  </si>
  <si>
    <t>1 rl 1801# (540# )</t>
  </si>
  <si>
    <t>51248 Stock 18" 24" 141318 141324</t>
  </si>
  <si>
    <t>2 rls 6483#</t>
  </si>
  <si>
    <t>use 3247# 3236#</t>
  </si>
  <si>
    <t>DAMAGED ROLLS from DEC</t>
  </si>
  <si>
    <t>ROLLS WITH SLIT</t>
  </si>
  <si>
    <t>51131 Moresco 18" 121084</t>
  </si>
  <si>
    <t>201 45# Farmer Joe's Frzr</t>
  </si>
  <si>
    <t>2 rls 2118#</t>
  </si>
  <si>
    <t>use 1022# 1085# 1105# 991#</t>
  </si>
  <si>
    <t>Morr 32719 Due 3/14</t>
  </si>
  <si>
    <t xml:space="preserve">51271 Saladinos 30" 101530 </t>
  </si>
  <si>
    <t>1 rl 1135#</t>
  </si>
  <si>
    <t>use 1135#</t>
  </si>
  <si>
    <t>51197 Sample for Bunzl - Sprout 17"x1100</t>
  </si>
  <si>
    <t>094 35# NAT Frzr</t>
  </si>
  <si>
    <t>1 part 266.755# Owens 32737 Due 2/28</t>
  </si>
  <si>
    <t>51049 Oakland 15" 121066</t>
  </si>
  <si>
    <t>170 45# "Genova"</t>
  </si>
  <si>
    <t>2 rls 1958#</t>
  </si>
  <si>
    <t>51272 IFS/ Stock 15" 30" 121800 121978</t>
  </si>
  <si>
    <t>1 rl 1649#</t>
  </si>
  <si>
    <t>use 1649#</t>
  </si>
  <si>
    <t xml:space="preserve">51284 stock 12" 141412 </t>
  </si>
  <si>
    <t>2 part 1041#</t>
  </si>
  <si>
    <t xml:space="preserve">use 542# 499# </t>
  </si>
  <si>
    <t xml:space="preserve">51313 Big Valley 45" 101446 </t>
  </si>
  <si>
    <t xml:space="preserve">1 rl 2628# </t>
  </si>
  <si>
    <t xml:space="preserve">use 2628# </t>
  </si>
  <si>
    <t>cont. 51313</t>
  </si>
  <si>
    <t>51300 Stock 20" 101520 use 512#</t>
  </si>
  <si>
    <t>1 part 512#</t>
  </si>
  <si>
    <t>51254 J&amp;B Dist. 16.375"  231022</t>
  </si>
  <si>
    <t>3 part 2973#</t>
  </si>
  <si>
    <t>51329R Rewind for Calstoga - 30" 121130</t>
  </si>
  <si>
    <t xml:space="preserve">1 rl 3788# </t>
  </si>
  <si>
    <t>use 1038# 891# 1044#</t>
  </si>
  <si>
    <t>FIXING ROLL ON SPD</t>
  </si>
  <si>
    <t>8622 Imperial / American Paper 12x18 222018</t>
  </si>
  <si>
    <t xml:space="preserve">2 part 677# </t>
  </si>
  <si>
    <t xml:space="preserve">use 331# 346# </t>
  </si>
  <si>
    <t>51133 Armstrong 15" 121073</t>
  </si>
  <si>
    <t>235 45# Poly Kraft "Good Earth"</t>
  </si>
  <si>
    <t>use 1012# 1092#</t>
  </si>
  <si>
    <t>MARIO LEFT</t>
  </si>
  <si>
    <t>cont. 51108</t>
  </si>
  <si>
    <t>51270 Johnson Sales 5-11/16" 182247</t>
  </si>
  <si>
    <t>2 rls 2700#</t>
  </si>
  <si>
    <t>These rolls Dunn to deliver to Komar</t>
  </si>
  <si>
    <t>Dunn 32501 Due 3/22</t>
  </si>
  <si>
    <t>Job out at Voor?</t>
  </si>
  <si>
    <t>8628 IFS 16x16 122838</t>
  </si>
  <si>
    <t>371 40# "Gaetanos Piccini"</t>
  </si>
  <si>
    <t xml:space="preserve">1 rl 173# </t>
  </si>
  <si>
    <t>use DRUM SHEETER</t>
  </si>
  <si>
    <t>51358 Clean Sweep / Stock 36" 6" 141530 141506</t>
  </si>
  <si>
    <t>1 rl 1736#</t>
  </si>
  <si>
    <t>use 1736#</t>
  </si>
  <si>
    <t>RUN ON SMALL V#1</t>
  </si>
  <si>
    <t>VOOR #2 to Komar</t>
  </si>
  <si>
    <t>51352 Stock 18" 121123</t>
  </si>
  <si>
    <t>093 35# VALU Wht Frzr</t>
  </si>
  <si>
    <t>3 rls 3510#</t>
  </si>
  <si>
    <t xml:space="preserve">use 1184# 155# 1171# </t>
  </si>
  <si>
    <t>51132 Armstrong 18" 121070</t>
  </si>
  <si>
    <t>2 rls 2160#</t>
  </si>
  <si>
    <t>Morr 32736 Due 4/1</t>
  </si>
  <si>
    <t>51130 Armstrong 18" 121015</t>
  </si>
  <si>
    <t>137 45# Nat Frzr "Bi-Rite Cook"</t>
  </si>
  <si>
    <t>Morr 32733 Due 4/1</t>
  </si>
  <si>
    <t>51110 Moresco 18" 121032</t>
  </si>
  <si>
    <t>395 45# Poly Kraft "Petaluma"</t>
  </si>
  <si>
    <t>3 rls 3317#</t>
  </si>
  <si>
    <t>4/7 ships 4/8</t>
  </si>
  <si>
    <t>Morr 32716 Due 4/4</t>
  </si>
  <si>
    <t>51109 Bunzl 18" 121043</t>
  </si>
  <si>
    <t>336 45# NAT Frzr "Valley Farms"</t>
  </si>
  <si>
    <t>2 rls 2200#</t>
  </si>
  <si>
    <t>4/8 ships 3/31</t>
  </si>
  <si>
    <t>USA 32711 Due 4/8</t>
  </si>
  <si>
    <t>51107 Bunzl 18" 121048</t>
  </si>
  <si>
    <t>212 40# NAT Frzr "L" "Frazier Meat"</t>
  </si>
  <si>
    <t>2 rls 1905#</t>
  </si>
  <si>
    <t>Morr 32713 Due 3/31</t>
  </si>
  <si>
    <t>Run date</t>
  </si>
  <si>
    <t>Future orders more than 30 days out &amp;/or Paper Not Here Yet</t>
  </si>
  <si>
    <t>Class / Desc</t>
  </si>
  <si>
    <t>Roll Info</t>
  </si>
  <si>
    <t>Customer Due Date for Incoming schedule</t>
  </si>
  <si>
    <t>Paper Due Date</t>
  </si>
  <si>
    <t>Customer Order Due Date</t>
  </si>
  <si>
    <t>HFR  Hold For Release</t>
  </si>
  <si>
    <t>Roll info</t>
  </si>
  <si>
    <t>Vendor Due Date</t>
  </si>
  <si>
    <t>PAPER</t>
  </si>
  <si>
    <t>8595 Imperial 12x12 122927 14x14 122938</t>
  </si>
  <si>
    <t>6 rls 15000# (5194#)</t>
  </si>
  <si>
    <t>4/11 ships 4/15</t>
  </si>
  <si>
    <t>51111 WCP 18" 121011</t>
  </si>
  <si>
    <t>400 40# Frzr "L" "Podestos"</t>
  </si>
  <si>
    <t>4/12 ships 4/14</t>
  </si>
  <si>
    <t>Morr 32707 Due 4/11</t>
  </si>
  <si>
    <t xml:space="preserve">8625 Oakland/ American Paper 15x16 122141 9.75x10 122126 </t>
  </si>
  <si>
    <t>6 rls 10000# (5261#)</t>
  </si>
  <si>
    <t>4/12 ships 4/18</t>
  </si>
  <si>
    <t>Owens 32696 Due 4/11</t>
  </si>
  <si>
    <t>51315 Heritage - Corona 24" 141324C</t>
  </si>
  <si>
    <t>3-4 rls 9800#</t>
  </si>
  <si>
    <t>51266 Blower 18" 121005</t>
  </si>
  <si>
    <t>166 45# "Diablo Deli" NAT Frzr</t>
  </si>
  <si>
    <t>2 rls 2580#</t>
  </si>
  <si>
    <t>4/14 ships 4/21</t>
  </si>
  <si>
    <t>Morr 32837 Due 4/11</t>
  </si>
  <si>
    <t>51267 Blower 18" 121006</t>
  </si>
  <si>
    <t>167 45# "Diablo Foods Sq" NAT Frzr</t>
  </si>
  <si>
    <t>Morr 32838 Due 4/11</t>
  </si>
  <si>
    <t>51268 Blower 18" 121067</t>
  </si>
  <si>
    <t>168 45# "Diablo Fisherman" NAT Frzr</t>
  </si>
  <si>
    <t>Morr 32836 Due 4/11</t>
  </si>
  <si>
    <t>51303 Unipack Trading 12" 141339</t>
  </si>
  <si>
    <t>4/15 ships 4/20</t>
  </si>
  <si>
    <t>51144 Mendes Supply 18" 121081</t>
  </si>
  <si>
    <t>195 45# NAT Frzr "Eureka"</t>
  </si>
  <si>
    <t>04/15 ships 4/13</t>
  </si>
  <si>
    <t>USA 32739 Due 4/15</t>
  </si>
  <si>
    <t xml:space="preserve">50935 Royco Pkg 36" 151337 use 1812# </t>
  </si>
  <si>
    <t xml:space="preserve">023 Royco Neutral Pkg </t>
  </si>
  <si>
    <t>1 rl 1812#</t>
  </si>
  <si>
    <t>Paper came in but Cust. no longer wants it - May want it 2-3 months</t>
  </si>
  <si>
    <t xml:space="preserve">8587 Armstrong 15x15 122856 </t>
  </si>
  <si>
    <t xml:space="preserve">375 40# "Oakville" NAT Frzr </t>
  </si>
  <si>
    <t xml:space="preserve">4 rls 2125# </t>
  </si>
  <si>
    <t>4/18 ships 5/5</t>
  </si>
  <si>
    <t>USA 32835 Due 4/6</t>
  </si>
  <si>
    <t>51237 Moresco 15" 121019</t>
  </si>
  <si>
    <t>348 40# Natural Mollie Stone Green</t>
  </si>
  <si>
    <t>4 rls 3439#</t>
  </si>
  <si>
    <t>4/18 ships 4/29</t>
  </si>
  <si>
    <t>USA 32811 Due 4/15</t>
  </si>
  <si>
    <t>8464 IFS 13x13 122936</t>
  </si>
  <si>
    <t>4/18/22 ships 5/2</t>
  </si>
  <si>
    <t>Hood 32556 Due 4/8</t>
  </si>
  <si>
    <t>8591 GVH 8x28 132409 10x28 132411</t>
  </si>
  <si>
    <t>6 rls 15600# (11109#)</t>
  </si>
  <si>
    <t>4/18/22 ships 4/22</t>
  </si>
  <si>
    <t>Copamex 32354 Due 4/11</t>
  </si>
  <si>
    <t>51134 Oakland 18" 121001</t>
  </si>
  <si>
    <t xml:space="preserve">455 40# Nat Frzr "Sacramento" </t>
  </si>
  <si>
    <t>2 rls 1000#</t>
  </si>
  <si>
    <t>4/19 ships 4/21</t>
  </si>
  <si>
    <t>USA 32735 Due 4/14</t>
  </si>
  <si>
    <t>51316 Heritage - Corona 24" 141324C</t>
  </si>
  <si>
    <t>51236 Albert 18" 121100</t>
  </si>
  <si>
    <t xml:space="preserve">2 rls 2522# </t>
  </si>
  <si>
    <t>4/20/22 ships 4/27</t>
  </si>
  <si>
    <t>USA 32807 Duye 4/15</t>
  </si>
  <si>
    <t>51112 Central Bag 18" 121338</t>
  </si>
  <si>
    <t>460 45# NAT Frzr "Sam's Meat"</t>
  </si>
  <si>
    <t>2 rls 1200#</t>
  </si>
  <si>
    <t>4/22 ships 5/2</t>
  </si>
  <si>
    <t>USA 32710 Due 4/18</t>
  </si>
  <si>
    <t>51274 Imperial 15" 121046</t>
  </si>
  <si>
    <t xml:space="preserve">2+1part 1934# </t>
  </si>
  <si>
    <t>4/22 ships 4/25</t>
  </si>
  <si>
    <t>USA 32860 Due 4/22</t>
  </si>
  <si>
    <t>51317 Heritage - Corona 24" 141324C</t>
  </si>
  <si>
    <t>4/26 ships 4/28</t>
  </si>
  <si>
    <t>8490 Container Consulting 23x28 142901</t>
  </si>
  <si>
    <t>4/27 ships 5/31</t>
  </si>
  <si>
    <t>Westvaco 32660 Due 4/22</t>
  </si>
  <si>
    <t>8485 Container Consulting 30x48 142900 28x30 142988</t>
  </si>
  <si>
    <t xml:space="preserve">020 99# Westvaco </t>
  </si>
  <si>
    <t>8624 Mountain View 14x23 103323</t>
  </si>
  <si>
    <t>4-5 rls 3500#</t>
  </si>
  <si>
    <t>5/2 ships 5/6</t>
  </si>
  <si>
    <t>WR 30757 Due 4/29</t>
  </si>
  <si>
    <t>8607 Vertiv 48x68 103468</t>
  </si>
  <si>
    <t>4/21 ships 4/26</t>
  </si>
  <si>
    <t>CAT 32802 Due 4/11</t>
  </si>
  <si>
    <t>51318 Heritage - Corona 24" 141324C</t>
  </si>
  <si>
    <t>5/3 ships 5/5</t>
  </si>
  <si>
    <t>8602 Albertson's 18x20 103472</t>
  </si>
  <si>
    <t xml:space="preserve">6 rls 18000# </t>
  </si>
  <si>
    <t>5/4 ships 5/16</t>
  </si>
  <si>
    <t>CAT 32897 Due 5/2</t>
  </si>
  <si>
    <t>51264 Pacfic 15" 121034</t>
  </si>
  <si>
    <t xml:space="preserve">148 40# Poly Kraft "Cartwright" </t>
  </si>
  <si>
    <t>2 rls 1700#</t>
  </si>
  <si>
    <t>5/9 ships 5/5</t>
  </si>
  <si>
    <t>USA 32839 Due 5/9</t>
  </si>
  <si>
    <t>51265 Pacfic 18" 121088</t>
  </si>
  <si>
    <t>51319 Heritage - Corona 24" 141324C</t>
  </si>
  <si>
    <t>5/10 ships 5/12</t>
  </si>
  <si>
    <t>8539 IFS 13x13 122936</t>
  </si>
  <si>
    <t>7 rls 11425#</t>
  </si>
  <si>
    <t>5/19 ships 5/27</t>
  </si>
  <si>
    <t>Hood 32767 Due 5/13</t>
  </si>
  <si>
    <t>8579 IFS 13x13 122936</t>
  </si>
  <si>
    <t>Hood 32556 Due 4/9</t>
  </si>
  <si>
    <t>51353 IFS 15" 121031</t>
  </si>
  <si>
    <t>111 45# Bay Cities Frzr</t>
  </si>
  <si>
    <t>2 rls 1655#</t>
  </si>
  <si>
    <t>5/20 ships 5/20</t>
  </si>
  <si>
    <t>USA 32939 Due 5/20</t>
  </si>
  <si>
    <t>8600 Central Bag 12x12 122125</t>
  </si>
  <si>
    <t xml:space="preserve">5 rls 13050# </t>
  </si>
  <si>
    <t>5/22 ships 6/1</t>
  </si>
  <si>
    <t>51238 Moresco 18" 121020</t>
  </si>
  <si>
    <t>382 45# NAT Fzrr "Oceana Market"</t>
  </si>
  <si>
    <t>5/23 ships 6/10</t>
  </si>
  <si>
    <t>USA 32809 Due 5/17</t>
  </si>
  <si>
    <t>51354 Pacific Food 17" 121342</t>
  </si>
  <si>
    <t>555 40# World Foods NAT Frzr</t>
  </si>
  <si>
    <t>2 rls 1900#</t>
  </si>
  <si>
    <t>5/26 ships 5/26</t>
  </si>
  <si>
    <t>USA 32941 Due 5/26</t>
  </si>
  <si>
    <t xml:space="preserve">8592 IFS 13x13 122936 </t>
  </si>
  <si>
    <t>6/1/22 ships 6/9</t>
  </si>
  <si>
    <t>Hood 32672 Due 5/27</t>
  </si>
  <si>
    <t>8603 Albertson's 18x20 103472</t>
  </si>
  <si>
    <t>6/2 ships 6/14</t>
  </si>
  <si>
    <t>CAT 32910 Due 5/23</t>
  </si>
  <si>
    <t>8498 IFS 13x13 122936</t>
  </si>
  <si>
    <t>6/6/22 ships 6/14</t>
  </si>
  <si>
    <t xml:space="preserve">8593 IFS 13x13 122936 </t>
  </si>
  <si>
    <t>6/14/22 ships 6/23</t>
  </si>
  <si>
    <t>8585 IFS 13x13 122936</t>
  </si>
  <si>
    <t>7/4/22 ships 7/12</t>
  </si>
  <si>
    <t>Hood 32856 Due 6/17</t>
  </si>
  <si>
    <t>STOCK SIZE</t>
  </si>
  <si>
    <t>NON-STK</t>
  </si>
  <si>
    <t>OLD</t>
  </si>
  <si>
    <t>TABS</t>
  </si>
  <si>
    <t>TAB WT.</t>
  </si>
  <si>
    <t>Type / Desc. Paper</t>
  </si>
  <si>
    <t>Length</t>
  </si>
  <si>
    <t>Width</t>
  </si>
  <si>
    <t>Basis</t>
  </si>
  <si>
    <t>Pack</t>
  </si>
  <si>
    <t>Qty using</t>
  </si>
  <si>
    <t>ADD TABS ONCE HAVE  RUN THE TABS!</t>
  </si>
  <si>
    <t>Qty</t>
  </si>
  <si>
    <t>Total Wt.</t>
  </si>
  <si>
    <t>JOB #</t>
  </si>
  <si>
    <t>RUN DATE</t>
  </si>
  <si>
    <t>014</t>
  </si>
  <si>
    <t>30# Kraft</t>
  </si>
  <si>
    <t>0.766</t>
  </si>
  <si>
    <t>(Operator sheeted wrong Job)</t>
  </si>
  <si>
    <t>.834</t>
  </si>
  <si>
    <t>(Sheeting Job not revised Correctly)</t>
  </si>
  <si>
    <t>045</t>
  </si>
  <si>
    <t>Brown Wax</t>
  </si>
  <si>
    <t>1.000</t>
  </si>
  <si>
    <t xml:space="preserve">Marco fixed the sizing - correct size now. </t>
  </si>
  <si>
    <t>Using in March. 2022</t>
  </si>
  <si>
    <t>002</t>
  </si>
  <si>
    <t>40# White Butcher</t>
  </si>
  <si>
    <t>007</t>
  </si>
  <si>
    <t>45# Freezer</t>
  </si>
  <si>
    <t>009</t>
  </si>
  <si>
    <t>45# NAT Frzr</t>
  </si>
  <si>
    <t>010</t>
  </si>
  <si>
    <t>40# NAT Frzr "L"</t>
  </si>
  <si>
    <t>011</t>
  </si>
  <si>
    <t>40# Green Platter</t>
  </si>
  <si>
    <t>012</t>
  </si>
  <si>
    <t>40# Pink Platter</t>
  </si>
  <si>
    <t>025</t>
  </si>
  <si>
    <t>NAT Platter</t>
  </si>
  <si>
    <t>033</t>
  </si>
  <si>
    <t>NAT F/C</t>
  </si>
  <si>
    <t>034</t>
  </si>
  <si>
    <t>20# White F/C</t>
  </si>
  <si>
    <t>.950</t>
  </si>
  <si>
    <t>058</t>
  </si>
  <si>
    <t>40# Black Platter</t>
  </si>
  <si>
    <t>160</t>
  </si>
  <si>
    <t>40# Draegers Frzr</t>
  </si>
  <si>
    <t>Using in Feb. 2022</t>
  </si>
  <si>
    <t>40# Wht Butcher</t>
  </si>
  <si>
    <t>003</t>
  </si>
  <si>
    <t>40# Pink Butcher</t>
  </si>
  <si>
    <t>004</t>
  </si>
  <si>
    <t>50# White Butcher</t>
  </si>
  <si>
    <t>006</t>
  </si>
  <si>
    <t>40# Freezer</t>
  </si>
  <si>
    <t>036</t>
  </si>
  <si>
    <t>19# Dry Wax</t>
  </si>
  <si>
    <t>330</t>
  </si>
  <si>
    <t>45# Lunardis</t>
  </si>
  <si>
    <t>.500</t>
  </si>
  <si>
    <t>Using in Jan. 2022</t>
  </si>
  <si>
    <t>0.95</t>
  </si>
  <si>
    <t>40# Black platter</t>
  </si>
  <si>
    <t>When running the following paper, run extra for MS if possible. The following are sizes and quanities we regularly use and can be kept if we need to run out a job</t>
  </si>
  <si>
    <t>50# Wht Butcher</t>
  </si>
  <si>
    <t>40# White Freezer</t>
  </si>
  <si>
    <t>40# Natural Freezer "L"</t>
  </si>
  <si>
    <t>39# Natural Platter</t>
  </si>
  <si>
    <t>030</t>
  </si>
  <si>
    <t>65# Heavy Pink Platter</t>
  </si>
  <si>
    <t>20# Wht Grs Resistant</t>
  </si>
  <si>
    <t>39# Black Steak</t>
  </si>
  <si>
    <t>39# Black Platter</t>
  </si>
  <si>
    <t>40# Draegers</t>
  </si>
  <si>
    <t>RUN OUT</t>
  </si>
  <si>
    <t>#</t>
  </si>
  <si>
    <t>inventory</t>
  </si>
  <si>
    <t>updated 1/10/22</t>
  </si>
  <si>
    <t>OVERSTOCK LIST</t>
  </si>
  <si>
    <t>count</t>
  </si>
  <si>
    <t>Extended</t>
  </si>
  <si>
    <t>Cost in</t>
  </si>
  <si>
    <t>CLASS</t>
  </si>
  <si>
    <t>verified</t>
  </si>
  <si>
    <t>Date:</t>
  </si>
  <si>
    <t>Item#</t>
  </si>
  <si>
    <t>Description</t>
  </si>
  <si>
    <t>Quantity</t>
  </si>
  <si>
    <t>Cost</t>
  </si>
  <si>
    <t>Problem and/or To Use As</t>
  </si>
  <si>
    <t>Wt/unit</t>
  </si>
  <si>
    <t>Computer</t>
  </si>
  <si>
    <t>7.5x9.125 Frzr L shts</t>
  </si>
  <si>
    <t>64/30 kraft 4400'</t>
  </si>
  <si>
    <t>Not here-was jumbo roll</t>
  </si>
  <si>
    <t>11x16/50 kraft</t>
  </si>
  <si>
    <t>WATCH INVENTORY VALUE OF OLD INVENTORY</t>
  </si>
  <si>
    <t>Use for anything we can</t>
  </si>
  <si>
    <t>016</t>
  </si>
  <si>
    <t>1m</t>
  </si>
  <si>
    <t>2/8/21 Don't know what to do with</t>
  </si>
  <si>
    <t>10x10 nat grs res</t>
  </si>
  <si>
    <t>Put to TRASH</t>
  </si>
  <si>
    <t>047</t>
  </si>
  <si>
    <t>10" Parch circles</t>
  </si>
  <si>
    <t>use for smaller parch circles</t>
  </si>
  <si>
    <t>9.5x16 Pink Platter</t>
  </si>
  <si>
    <t>060</t>
  </si>
  <si>
    <t>24x36 brn wax sheets</t>
  </si>
  <si>
    <t>12x12 Dulce Parch</t>
  </si>
  <si>
    <t>4/1m</t>
  </si>
  <si>
    <t>Tim to check</t>
  </si>
  <si>
    <t>emailed Norma</t>
  </si>
  <si>
    <t>12" Green wax</t>
  </si>
  <si>
    <t>sheet to 12x48 -cut to 9x12 sheets</t>
  </si>
  <si>
    <t>6.5x9 Natural Butcher</t>
  </si>
  <si>
    <t>HOLD-Cust will order eventually.  Chking 1/20/22</t>
  </si>
  <si>
    <t>050</t>
  </si>
  <si>
    <t>6-9/16" Q2S circles w 3-1/8" Center hole</t>
  </si>
  <si>
    <t>10" Parchment circles</t>
  </si>
  <si>
    <t xml:space="preserve"> 6.75X10 25# Q2S QUILON</t>
  </si>
  <si>
    <t>24x36 Brown Wax shts</t>
  </si>
  <si>
    <t>18x1M 40/7 frzr</t>
  </si>
  <si>
    <t>TOSSED</t>
  </si>
  <si>
    <t>TOSS</t>
  </si>
  <si>
    <t>TO TOSS</t>
  </si>
  <si>
    <t>Removed from Computer</t>
  </si>
  <si>
    <t xml:space="preserve">Status </t>
  </si>
  <si>
    <t>12x12 #130 SW</t>
  </si>
  <si>
    <t>Can't find-remove from inventory</t>
  </si>
  <si>
    <t>5x9.5 Brown Wax</t>
  </si>
  <si>
    <t>6-9/16 Q2S W3-1/8" ctr hole</t>
  </si>
  <si>
    <t>try to find</t>
  </si>
  <si>
    <t>just made in Aug '20 J# 6912</t>
  </si>
  <si>
    <t>24/50 kraft</t>
  </si>
  <si>
    <t>720'</t>
  </si>
  <si>
    <t>5.5x5.5 27# Parchment  10/1m</t>
  </si>
  <si>
    <t>15x15 Brown Wax</t>
  </si>
  <si>
    <t>15x15/40 wht BP</t>
  </si>
  <si>
    <t>15x15 parch Triangles</t>
  </si>
  <si>
    <t>9x10 Veggie/Cheese Tamale</t>
  </si>
  <si>
    <t>Timothy is working on</t>
  </si>
  <si>
    <t>USED</t>
  </si>
  <si>
    <t>6x29 pink platter</t>
  </si>
  <si>
    <t>12x29 pink platter</t>
  </si>
  <si>
    <t>Using to cut item#132055 5.5x14 Pink Platter</t>
  </si>
  <si>
    <t>36</t>
  </si>
  <si>
    <t>9-5/8x11-3/4 D/C Dry Wax</t>
  </si>
  <si>
    <t>SENT WITH REGAL ORDER</t>
  </si>
  <si>
    <t>3</t>
  </si>
  <si>
    <t>24/40 Pink</t>
  </si>
  <si>
    <t>1300'</t>
  </si>
  <si>
    <t>FG</t>
  </si>
  <si>
    <t>13.5x20 #1 Mg Tissue</t>
  </si>
  <si>
    <t>Bulk</t>
  </si>
  <si>
    <t>9</t>
  </si>
  <si>
    <t>15x15 NATUAL Freeze Rite</t>
  </si>
  <si>
    <t>54</t>
  </si>
  <si>
    <t>24"x2m' Natural Q2S</t>
  </si>
  <si>
    <t>2m'</t>
  </si>
  <si>
    <t>10x29 pink platter</t>
  </si>
  <si>
    <t>55</t>
  </si>
  <si>
    <t>30x48/40 prem table covers</t>
  </si>
  <si>
    <t>2</t>
  </si>
  <si>
    <t>18/40 Wht Butcher</t>
  </si>
  <si>
    <t>900'</t>
  </si>
  <si>
    <t>30x48/ wht butcher</t>
  </si>
  <si>
    <t>7</t>
  </si>
  <si>
    <t>14x14 freezer sheets</t>
  </si>
  <si>
    <t>15</t>
  </si>
  <si>
    <t>12x12/40 kraft sheets</t>
  </si>
  <si>
    <t>16</t>
  </si>
  <si>
    <t>20/50 kraft</t>
  </si>
  <si>
    <t>1025'</t>
  </si>
  <si>
    <t>24/50 Economy kraft</t>
  </si>
  <si>
    <t>780'</t>
  </si>
  <si>
    <t>25</t>
  </si>
  <si>
    <t>12x30 Natural Platter</t>
  </si>
  <si>
    <t>11</t>
  </si>
  <si>
    <t>6x14 Green platter</t>
  </si>
  <si>
    <t>45</t>
  </si>
  <si>
    <t>15" Brown Wax</t>
  </si>
  <si>
    <t>1470'</t>
  </si>
  <si>
    <t>24x32/50 Wht Offset</t>
  </si>
  <si>
    <t>22x30 NATURALQ2S pan liners</t>
  </si>
  <si>
    <t>21.875 x 29.875 27# Virgin Kraft</t>
  </si>
  <si>
    <t>60</t>
  </si>
  <si>
    <t>32x40/40 Bleached Kr</t>
  </si>
  <si>
    <t>250/bd</t>
  </si>
  <si>
    <t>4</t>
  </si>
  <si>
    <t>12/50 wht Butcher</t>
  </si>
  <si>
    <t>1100'</t>
  </si>
  <si>
    <t>18x18/50 Butcher</t>
  </si>
  <si>
    <t>6</t>
  </si>
  <si>
    <t>121116HW</t>
  </si>
  <si>
    <t>15" Freezer" L"</t>
  </si>
  <si>
    <t>1m'</t>
  </si>
  <si>
    <t>121800HW</t>
  </si>
  <si>
    <t>15" Freeze-Rite 1100'</t>
  </si>
  <si>
    <t>30x40 freezer sheets</t>
  </si>
  <si>
    <t>10</t>
  </si>
  <si>
    <t>121999HW</t>
  </si>
  <si>
    <t>18" Natural Freezer "L" 1100'</t>
  </si>
  <si>
    <t>30" Dry Wax</t>
  </si>
  <si>
    <t>3m'</t>
  </si>
  <si>
    <t>########</t>
  </si>
  <si>
    <t>15x20 #2 MF Tissue</t>
  </si>
  <si>
    <t>USE FOR Nelson item# 232006 13-5/8x19-5/8-</t>
  </si>
  <si>
    <t>24" Freezer "L"</t>
  </si>
  <si>
    <t>58</t>
  </si>
  <si>
    <t>12x30 Black Platter</t>
  </si>
  <si>
    <t>CUT TO 6X30 BLACK ITEM# 132706</t>
  </si>
  <si>
    <t>20x30 Black Platter</t>
  </si>
  <si>
    <t>8/26/16 scheduled to cut to 10x30 &amp; 6x30</t>
  </si>
  <si>
    <t>24x24/40 Blch kraft</t>
  </si>
  <si>
    <t>25#</t>
  </si>
  <si>
    <t>14</t>
  </si>
  <si>
    <t>18/30 Economy Kraft</t>
  </si>
  <si>
    <t>1350'</t>
  </si>
  <si>
    <t>24/40 Economy kraft</t>
  </si>
  <si>
    <t>1070'</t>
  </si>
  <si>
    <t>36x36/40 White Butcher</t>
  </si>
  <si>
    <t>50#</t>
  </si>
  <si>
    <t>24x36/40 wht butcher</t>
  </si>
  <si>
    <t>500/bd</t>
  </si>
  <si>
    <t>15x15 NATURAL Freeze Rite</t>
  </si>
  <si>
    <t>30/30 Economy kraft lighter color kraft</t>
  </si>
  <si>
    <t>1020'</t>
  </si>
  <si>
    <t>ran in 2015 for Ernest, but customer didn't like the lighter shade of kraft from Nippon</t>
  </si>
  <si>
    <t>15x24 Newsprint</t>
  </si>
  <si>
    <t>For Allied Box-Sept or Oct. '16 should take</t>
  </si>
  <si>
    <t>2000#</t>
  </si>
  <si>
    <t>30/40 Economy Kraft</t>
  </si>
  <si>
    <t>per Norma-ADS will take in a couple months.- by Oct. 2016?</t>
  </si>
  <si>
    <t>13x18.75/40 wht butcher</t>
  </si>
  <si>
    <t>Nothing counted @ 12/31/16 phys inven.</t>
  </si>
  <si>
    <t>12x15 Freeze-Rite sheets</t>
  </si>
  <si>
    <t>sold Jan. 2017</t>
  </si>
  <si>
    <t>13X13 Natural freeze-rite</t>
  </si>
  <si>
    <t>9/30 kraft (virgin)</t>
  </si>
  <si>
    <t>1625'</t>
  </si>
  <si>
    <t>old rolls tossed b/4 yr end 2016 inventory</t>
  </si>
  <si>
    <t>56</t>
  </si>
  <si>
    <t>37099 (Left over Trim")</t>
  </si>
  <si>
    <t>12"x2200' 35# Silicone (Metsa)</t>
  </si>
  <si>
    <t>2200'</t>
  </si>
  <si>
    <t>Used-sheeted for 12x12 sheets</t>
  </si>
  <si>
    <t>79</t>
  </si>
  <si>
    <t>2-3/16x3-7/16 poly board</t>
  </si>
  <si>
    <t>SOLD! Dec. 2016</t>
  </si>
  <si>
    <t>50</t>
  </si>
  <si>
    <t>10" Q2S Scallop Doilies</t>
  </si>
  <si>
    <t>5/1m</t>
  </si>
  <si>
    <t>2 cs</t>
  </si>
  <si>
    <t>Use to cut item#232228 8" circles</t>
  </si>
  <si>
    <t>8.75x8.75 25# Q2S</t>
  </si>
  <si>
    <t>2m</t>
  </si>
  <si>
    <t>8 bd</t>
  </si>
  <si>
    <t>10"X10M' 25# QUILON-METSA</t>
  </si>
  <si>
    <t>10M</t>
  </si>
  <si>
    <t>Used to cut 8" &amp; 6" Circles</t>
  </si>
  <si>
    <t>21.875 x 29.875 27# Virgin Kraft(30# sub)</t>
  </si>
  <si>
    <t>use it for #142314 10x14 &amp;142351 17x24 in tiny qtys</t>
  </si>
  <si>
    <t>43.75#w/waste</t>
  </si>
  <si>
    <t>1</t>
  </si>
  <si>
    <t>12/30 Wht grocery</t>
  </si>
  <si>
    <t>42rls=3184# can't be used by Serv-Rite (Regal) they can only use CopaMex-use for 10" circles</t>
  </si>
  <si>
    <t>5</t>
  </si>
  <si>
    <t>20/50 Pink</t>
  </si>
  <si>
    <t>121110HW</t>
  </si>
  <si>
    <t>15"x1100' Freezer "L" 36/4 (40#)</t>
  </si>
  <si>
    <t>Item# 121110HW Transfers into-------&gt; Item# 121115</t>
  </si>
  <si>
    <t>12"x1100' Freeze-Rite</t>
  </si>
  <si>
    <t>12/40 wht butcher</t>
  </si>
  <si>
    <t>MOVED TO TRASH 3.29.17</t>
  </si>
  <si>
    <t>12"x900' #130SW Poly Roll</t>
  </si>
  <si>
    <t>6rl</t>
  </si>
  <si>
    <t>removed-not counted in inventory-not here</t>
  </si>
  <si>
    <t>15x20 #2 Tissue</t>
  </si>
  <si>
    <t>9x16.5 Pink Platter</t>
  </si>
  <si>
    <t>24X30/40 Kraft sheets</t>
  </si>
  <si>
    <t>6x12 Pink Platter</t>
  </si>
  <si>
    <t>1/5/17-Lizette to schedule 10 rls to drum sheet for 8" &amp; 10" Q2S circles-will continue to do until all used up</t>
  </si>
  <si>
    <t>18/40 White butcher   800'</t>
  </si>
  <si>
    <t>800'</t>
  </si>
  <si>
    <t>Norma wrote up order incorrectly.  Followed up w/Norma 4.1.17</t>
  </si>
  <si>
    <t>4x8 Dry Wax sheets</t>
  </si>
  <si>
    <t>18/1m</t>
  </si>
  <si>
    <t>Sold to Luna Trading for $5.00 per case all 64 cases  5/12/17!</t>
  </si>
  <si>
    <t>43</t>
  </si>
  <si>
    <t>8x9 #143 SW</t>
  </si>
  <si>
    <t>450</t>
  </si>
  <si>
    <t>8-3/8x12 Rubicon Nat 'L' Frzr</t>
  </si>
  <si>
    <t>SOLD May 2017</t>
  </si>
  <si>
    <t>8x15 Black Platter</t>
  </si>
  <si>
    <t>2/1m</t>
  </si>
  <si>
    <t>10x14/30 kraft sheets</t>
  </si>
  <si>
    <t>47</t>
  </si>
  <si>
    <t>223000/ 3650</t>
  </si>
  <si>
    <t>8" parchment scallop doilies</t>
  </si>
  <si>
    <t>10/1m</t>
  </si>
  <si>
    <t>Job#3650  Ran for Trade-they use at end of year.  See if can take in Sept-Nov. 2017</t>
  </si>
  <si>
    <t>11" Q2S rolls</t>
  </si>
  <si>
    <t>run to 6x30</t>
  </si>
  <si>
    <t>121316HW</t>
  </si>
  <si>
    <t>15" Freezer Wrap 1m'</t>
  </si>
  <si>
    <t>Updated count 4.4.17</t>
  </si>
  <si>
    <t>84</t>
  </si>
  <si>
    <t>225024/4365</t>
  </si>
  <si>
    <t>24X33 25# Sil. Gres.</t>
  </si>
  <si>
    <t>Used Vicat paper to run and cust. didn't not like so he returned. Use for Panliners or small sizes</t>
  </si>
  <si>
    <t>4"x200' #143 SW &gt;&gt;&gt;&gt;&gt;&gt;&gt;&gt;</t>
  </si>
  <si>
    <t>&gt;&gt;&gt;&gt;</t>
  </si>
  <si>
    <t>32 rls</t>
  </si>
  <si>
    <t>Poly sheet &amp; use to run Mid Valley           
192764  2.5X6.5 #143 SW      5/2M       45.00 0 CS 02/28/17    7</t>
  </si>
  <si>
    <t>30/30 Economy kraft  1020'</t>
  </si>
  <si>
    <t>4/4/17 emailing Norma to sell to Ernest-saiid they won't need until end of 2017-Ernest has note in their computer</t>
  </si>
  <si>
    <t>122955/J#3542</t>
  </si>
  <si>
    <t>14x14 Natural freezer sheets</t>
  </si>
  <si>
    <t>4/5/17 J#4029 over ran on American Paper order.  Already had thse 5 cs boxed O/H-Nov 2016-will see if American can take</t>
  </si>
  <si>
    <t>42x42 35# Sil. Gres.</t>
  </si>
  <si>
    <t>18x24 Natural Freezer 'L'  shts</t>
  </si>
  <si>
    <t>223022/ 3708</t>
  </si>
  <si>
    <t>10" parchment scallop doilies</t>
  </si>
  <si>
    <t>Ran for Trade - see above note</t>
  </si>
  <si>
    <t>8/8/2016</t>
  </si>
  <si>
    <t xml:space="preserve">10"x10M' 25# Quilon </t>
  </si>
  <si>
    <t>10M'</t>
  </si>
  <si>
    <t>15X20/50 White butcher</t>
  </si>
  <si>
    <t>15X20 Freezer "L" sheets</t>
  </si>
  <si>
    <t>15x20 Pink Platter</t>
  </si>
  <si>
    <t>XXXXX</t>
  </si>
  <si>
    <t>11X15.5 Q2S</t>
  </si>
  <si>
    <t>Were mistakenly cut when nat Q2S was supposed to be cut to Item#232015</t>
  </si>
  <si>
    <t>41</t>
  </si>
  <si>
    <t>12x18 #130 SW</t>
  </si>
  <si>
    <t>17x24 30# Kraft</t>
  </si>
  <si>
    <t xml:space="preserve"> Stocking agreement cancelled/ Norma trying to have customer take it</t>
  </si>
  <si>
    <t>61</t>
  </si>
  <si>
    <t>XXXX</t>
  </si>
  <si>
    <t>18/50 Bleached</t>
  </si>
  <si>
    <t>Were run by mistake on J#42458, will need to use for the next 18" lakeshore order.</t>
  </si>
  <si>
    <t>&gt;&gt;&gt;&gt;&gt;</t>
  </si>
  <si>
    <t>5.5X5.5 27# PARCHMENT 10/1M</t>
  </si>
  <si>
    <t>Trashing Oct. 2018</t>
  </si>
  <si>
    <t>052</t>
  </si>
  <si>
    <t>14x20 35# Q2S sheets-cut bad-use for smaller sheet</t>
  </si>
  <si>
    <t>26m</t>
  </si>
  <si>
    <t>ran to incorrect size for 16x20 to be D/C @ Pacific Forest</t>
  </si>
  <si>
    <t>Use for 9x12</t>
  </si>
  <si>
    <t>18x18 Natural Poly L Freezer sheets</t>
  </si>
  <si>
    <t>Using for 16x16</t>
  </si>
  <si>
    <t>9563 &amp; 9562</t>
  </si>
  <si>
    <t>using for 15x18 &amp; 16x16</t>
  </si>
  <si>
    <t>8.5x12 Freezer L Sheets</t>
  </si>
  <si>
    <t>msg on run sheet J 5713</t>
  </si>
  <si>
    <t>using for 5.25x9.75</t>
  </si>
  <si>
    <t>24x24/40  white butcher</t>
  </si>
  <si>
    <t>American Paper returned-wanted kraft sheets not BP-cust ordered wrong</t>
  </si>
  <si>
    <t xml:space="preserve">30/30 Economy </t>
  </si>
  <si>
    <t>20/24/20</t>
  </si>
  <si>
    <t>18"x2200' Q2S rolls</t>
  </si>
  <si>
    <t>J#46440</t>
  </si>
  <si>
    <t>duplicated order in error-lost run sheet &amp; ran again</t>
  </si>
  <si>
    <t>041</t>
  </si>
  <si>
    <t>12x12 #130 SW sheets (over run)</t>
  </si>
  <si>
    <t>1m/cs</t>
  </si>
  <si>
    <t>J#6674</t>
  </si>
  <si>
    <t>12/4/19 new sheeter oper jason over ran the tabs on shtr &amp; new cutter oper Joey cut all</t>
  </si>
  <si>
    <t>16x16 freezer L</t>
  </si>
  <si>
    <t>. use for item# 122143-THIS ORDER WAS AN ERROR-see note on run sheet</t>
  </si>
  <si>
    <t>9x12 natural frzr shts 'L'</t>
  </si>
  <si>
    <t>5993/5904</t>
  </si>
  <si>
    <t>over ran-put in stock -was for Trade-5/6/19 Norma to ask Trade/IFS aout it</t>
  </si>
  <si>
    <t>all used</t>
  </si>
  <si>
    <t>In June '19 they said they would take later, but they still had 22 bdls in stock</t>
  </si>
  <si>
    <t>015</t>
  </si>
  <si>
    <t>72/40 kraft Lighter shade Nippon kr</t>
  </si>
  <si>
    <t>760'</t>
  </si>
  <si>
    <t>60.8#/R</t>
  </si>
  <si>
    <t>updated 4.4.17  Norma can't sell these-weren't her customer</t>
  </si>
  <si>
    <t>got rid of in butt roll elimination in June 2020</t>
  </si>
  <si>
    <t>019</t>
  </si>
  <si>
    <t>10x12 105# Kraft</t>
  </si>
  <si>
    <t>6x9.5 #130SW sheets</t>
  </si>
  <si>
    <t>10/m</t>
  </si>
  <si>
    <t>15x15x21.5 Parch Triangle</t>
  </si>
  <si>
    <t>Luna trading took 2 cs Dec. 2020</t>
  </si>
  <si>
    <t>8" lace scallop parchment circles</t>
  </si>
  <si>
    <t>14 cs</t>
  </si>
  <si>
    <t>$109.31 cs</t>
  </si>
  <si>
    <t>D/C to 6" circles</t>
  </si>
  <si>
    <t>000</t>
  </si>
  <si>
    <t>J#40032 paper from Interwrap</t>
  </si>
  <si>
    <t>68/41 Natural Freezer (Plain) Test Rolls For Bristol Farms</t>
  </si>
  <si>
    <t xml:space="preserve">6cs of the 10x30 Natural Butcher for Albertsons (TRIAL) </t>
  </si>
  <si>
    <t>026</t>
  </si>
  <si>
    <t>Raw Material 68/35 MG Natural Butcher</t>
  </si>
  <si>
    <t>2 rls/1739# 145#</t>
  </si>
  <si>
    <t>1884#</t>
  </si>
  <si>
    <t>Beth requested we re cut the sheets for this item.</t>
  </si>
  <si>
    <t>084</t>
  </si>
  <si>
    <t>225021</t>
  </si>
  <si>
    <t>18.5x26.5 25# Sil Grs</t>
  </si>
  <si>
    <t>14 bd</t>
  </si>
  <si>
    <t>2/4/21 run for 6x12 for Imperial Bag w/J# 7711</t>
  </si>
  <si>
    <t>5bd</t>
  </si>
  <si>
    <t>used 5bd that we had for Vernon RTC of their regular item 222137</t>
  </si>
  <si>
    <t>use 2/8/21</t>
  </si>
  <si>
    <t>17/38 white Butcher</t>
  </si>
  <si>
    <t>Trim to 15/40</t>
  </si>
  <si>
    <t>J# 49096</t>
  </si>
  <si>
    <t>36/30 wht groc</t>
  </si>
  <si>
    <t>Rework J 49100</t>
  </si>
  <si>
    <t>1 rl to PS</t>
  </si>
  <si>
    <t>8" Lace scallop doilie</t>
  </si>
  <si>
    <t>cut J# 7454</t>
  </si>
  <si>
    <t>cut to 6" circles 223007</t>
  </si>
  <si>
    <t>6" Parch circles</t>
  </si>
  <si>
    <t>Grn sht J# 11687</t>
  </si>
  <si>
    <t>repack to 10/1m for item# 223007</t>
  </si>
  <si>
    <t>J# 11689 cut to 132140 6x14 stk</t>
  </si>
  <si>
    <t>28x48/50 Wht Butcher</t>
  </si>
  <si>
    <t>2/11/21 use for 103593 9.75x13.75- cut the 9.75 from the 48" side</t>
  </si>
  <si>
    <t>Using for Item 103593</t>
  </si>
  <si>
    <t>435</t>
  </si>
  <si>
    <t xml:space="preserve"> 15" Rancho El 17 Frzr L</t>
  </si>
  <si>
    <t>500# 30rls</t>
  </si>
  <si>
    <t>KHL-Tijuana</t>
  </si>
  <si>
    <t>8/30/19 Tim R sent them an email but didn't get reply</t>
  </si>
  <si>
    <t>Jan '20Angie also tried calling to T.J.</t>
  </si>
  <si>
    <t>Feb. 2021-no longer in computer</t>
  </si>
  <si>
    <t>7.5x9.125 wht Freezer L</t>
  </si>
  <si>
    <t>2/8/21-not in computer now</t>
  </si>
  <si>
    <t>30/50 kraft  720'</t>
  </si>
  <si>
    <t>Running to 1050 ft rls J#11701</t>
  </si>
  <si>
    <t>ore ran to stock</t>
  </si>
  <si>
    <t>12x12 Green check</t>
  </si>
  <si>
    <t>Return to USA 2/9 or 2/10</t>
  </si>
  <si>
    <t>Return to USA</t>
  </si>
  <si>
    <t>9x10 Jalapeno Parch</t>
  </si>
  <si>
    <t>TIM TO RESOLVE</t>
  </si>
  <si>
    <t>this .4 cs may still be here 3/1/21</t>
  </si>
  <si>
    <t xml:space="preserve">TOSSED </t>
  </si>
  <si>
    <t>Claud removed from comp</t>
  </si>
  <si>
    <t>088</t>
  </si>
  <si>
    <t xml:space="preserve">2-7/16x8-3/8 50/70 SW Wax </t>
  </si>
  <si>
    <t>trashed-done</t>
  </si>
  <si>
    <t>removed from invent</t>
  </si>
  <si>
    <t>18" Valu frzr</t>
  </si>
  <si>
    <t>12/40 wht 1300'</t>
  </si>
  <si>
    <t>8x8 Nat Sand wrap</t>
  </si>
  <si>
    <t>10x10  Natural Gr Res</t>
  </si>
  <si>
    <t>36" Brown wax</t>
  </si>
  <si>
    <t xml:space="preserve">3/23/21 these can not be found in stock </t>
  </si>
  <si>
    <t>24x30/40 Bleached Kraft tablecovers</t>
  </si>
  <si>
    <t>2/5/21-Cut to 103424 23x29 next time we run for Regal J#</t>
  </si>
  <si>
    <t>2/8 Angie to ask when will need</t>
  </si>
  <si>
    <t>all gone now 6/2/21</t>
  </si>
  <si>
    <t>2/26/21 POSS report O/S</t>
  </si>
  <si>
    <t>24/30 Grocery</t>
  </si>
  <si>
    <t>re work to  18/30 3/19</t>
  </si>
  <si>
    <t>12-1/8X16-3/8 25# SIL GRSPRF</t>
  </si>
  <si>
    <t xml:space="preserve">Cut to smaller size </t>
  </si>
  <si>
    <t>Gone</t>
  </si>
  <si>
    <t>9x12 Nat Frzr L sht</t>
  </si>
  <si>
    <t>IFS</t>
  </si>
  <si>
    <r>
      <t xml:space="preserve">50941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</si>
  <si>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t xml:space="preserve">50930 Albert Paper 18" 121328 use 2200# </t>
    </r>
    <r>
      <rPr>
        <b/>
        <sz val="12"/>
        <color theme="5"/>
        <rFont val="Arial"/>
        <family val="2"/>
      </rPr>
      <t>RUN DAY BOXES NEEDED</t>
    </r>
  </si>
  <si>
    <r>
      <t xml:space="preserve">50913 Area Stk 18": 121153 </t>
    </r>
    <r>
      <rPr>
        <b/>
        <sz val="12"/>
        <color rgb="FFEA4335"/>
        <rFont val="Arial"/>
        <family val="2"/>
      </rPr>
      <t>RUN DAY BOXES NEEDED</t>
    </r>
  </si>
  <si>
    <r>
      <t xml:space="preserve">50942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</si>
  <si>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rPr>
        <b/>
        <sz val="12"/>
        <color theme="1"/>
        <rFont val="Arial"/>
        <family val="2"/>
      </rPr>
      <t>1/19</t>
    </r>
    <r>
      <rPr>
        <b/>
        <sz val="12"/>
        <color rgb="FFEA4335"/>
        <rFont val="Arial"/>
        <family val="2"/>
      </rPr>
      <t xml:space="preserve"> ships 1/24</t>
    </r>
  </si>
  <si>
    <r>
      <t xml:space="preserve">51038 Oakland / Stk 24" 18" 121333 121153 use 2242# </t>
    </r>
    <r>
      <rPr>
        <b/>
        <sz val="12"/>
        <color rgb="FFFF0000"/>
        <rFont val="Arial"/>
        <family val="2"/>
      </rPr>
      <t>RUN DAY BOXES</t>
    </r>
  </si>
  <si>
    <r>
      <t xml:space="preserve">50943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</si>
  <si>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rPr>
        <b/>
        <sz val="12"/>
        <color rgb="FF000000"/>
        <rFont val="Arial"/>
        <family val="2"/>
      </rPr>
      <t xml:space="preserve">51092 Montroy 48" 101537 101548  </t>
    </r>
    <r>
      <rPr>
        <b/>
        <sz val="12"/>
        <color rgb="FFEA4335"/>
        <rFont val="Arial"/>
        <family val="2"/>
      </rPr>
      <t>RUN DAY BOXES</t>
    </r>
  </si>
  <si>
    <r>
      <rPr>
        <b/>
        <sz val="12"/>
        <color rgb="FF000000"/>
        <rFont val="Arial"/>
        <family val="2"/>
      </rPr>
      <t>51091 Montroy Supply 36" 101556</t>
    </r>
    <r>
      <rPr>
        <b/>
        <sz val="12"/>
        <color rgb="FFEA4335"/>
        <rFont val="Arial"/>
        <family val="2"/>
      </rPr>
      <t xml:space="preserve"> RUN DAY BOXES</t>
    </r>
  </si>
  <si>
    <r>
      <t xml:space="preserve">50944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</si>
  <si>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rPr>
        <b/>
        <sz val="12"/>
        <color theme="1"/>
        <rFont val="Arial"/>
        <family val="2"/>
      </rPr>
      <t xml:space="preserve">51098 Stock 20" 121720 use 1492# </t>
    </r>
    <r>
      <rPr>
        <b/>
        <sz val="12"/>
        <color rgb="FFFF0000"/>
        <rFont val="Arial"/>
        <family val="2"/>
      </rPr>
      <t>RUN DAY BOXES</t>
    </r>
  </si>
  <si>
    <r>
      <rPr>
        <b/>
        <sz val="12"/>
        <color theme="1"/>
        <rFont val="Arial"/>
        <family val="2"/>
      </rPr>
      <t xml:space="preserve">51123 Area 18" 121153 use 2187# </t>
    </r>
    <r>
      <rPr>
        <b/>
        <sz val="12"/>
        <color rgb="FFFF0000"/>
        <rFont val="Arial"/>
        <family val="2"/>
      </rPr>
      <t>RUN DAY BOXES</t>
    </r>
  </si>
  <si>
    <r>
      <t xml:space="preserve">50945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</si>
  <si>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rPr>
        <b/>
        <sz val="12"/>
        <color theme="1"/>
        <rFont val="Arial"/>
        <family val="2"/>
      </rPr>
      <t xml:space="preserve">2/14/21 </t>
    </r>
    <r>
      <rPr>
        <b/>
        <sz val="12"/>
        <color rgb="FFFF0000"/>
        <rFont val="Arial"/>
        <family val="2"/>
      </rPr>
      <t>ships 2/17</t>
    </r>
  </si>
  <si>
    <r>
      <t xml:space="preserve">50946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</si>
  <si>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t xml:space="preserve">50947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</si>
  <si>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rPr>
        <b/>
        <sz val="12"/>
        <color theme="1"/>
        <rFont val="Arial"/>
        <family val="2"/>
      </rPr>
      <t xml:space="preserve">2/28 </t>
    </r>
    <r>
      <rPr>
        <b/>
        <sz val="12"/>
        <color rgb="FFEA4335"/>
        <rFont val="Arial"/>
        <family val="2"/>
      </rPr>
      <t>ships 3/3</t>
    </r>
  </si>
  <si>
    <t>51227 Bunzl 17" 121114</t>
  </si>
  <si>
    <r>
      <rPr>
        <b/>
        <sz val="12"/>
        <color theme="1"/>
        <rFont val="Arial"/>
        <family val="2"/>
      </rPr>
      <t xml:space="preserve">3/4 </t>
    </r>
    <r>
      <rPr>
        <b/>
        <sz val="12"/>
        <color rgb="FFFF0000"/>
        <rFont val="Arial"/>
        <family val="2"/>
      </rPr>
      <t>ships 3/8</t>
    </r>
  </si>
  <si>
    <r>
      <rPr>
        <b/>
        <sz val="12"/>
        <color theme="1"/>
        <rFont val="Arial"/>
        <family val="2"/>
      </rPr>
      <t xml:space="preserve">3/4 </t>
    </r>
    <r>
      <rPr>
        <b/>
        <sz val="12"/>
        <color rgb="FFFF0000"/>
        <rFont val="Arial"/>
        <family val="2"/>
      </rPr>
      <t>ships 3/7</t>
    </r>
  </si>
  <si>
    <r>
      <t xml:space="preserve">50948 </t>
    </r>
    <r>
      <rPr>
        <b/>
        <sz val="12"/>
        <color rgb="FFEA4335"/>
        <rFont val="Arial"/>
        <family val="2"/>
      </rPr>
      <t>Heritage - Corona</t>
    </r>
    <r>
      <rPr>
        <b/>
        <sz val="12"/>
        <color theme="1"/>
        <rFont val="Arial"/>
        <family val="2"/>
      </rPr>
      <t xml:space="preserve"> 24" 141324C</t>
    </r>
  </si>
  <si>
    <r>
      <rPr>
        <b/>
        <sz val="12"/>
        <color theme="1"/>
        <rFont val="Arial"/>
        <family val="2"/>
      </rPr>
      <t xml:space="preserve">3/7 </t>
    </r>
    <r>
      <rPr>
        <b/>
        <sz val="12"/>
        <color rgb="FFEA4335"/>
        <rFont val="Arial"/>
        <family val="2"/>
      </rPr>
      <t>ships 3/10</t>
    </r>
  </si>
  <si>
    <r>
      <rPr>
        <b/>
        <sz val="12"/>
        <color theme="1"/>
        <rFont val="Arial"/>
        <family val="2"/>
      </rPr>
      <t xml:space="preserve">3/8 </t>
    </r>
    <r>
      <rPr>
        <b/>
        <sz val="12"/>
        <color rgb="FFFF0000"/>
        <rFont val="Arial"/>
        <family val="2"/>
      </rPr>
      <t>ships 3/10</t>
    </r>
  </si>
  <si>
    <r>
      <rPr>
        <b/>
        <sz val="12"/>
        <color theme="1"/>
        <rFont val="Arial"/>
        <family val="2"/>
      </rPr>
      <t>4/7</t>
    </r>
    <r>
      <rPr>
        <b/>
        <sz val="12"/>
        <color rgb="FFEA4335"/>
        <rFont val="Arial"/>
        <family val="2"/>
      </rPr>
      <t xml:space="preserve"> ships 4/11</t>
    </r>
  </si>
  <si>
    <r>
      <rPr>
        <b/>
        <sz val="12"/>
        <color theme="1"/>
        <rFont val="Arial"/>
        <family val="2"/>
      </rPr>
      <t>8008888,8,8</t>
    </r>
    <r>
      <rPr>
        <sz val="12"/>
        <color theme="1"/>
        <rFont val="Arial"/>
        <family val="2"/>
      </rPr>
      <t>,,,8(</t>
    </r>
  </si>
  <si>
    <r>
      <t xml:space="preserve">007 45# Frzr - </t>
    </r>
    <r>
      <rPr>
        <b/>
        <sz val="12"/>
        <color theme="5"/>
        <rFont val="Arial"/>
        <family val="2"/>
      </rPr>
      <t>8032040</t>
    </r>
  </si>
  <si>
    <t>Sheeter #8032085 - Cutter (132083-8032086) (132071-8023087) (132130-8032088) (132094-8032089) (132073-8032090)60</t>
  </si>
  <si>
    <r>
      <t xml:space="preserve">8623 Mountain View 14x23 103323 - </t>
    </r>
    <r>
      <rPr>
        <b/>
        <sz val="12"/>
        <color theme="5"/>
        <rFont val="Arial"/>
        <family val="2"/>
      </rPr>
      <t>8032037</t>
    </r>
  </si>
  <si>
    <r>
      <t xml:space="preserve">4/1/2022  - </t>
    </r>
    <r>
      <rPr>
        <b/>
        <sz val="12"/>
        <color theme="5"/>
        <rFont val="Arial"/>
        <family val="2"/>
      </rPr>
      <t>8032036</t>
    </r>
  </si>
  <si>
    <r>
      <t>8588 Monahan / IFS / Stk 18x18 122916(</t>
    </r>
    <r>
      <rPr>
        <b/>
        <sz val="12"/>
        <color rgb="FFFF6D01"/>
        <rFont val="Arial"/>
        <family val="2"/>
      </rPr>
      <t>803232</t>
    </r>
    <r>
      <rPr>
        <b/>
        <sz val="12"/>
        <color theme="1"/>
        <rFont val="Arial"/>
        <family val="2"/>
      </rPr>
      <t>)15x18 122155(</t>
    </r>
    <r>
      <rPr>
        <b/>
        <sz val="12"/>
        <color rgb="FFEA4335"/>
        <rFont val="Arial"/>
        <family val="2"/>
      </rPr>
      <t>8032031</t>
    </r>
    <r>
      <rPr>
        <b/>
        <sz val="12"/>
        <color theme="1"/>
        <rFont val="Arial"/>
        <family val="2"/>
      </rPr>
      <t>)</t>
    </r>
  </si>
  <si>
    <r>
      <t xml:space="preserve">3 rls 3389# (1440#) - </t>
    </r>
    <r>
      <rPr>
        <b/>
        <sz val="12"/>
        <color theme="5"/>
        <rFont val="Arial"/>
        <family val="2"/>
      </rPr>
      <t>8032029</t>
    </r>
  </si>
  <si>
    <r>
      <t xml:space="preserve">8567 Moresco 14x14 122859 - </t>
    </r>
    <r>
      <rPr>
        <b/>
        <sz val="12"/>
        <color theme="5"/>
        <rFont val="Arial"/>
        <family val="2"/>
      </rPr>
      <t>8032039</t>
    </r>
  </si>
  <si>
    <r>
      <t>4/5/2022 -</t>
    </r>
    <r>
      <rPr>
        <b/>
        <sz val="12"/>
        <color theme="5"/>
        <rFont val="Arial"/>
        <family val="2"/>
      </rPr>
      <t xml:space="preserve"> 8032038</t>
    </r>
  </si>
  <si>
    <t>30X48 Masterseets -8032118 - Finish goods-8032108  3</t>
  </si>
  <si>
    <r>
      <t xml:space="preserve">Voorwood #1 60" (15 knives) and Drum Sheeting  </t>
    </r>
    <r>
      <rPr>
        <b/>
        <sz val="12"/>
        <color rgb="FFFF0000"/>
        <rFont val="Arial"/>
        <family val="2"/>
      </rPr>
      <t>MAX JUMBO WT. 1850#</t>
    </r>
  </si>
  <si>
    <r>
      <t xml:space="preserve">1/12 </t>
    </r>
    <r>
      <rPr>
        <b/>
        <sz val="12"/>
        <color rgb="FFEA4335"/>
        <rFont val="Arial"/>
        <family val="2"/>
      </rPr>
      <t>ships 1/13</t>
    </r>
  </si>
  <si>
    <r>
      <t xml:space="preserve">1/17 </t>
    </r>
    <r>
      <rPr>
        <b/>
        <sz val="12"/>
        <color rgb="FFFF0000"/>
        <rFont val="Arial"/>
        <family val="2"/>
      </rPr>
      <t>ships 1/18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</si>
</sst>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/d"/>
    <numFmt numFmtId="165" formatCode="m&quot;/&quot;d"/>
    <numFmt numFmtId="166" formatCode="m/d/yy"/>
    <numFmt numFmtId="167" formatCode="mm/dd/yyyy"/>
    <numFmt numFmtId="168" formatCode="mmm\ yyyy"/>
    <numFmt numFmtId="169" formatCode="m&quot;/&quot;d&quot;/&quot;yy"/>
    <numFmt numFmtId="170" formatCode="0.0"/>
    <numFmt numFmtId="171" formatCode="mmm\.\ yyyy"/>
    <numFmt numFmtId="172" formatCode="0.000"/>
    <numFmt numFmtId="173" formatCode="&quot;$&quot;#,##0.00"/>
  </numFmts>
  <fonts count="44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rgb="FFFF00FF"/>
      <name val="Arial"/>
      <family val="2"/>
    </font>
    <font>
      <b/>
      <sz val="12"/>
      <color rgb="FF9900FF"/>
      <name val="Arial"/>
      <family val="2"/>
    </font>
    <font>
      <b/>
      <sz val="12"/>
      <color rgb="FF0000FF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FF66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rgb="FFEA4335"/>
      <name val="Arial"/>
      <family val="2"/>
    </font>
    <font>
      <b/>
      <sz val="12"/>
      <color rgb="FFEA4335"/>
      <name val="Arial"/>
      <family val="2"/>
      <scheme val="minor"/>
    </font>
    <font>
      <b/>
      <sz val="12"/>
      <color theme="5"/>
      <name val="Arial"/>
      <family val="2"/>
    </font>
    <font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  <scheme val="minor"/>
    </font>
    <font>
      <b/>
      <sz val="12"/>
      <color rgb="FF434343"/>
      <name val="Arial"/>
      <family val="2"/>
      <scheme val="minor"/>
    </font>
    <font>
      <sz val="12"/>
      <color rgb="FF000000"/>
      <name val="Arial"/>
      <family val="2"/>
    </font>
    <font>
      <sz val="12"/>
      <color rgb="FFFF00FF"/>
      <name val="Arial"/>
      <family val="2"/>
    </font>
    <font>
      <sz val="12"/>
      <color rgb="FFEA4335"/>
      <name val="Arial"/>
      <family val="2"/>
    </font>
    <font>
      <sz val="12"/>
      <color rgb="FFC00000"/>
      <name val="Arial"/>
      <family val="2"/>
    </font>
    <font>
      <b/>
      <sz val="12"/>
      <color rgb="FF0432FF"/>
      <name val="Arial"/>
      <family val="2"/>
    </font>
    <font>
      <sz val="12"/>
      <color rgb="FF9900FF"/>
      <name val="Arial"/>
      <family val="2"/>
    </font>
    <font>
      <b/>
      <sz val="12"/>
      <color rgb="FFFF6D01"/>
      <name val="Arial"/>
      <family val="2"/>
    </font>
    <font>
      <sz val="12"/>
      <color theme="5"/>
      <name val="Arial"/>
      <family val="2"/>
    </font>
    <font>
      <b/>
      <sz val="12"/>
      <color theme="0"/>
      <name val="Arial"/>
      <family val="2"/>
    </font>
    <font>
      <b/>
      <sz val="12"/>
      <color rgb="FFA6FF53"/>
      <name val="Arial"/>
      <family val="2"/>
    </font>
    <font>
      <sz val="12"/>
      <color rgb="FFA6FF5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sz val="12"/>
      <color rgb="FF548235"/>
      <name val="Arial"/>
      <family val="2"/>
    </font>
    <font>
      <b/>
      <sz val="12"/>
      <color rgb="FF7030A0"/>
      <name val="Arial"/>
      <family val="2"/>
    </font>
    <font>
      <sz val="12"/>
      <color rgb="FF674EA7"/>
      <name val="Arial"/>
      <family val="2"/>
    </font>
    <font>
      <i/>
      <sz val="12"/>
      <color theme="1"/>
      <name val="Arial"/>
      <family val="2"/>
    </font>
    <font>
      <i/>
      <sz val="12"/>
      <color rgb="FF9900FF"/>
      <name val="Arial"/>
      <family val="2"/>
    </font>
    <font>
      <sz val="12"/>
      <color rgb="FF53A669"/>
      <name val="Arial"/>
      <family val="2"/>
    </font>
    <font>
      <i/>
      <sz val="12"/>
      <color rgb="FF674EA7"/>
      <name val="Arial"/>
      <family val="2"/>
    </font>
    <font>
      <sz val="12"/>
      <color rgb="FFAE00F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A6FF53"/>
        <bgColor rgb="FFA6FF53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C000"/>
        <bgColor rgb="FFFFC000"/>
      </patternFill>
    </fill>
    <fill>
      <patternFill patternType="solid">
        <fgColor rgb="FF1155CC"/>
        <bgColor rgb="FF1155CC"/>
      </patternFill>
    </fill>
    <fill>
      <patternFill patternType="solid">
        <fgColor rgb="FF53A669"/>
        <bgColor rgb="FF53A66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B5ECB"/>
        <bgColor rgb="FFFB5ECB"/>
      </patternFill>
    </fill>
    <fill>
      <patternFill patternType="solid">
        <fgColor rgb="FFFF61C7"/>
        <bgColor rgb="FFFF61C7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FFCC"/>
        <bgColor rgb="FFFFFF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9BC2E6"/>
        <bgColor rgb="FF9BC2E6"/>
      </patternFill>
    </fill>
    <fill>
      <patternFill patternType="solid">
        <fgColor rgb="FFF4CCCC"/>
        <bgColor rgb="FFF4CCCC"/>
      </patternFill>
    </fill>
    <fill>
      <patternFill patternType="solid">
        <fgColor rgb="FF0432FF"/>
        <bgColor rgb="FF0432FF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548235"/>
        <bgColor rgb="FF548235"/>
      </patternFill>
    </fill>
    <fill>
      <patternFill patternType="solid">
        <fgColor rgb="FFA64D79"/>
        <bgColor rgb="FFA64D79"/>
      </patternFill>
    </fill>
    <fill>
      <patternFill patternType="solid">
        <fgColor rgb="FF7F6000"/>
        <bgColor rgb="FF7F6000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5">
    <xf numFmtId="0" fontId="0" fillId="0" borderId="0" xfId="0"/>
    <xf numFmtId="0" fontId="1" fillId="6" borderId="8" xfId="0" applyFont="1" applyFill="1" applyBorder="1"/>
    <xf numFmtId="0" fontId="2" fillId="2" borderId="8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165" fontId="3" fillId="3" borderId="8" xfId="0" applyNumberFormat="1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right" wrapText="1"/>
    </xf>
    <xf numFmtId="0" fontId="2" fillId="10" borderId="8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right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right"/>
    </xf>
    <xf numFmtId="0" fontId="7" fillId="11" borderId="0" xfId="0" applyFont="1" applyFill="1" applyAlignment="1">
      <alignment horizontal="right" wrapText="1"/>
    </xf>
    <xf numFmtId="0" fontId="3" fillId="11" borderId="0" xfId="0" applyFont="1" applyFill="1" applyAlignment="1">
      <alignment horizontal="right" wrapText="1"/>
    </xf>
    <xf numFmtId="0" fontId="7" fillId="11" borderId="8" xfId="0" applyFont="1" applyFill="1" applyBorder="1" applyAlignment="1">
      <alignment horizontal="right" wrapText="1"/>
    </xf>
    <xf numFmtId="0" fontId="1" fillId="5" borderId="8" xfId="0" applyFont="1" applyFill="1" applyBorder="1"/>
    <xf numFmtId="0" fontId="8" fillId="5" borderId="8" xfId="0" applyFont="1" applyFill="1" applyBorder="1"/>
    <xf numFmtId="14" fontId="1" fillId="5" borderId="8" xfId="0" applyNumberFormat="1" applyFont="1" applyFill="1" applyBorder="1"/>
    <xf numFmtId="0" fontId="1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14" fontId="1" fillId="6" borderId="9" xfId="0" applyNumberFormat="1" applyFont="1" applyFill="1" applyBorder="1"/>
    <xf numFmtId="0" fontId="5" fillId="0" borderId="9" xfId="0" applyFont="1" applyBorder="1" applyAlignment="1">
      <alignment wrapText="1"/>
    </xf>
    <xf numFmtId="0" fontId="2" fillId="5" borderId="9" xfId="0" applyFont="1" applyFill="1" applyBorder="1" applyAlignment="1">
      <alignment horizontal="right" wrapText="1"/>
    </xf>
    <xf numFmtId="0" fontId="7" fillId="3" borderId="9" xfId="0" applyFont="1" applyFill="1" applyBorder="1" applyAlignment="1">
      <alignment horizontal="right" wrapText="1"/>
    </xf>
    <xf numFmtId="0" fontId="8" fillId="5" borderId="0" xfId="0" applyFont="1" applyFill="1" applyAlignment="1">
      <alignment horizontal="right" wrapText="1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right"/>
    </xf>
    <xf numFmtId="0" fontId="7" fillId="3" borderId="0" xfId="0" applyFont="1" applyFill="1" applyAlignment="1">
      <alignment horizontal="center"/>
    </xf>
    <xf numFmtId="0" fontId="11" fillId="6" borderId="0" xfId="0" applyFont="1" applyFill="1" applyAlignment="1">
      <alignment horizontal="right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3" borderId="0" xfId="0" applyFont="1" applyFill="1" applyAlignment="1">
      <alignment wrapText="1"/>
    </xf>
    <xf numFmtId="0" fontId="1" fillId="0" borderId="0" xfId="0" applyFont="1"/>
    <xf numFmtId="14" fontId="3" fillId="6" borderId="0" xfId="0" applyNumberFormat="1" applyFont="1" applyFill="1" applyAlignment="1">
      <alignment horizontal="right"/>
    </xf>
    <xf numFmtId="49" fontId="5" fillId="2" borderId="10" xfId="0" applyNumberFormat="1" applyFont="1" applyFill="1" applyBorder="1" applyAlignment="1">
      <alignment horizontal="right"/>
    </xf>
    <xf numFmtId="14" fontId="1" fillId="6" borderId="0" xfId="0" applyNumberFormat="1" applyFont="1" applyFill="1"/>
    <xf numFmtId="0" fontId="3" fillId="13" borderId="0" xfId="0" applyFont="1" applyFill="1"/>
    <xf numFmtId="0" fontId="1" fillId="13" borderId="0" xfId="0" applyFont="1" applyFill="1"/>
    <xf numFmtId="14" fontId="1" fillId="13" borderId="0" xfId="0" applyNumberFormat="1" applyFont="1" applyFill="1"/>
    <xf numFmtId="0" fontId="1" fillId="14" borderId="0" xfId="0" applyFont="1" applyFill="1"/>
    <xf numFmtId="0" fontId="1" fillId="15" borderId="0" xfId="0" applyFont="1" applyFill="1"/>
    <xf numFmtId="14" fontId="1" fillId="6" borderId="0" xfId="0" applyNumberFormat="1" applyFont="1" applyFill="1" applyAlignment="1">
      <alignment horizontal="right"/>
    </xf>
    <xf numFmtId="49" fontId="2" fillId="2" borderId="10" xfId="0" applyNumberFormat="1" applyFont="1" applyFill="1" applyBorder="1" applyAlignment="1">
      <alignment horizontal="right"/>
    </xf>
    <xf numFmtId="0" fontId="1" fillId="6" borderId="0" xfId="0" applyFont="1" applyFill="1"/>
    <xf numFmtId="18" fontId="2" fillId="2" borderId="10" xfId="0" applyNumberFormat="1" applyFont="1" applyFill="1" applyBorder="1" applyAlignment="1">
      <alignment horizontal="right"/>
    </xf>
    <xf numFmtId="18" fontId="12" fillId="2" borderId="10" xfId="0" applyNumberFormat="1" applyFont="1" applyFill="1" applyBorder="1" applyAlignment="1">
      <alignment horizontal="right"/>
    </xf>
    <xf numFmtId="14" fontId="1" fillId="16" borderId="7" xfId="0" applyNumberFormat="1" applyFont="1" applyFill="1" applyBorder="1"/>
    <xf numFmtId="0" fontId="1" fillId="16" borderId="8" xfId="0" applyFont="1" applyFill="1" applyBorder="1"/>
    <xf numFmtId="0" fontId="3" fillId="16" borderId="11" xfId="0" applyFont="1" applyFill="1" applyBorder="1" applyAlignment="1">
      <alignment wrapText="1"/>
    </xf>
    <xf numFmtId="165" fontId="3" fillId="16" borderId="11" xfId="0" applyNumberFormat="1" applyFont="1" applyFill="1" applyBorder="1" applyAlignment="1">
      <alignment wrapText="1"/>
    </xf>
    <xf numFmtId="14" fontId="3" fillId="17" borderId="0" xfId="0" applyNumberFormat="1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1" fillId="5" borderId="0" xfId="0" applyFont="1" applyFill="1"/>
    <xf numFmtId="14" fontId="3" fillId="6" borderId="9" xfId="0" applyNumberFormat="1" applyFont="1" applyFill="1" applyBorder="1" applyAlignment="1">
      <alignment horizontal="right"/>
    </xf>
    <xf numFmtId="49" fontId="5" fillId="2" borderId="12" xfId="0" applyNumberFormat="1" applyFont="1" applyFill="1" applyBorder="1" applyAlignment="1">
      <alignment horizontal="right"/>
    </xf>
    <xf numFmtId="0" fontId="3" fillId="6" borderId="0" xfId="0" applyFont="1" applyFill="1" applyAlignment="1">
      <alignment wrapText="1"/>
    </xf>
    <xf numFmtId="0" fontId="3" fillId="18" borderId="0" xfId="0" applyFont="1" applyFill="1" applyAlignment="1">
      <alignment horizontal="right" wrapText="1"/>
    </xf>
    <xf numFmtId="0" fontId="3" fillId="18" borderId="0" xfId="0" applyFont="1" applyFill="1" applyAlignment="1">
      <alignment wrapText="1"/>
    </xf>
    <xf numFmtId="165" fontId="3" fillId="18" borderId="0" xfId="0" applyNumberFormat="1" applyFont="1" applyFill="1" applyAlignment="1">
      <alignment horizontal="right" wrapText="1"/>
    </xf>
    <xf numFmtId="0" fontId="1" fillId="18" borderId="0" xfId="0" applyFont="1" applyFill="1" applyAlignment="1">
      <alignment horizontal="right"/>
    </xf>
    <xf numFmtId="0" fontId="13" fillId="19" borderId="0" xfId="0" applyFont="1" applyFill="1" applyAlignment="1">
      <alignment wrapText="1"/>
    </xf>
    <xf numFmtId="164" fontId="13" fillId="19" borderId="0" xfId="0" applyNumberFormat="1" applyFont="1" applyFill="1" applyAlignment="1">
      <alignment wrapText="1"/>
    </xf>
    <xf numFmtId="0" fontId="9" fillId="19" borderId="0" xfId="0" applyFont="1" applyFill="1"/>
    <xf numFmtId="165" fontId="3" fillId="18" borderId="0" xfId="0" applyNumberFormat="1" applyFont="1" applyFill="1" applyAlignment="1">
      <alignment wrapText="1"/>
    </xf>
    <xf numFmtId="14" fontId="3" fillId="6" borderId="8" xfId="0" applyNumberFormat="1" applyFont="1" applyFill="1" applyBorder="1" applyAlignment="1">
      <alignment wrapText="1"/>
    </xf>
    <xf numFmtId="0" fontId="1" fillId="18" borderId="0" xfId="0" applyFont="1" applyFill="1"/>
    <xf numFmtId="165" fontId="1" fillId="18" borderId="0" xfId="0" applyNumberFormat="1" applyFont="1" applyFill="1"/>
    <xf numFmtId="0" fontId="9" fillId="18" borderId="0" xfId="0" applyFont="1" applyFill="1"/>
    <xf numFmtId="0" fontId="13" fillId="18" borderId="0" xfId="0" applyFont="1" applyFill="1" applyAlignment="1">
      <alignment wrapText="1"/>
    </xf>
    <xf numFmtId="164" fontId="13" fillId="18" borderId="0" xfId="0" applyNumberFormat="1" applyFont="1" applyFill="1" applyAlignment="1">
      <alignment wrapText="1"/>
    </xf>
    <xf numFmtId="0" fontId="15" fillId="18" borderId="0" xfId="0" applyFont="1" applyFill="1"/>
    <xf numFmtId="14" fontId="3" fillId="6" borderId="0" xfId="0" applyNumberFormat="1" applyFont="1" applyFill="1" applyAlignment="1">
      <alignment wrapText="1"/>
    </xf>
    <xf numFmtId="0" fontId="1" fillId="18" borderId="0" xfId="0" applyFont="1" applyFill="1" applyAlignment="1">
      <alignment horizontal="right" wrapText="1"/>
    </xf>
    <xf numFmtId="0" fontId="1" fillId="16" borderId="12" xfId="0" applyFont="1" applyFill="1" applyBorder="1"/>
    <xf numFmtId="0" fontId="1" fillId="16" borderId="7" xfId="0" applyFont="1" applyFill="1" applyBorder="1"/>
    <xf numFmtId="165" fontId="1" fillId="16" borderId="7" xfId="0" applyNumberFormat="1" applyFont="1" applyFill="1" applyBorder="1"/>
    <xf numFmtId="0" fontId="3" fillId="6" borderId="0" xfId="0" applyFont="1" applyFill="1" applyAlignment="1">
      <alignment horizontal="right" wrapText="1"/>
    </xf>
    <xf numFmtId="0" fontId="16" fillId="18" borderId="0" xfId="0" applyFont="1" applyFill="1"/>
    <xf numFmtId="166" fontId="3" fillId="18" borderId="0" xfId="0" applyNumberFormat="1" applyFont="1" applyFill="1" applyAlignment="1">
      <alignment wrapText="1"/>
    </xf>
    <xf numFmtId="164" fontId="3" fillId="18" borderId="0" xfId="0" applyNumberFormat="1" applyFont="1" applyFill="1" applyAlignment="1">
      <alignment horizontal="right" wrapText="1"/>
    </xf>
    <xf numFmtId="14" fontId="1" fillId="16" borderId="11" xfId="0" applyNumberFormat="1" applyFont="1" applyFill="1" applyBorder="1"/>
    <xf numFmtId="0" fontId="8" fillId="18" borderId="0" xfId="0" applyFont="1" applyFill="1"/>
    <xf numFmtId="14" fontId="1" fillId="18" borderId="0" xfId="0" applyNumberFormat="1" applyFont="1" applyFill="1"/>
    <xf numFmtId="0" fontId="3" fillId="16" borderId="0" xfId="0" applyFont="1" applyFill="1" applyAlignment="1">
      <alignment horizontal="center"/>
    </xf>
    <xf numFmtId="0" fontId="3" fillId="19" borderId="0" xfId="0" applyFont="1" applyFill="1" applyAlignment="1">
      <alignment wrapText="1"/>
    </xf>
    <xf numFmtId="165" fontId="3" fillId="19" borderId="0" xfId="0" applyNumberFormat="1" applyFont="1" applyFill="1" applyAlignment="1">
      <alignment wrapText="1"/>
    </xf>
    <xf numFmtId="0" fontId="1" fillId="19" borderId="0" xfId="0" applyFont="1" applyFill="1"/>
    <xf numFmtId="0" fontId="3" fillId="6" borderId="0" xfId="0" applyFont="1" applyFill="1"/>
    <xf numFmtId="0" fontId="1" fillId="16" borderId="11" xfId="0" applyFont="1" applyFill="1" applyBorder="1"/>
    <xf numFmtId="49" fontId="5" fillId="2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right"/>
    </xf>
    <xf numFmtId="49" fontId="18" fillId="18" borderId="0" xfId="0" applyNumberFormat="1" applyFont="1" applyFill="1" applyAlignment="1">
      <alignment horizontal="center"/>
    </xf>
    <xf numFmtId="0" fontId="15" fillId="19" borderId="0" xfId="0" applyFont="1" applyFill="1"/>
    <xf numFmtId="0" fontId="9" fillId="13" borderId="0" xfId="0" applyFont="1" applyFill="1"/>
    <xf numFmtId="18" fontId="2" fillId="2" borderId="2" xfId="0" applyNumberFormat="1" applyFont="1" applyFill="1" applyBorder="1" applyAlignment="1">
      <alignment horizontal="right"/>
    </xf>
    <xf numFmtId="18" fontId="12" fillId="2" borderId="2" xfId="0" applyNumberFormat="1" applyFont="1" applyFill="1" applyBorder="1" applyAlignment="1">
      <alignment horizontal="right"/>
    </xf>
    <xf numFmtId="165" fontId="1" fillId="16" borderId="8" xfId="0" applyNumberFormat="1" applyFont="1" applyFill="1" applyBorder="1"/>
    <xf numFmtId="0" fontId="13" fillId="6" borderId="0" xfId="0" applyFont="1" applyFill="1" applyAlignment="1">
      <alignment wrapText="1"/>
    </xf>
    <xf numFmtId="0" fontId="3" fillId="6" borderId="13" xfId="0" applyFont="1" applyFill="1" applyBorder="1" applyAlignment="1">
      <alignment wrapText="1"/>
    </xf>
    <xf numFmtId="0" fontId="3" fillId="19" borderId="13" xfId="0" applyFont="1" applyFill="1" applyBorder="1" applyAlignment="1">
      <alignment horizontal="right" wrapText="1"/>
    </xf>
    <xf numFmtId="0" fontId="3" fillId="19" borderId="13" xfId="0" applyFont="1" applyFill="1" applyBorder="1" applyAlignment="1">
      <alignment wrapText="1"/>
    </xf>
    <xf numFmtId="164" fontId="3" fillId="19" borderId="13" xfId="0" applyNumberFormat="1" applyFont="1" applyFill="1" applyBorder="1" applyAlignment="1">
      <alignment horizontal="right" wrapText="1"/>
    </xf>
    <xf numFmtId="0" fontId="1" fillId="19" borderId="0" xfId="0" applyFont="1" applyFill="1" applyAlignment="1">
      <alignment horizontal="right"/>
    </xf>
    <xf numFmtId="0" fontId="3" fillId="19" borderId="0" xfId="0" applyFont="1" applyFill="1" applyAlignment="1">
      <alignment horizontal="right" wrapText="1"/>
    </xf>
    <xf numFmtId="164" fontId="3" fillId="19" borderId="0" xfId="0" applyNumberFormat="1" applyFont="1" applyFill="1" applyAlignment="1">
      <alignment horizontal="right" wrapText="1"/>
    </xf>
    <xf numFmtId="0" fontId="13" fillId="19" borderId="0" xfId="0" applyFont="1" applyFill="1"/>
    <xf numFmtId="0" fontId="19" fillId="6" borderId="0" xfId="0" applyFont="1" applyFill="1" applyAlignment="1">
      <alignment wrapText="1"/>
    </xf>
    <xf numFmtId="0" fontId="19" fillId="18" borderId="0" xfId="0" applyFont="1" applyFill="1" applyAlignment="1">
      <alignment horizontal="right" wrapText="1"/>
    </xf>
    <xf numFmtId="0" fontId="19" fillId="18" borderId="0" xfId="0" applyFont="1" applyFill="1" applyAlignment="1">
      <alignment wrapText="1"/>
    </xf>
    <xf numFmtId="0" fontId="20" fillId="18" borderId="0" xfId="0" applyFont="1" applyFill="1" applyAlignment="1">
      <alignment wrapText="1"/>
    </xf>
    <xf numFmtId="0" fontId="20" fillId="19" borderId="0" xfId="0" applyFont="1" applyFill="1" applyAlignment="1">
      <alignment wrapText="1"/>
    </xf>
    <xf numFmtId="0" fontId="15" fillId="19" borderId="0" xfId="0" applyFont="1" applyFill="1" applyAlignment="1">
      <alignment wrapText="1"/>
    </xf>
    <xf numFmtId="0" fontId="19" fillId="6" borderId="0" xfId="0" applyFont="1" applyFill="1" applyAlignment="1">
      <alignment horizontal="left"/>
    </xf>
    <xf numFmtId="14" fontId="3" fillId="6" borderId="0" xfId="0" applyNumberFormat="1" applyFont="1" applyFill="1"/>
    <xf numFmtId="0" fontId="13" fillId="21" borderId="0" xfId="0" applyFont="1" applyFill="1"/>
    <xf numFmtId="0" fontId="9" fillId="21" borderId="0" xfId="0" applyFont="1" applyFill="1"/>
    <xf numFmtId="0" fontId="3" fillId="6" borderId="0" xfId="0" applyFont="1" applyFill="1" applyAlignment="1">
      <alignment horizontal="left" wrapText="1"/>
    </xf>
    <xf numFmtId="0" fontId="13" fillId="19" borderId="0" xfId="0" applyFont="1" applyFill="1" applyAlignment="1">
      <alignment horizontal="center" wrapText="1"/>
    </xf>
    <xf numFmtId="164" fontId="13" fillId="19" borderId="0" xfId="0" applyNumberFormat="1" applyFont="1" applyFill="1" applyAlignment="1">
      <alignment horizontal="center" wrapText="1"/>
    </xf>
    <xf numFmtId="0" fontId="13" fillId="22" borderId="0" xfId="0" applyFont="1" applyFill="1"/>
    <xf numFmtId="0" fontId="9" fillId="22" borderId="0" xfId="0" applyFont="1" applyFill="1"/>
    <xf numFmtId="0" fontId="9" fillId="19" borderId="0" xfId="0" applyFont="1" applyFill="1" applyAlignment="1">
      <alignment wrapText="1"/>
    </xf>
    <xf numFmtId="0" fontId="9" fillId="18" borderId="0" xfId="0" applyFont="1" applyFill="1" applyAlignment="1">
      <alignment wrapText="1"/>
    </xf>
    <xf numFmtId="0" fontId="1" fillId="16" borderId="9" xfId="0" applyFont="1" applyFill="1" applyBorder="1"/>
    <xf numFmtId="165" fontId="1" fillId="16" borderId="9" xfId="0" applyNumberFormat="1" applyFont="1" applyFill="1" applyBorder="1"/>
    <xf numFmtId="164" fontId="3" fillId="18" borderId="0" xfId="0" applyNumberFormat="1" applyFont="1" applyFill="1" applyAlignment="1">
      <alignment wrapText="1"/>
    </xf>
    <xf numFmtId="49" fontId="13" fillId="19" borderId="0" xfId="0" applyNumberFormat="1" applyFont="1" applyFill="1" applyAlignment="1">
      <alignment wrapText="1"/>
    </xf>
    <xf numFmtId="49" fontId="3" fillId="17" borderId="0" xfId="0" applyNumberFormat="1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3" fillId="18" borderId="0" xfId="0" applyFont="1" applyFill="1"/>
    <xf numFmtId="0" fontId="12" fillId="19" borderId="0" xfId="0" applyFont="1" applyFill="1" applyAlignment="1">
      <alignment wrapText="1"/>
    </xf>
    <xf numFmtId="0" fontId="1" fillId="16" borderId="2" xfId="0" applyFont="1" applyFill="1" applyBorder="1"/>
    <xf numFmtId="0" fontId="1" fillId="16" borderId="1" xfId="0" applyFont="1" applyFill="1" applyBorder="1"/>
    <xf numFmtId="165" fontId="1" fillId="16" borderId="1" xfId="0" applyNumberFormat="1" applyFont="1" applyFill="1" applyBorder="1"/>
    <xf numFmtId="49" fontId="5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164" fontId="3" fillId="19" borderId="0" xfId="0" applyNumberFormat="1" applyFont="1" applyFill="1" applyAlignment="1">
      <alignment wrapText="1"/>
    </xf>
    <xf numFmtId="0" fontId="1" fillId="19" borderId="0" xfId="0" applyFont="1" applyFill="1" applyAlignment="1">
      <alignment wrapText="1"/>
    </xf>
    <xf numFmtId="18" fontId="2" fillId="2" borderId="1" xfId="0" applyNumberFormat="1" applyFont="1" applyFill="1" applyBorder="1" applyAlignment="1">
      <alignment horizontal="right"/>
    </xf>
    <xf numFmtId="18" fontId="12" fillId="2" borderId="1" xfId="0" applyNumberFormat="1" applyFont="1" applyFill="1" applyBorder="1" applyAlignment="1">
      <alignment horizontal="right"/>
    </xf>
    <xf numFmtId="14" fontId="1" fillId="6" borderId="3" xfId="0" applyNumberFormat="1" applyFont="1" applyFill="1" applyBorder="1"/>
    <xf numFmtId="0" fontId="1" fillId="19" borderId="3" xfId="0" applyFont="1" applyFill="1" applyBorder="1"/>
    <xf numFmtId="0" fontId="15" fillId="6" borderId="0" xfId="0" applyFont="1" applyFill="1" applyAlignment="1">
      <alignment wrapText="1"/>
    </xf>
    <xf numFmtId="0" fontId="1" fillId="18" borderId="3" xfId="0" applyFont="1" applyFill="1" applyBorder="1"/>
    <xf numFmtId="0" fontId="3" fillId="18" borderId="0" xfId="0" applyFont="1" applyFill="1"/>
    <xf numFmtId="0" fontId="10" fillId="0" borderId="0" xfId="0" applyFont="1"/>
    <xf numFmtId="0" fontId="19" fillId="18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1" fillId="18" borderId="1" xfId="0" applyFont="1" applyFill="1" applyBorder="1"/>
    <xf numFmtId="165" fontId="1" fillId="18" borderId="1" xfId="0" applyNumberFormat="1" applyFont="1" applyFill="1" applyBorder="1"/>
    <xf numFmtId="0" fontId="3" fillId="18" borderId="0" xfId="0" applyFont="1" applyFill="1" applyAlignment="1">
      <alignment horizontal="center"/>
    </xf>
    <xf numFmtId="0" fontId="1" fillId="19" borderId="8" xfId="0" applyFont="1" applyFill="1" applyBorder="1"/>
    <xf numFmtId="0" fontId="8" fillId="19" borderId="8" xfId="0" applyFont="1" applyFill="1" applyBorder="1"/>
    <xf numFmtId="14" fontId="1" fillId="19" borderId="8" xfId="0" applyNumberFormat="1" applyFont="1" applyFill="1" applyBorder="1"/>
    <xf numFmtId="0" fontId="15" fillId="18" borderId="0" xfId="0" applyFont="1" applyFill="1" applyAlignment="1">
      <alignment wrapText="1"/>
    </xf>
    <xf numFmtId="0" fontId="1" fillId="23" borderId="0" xfId="0" applyFont="1" applyFill="1"/>
    <xf numFmtId="167" fontId="3" fillId="6" borderId="0" xfId="0" applyNumberFormat="1" applyFont="1" applyFill="1" applyAlignment="1">
      <alignment horizontal="right"/>
    </xf>
    <xf numFmtId="0" fontId="1" fillId="18" borderId="8" xfId="0" applyFont="1" applyFill="1" applyBorder="1"/>
    <xf numFmtId="0" fontId="8" fillId="18" borderId="8" xfId="0" applyFont="1" applyFill="1" applyBorder="1"/>
    <xf numFmtId="14" fontId="1" fillId="18" borderId="8" xfId="0" applyNumberFormat="1" applyFont="1" applyFill="1" applyBorder="1"/>
    <xf numFmtId="0" fontId="9" fillId="24" borderId="0" xfId="0" applyFont="1" applyFill="1"/>
    <xf numFmtId="0" fontId="1" fillId="24" borderId="0" xfId="0" applyFont="1" applyFill="1"/>
    <xf numFmtId="0" fontId="13" fillId="3" borderId="0" xfId="0" applyFont="1" applyFill="1"/>
    <xf numFmtId="0" fontId="9" fillId="3" borderId="0" xfId="0" applyFont="1" applyFill="1"/>
    <xf numFmtId="0" fontId="17" fillId="19" borderId="0" xfId="0" applyFont="1" applyFill="1"/>
    <xf numFmtId="0" fontId="1" fillId="18" borderId="0" xfId="0" applyFont="1" applyFill="1" applyAlignment="1">
      <alignment wrapText="1"/>
    </xf>
    <xf numFmtId="0" fontId="1" fillId="21" borderId="0" xfId="0" applyFont="1" applyFill="1"/>
    <xf numFmtId="0" fontId="3" fillId="0" borderId="0" xfId="0" applyFont="1" applyAlignment="1">
      <alignment wrapText="1"/>
    </xf>
    <xf numFmtId="14" fontId="1" fillId="6" borderId="0" xfId="0" applyNumberFormat="1" applyFont="1" applyFill="1" applyAlignment="1">
      <alignment wrapText="1"/>
    </xf>
    <xf numFmtId="0" fontId="1" fillId="5" borderId="8" xfId="0" applyFont="1" applyFill="1" applyBorder="1" applyAlignment="1">
      <alignment wrapText="1"/>
    </xf>
    <xf numFmtId="0" fontId="8" fillId="5" borderId="8" xfId="0" applyFont="1" applyFill="1" applyBorder="1" applyAlignment="1">
      <alignment wrapText="1"/>
    </xf>
    <xf numFmtId="14" fontId="1" fillId="5" borderId="8" xfId="0" applyNumberFormat="1" applyFont="1" applyFill="1" applyBorder="1" applyAlignment="1">
      <alignment wrapText="1"/>
    </xf>
    <xf numFmtId="0" fontId="3" fillId="19" borderId="0" xfId="0" applyFont="1" applyFill="1"/>
    <xf numFmtId="0" fontId="1" fillId="19" borderId="8" xfId="0" applyFont="1" applyFill="1" applyBorder="1" applyAlignment="1">
      <alignment wrapText="1"/>
    </xf>
    <xf numFmtId="0" fontId="8" fillId="19" borderId="8" xfId="0" applyFont="1" applyFill="1" applyBorder="1" applyAlignment="1">
      <alignment wrapText="1"/>
    </xf>
    <xf numFmtId="14" fontId="1" fillId="19" borderId="8" xfId="0" applyNumberFormat="1" applyFont="1" applyFill="1" applyBorder="1" applyAlignment="1">
      <alignment wrapText="1"/>
    </xf>
    <xf numFmtId="0" fontId="12" fillId="6" borderId="0" xfId="0" applyFont="1" applyFill="1" applyAlignment="1">
      <alignment wrapText="1"/>
    </xf>
    <xf numFmtId="164" fontId="12" fillId="19" borderId="0" xfId="0" applyNumberFormat="1" applyFont="1" applyFill="1" applyAlignment="1">
      <alignment wrapText="1"/>
    </xf>
    <xf numFmtId="0" fontId="12" fillId="18" borderId="0" xfId="0" applyFont="1" applyFill="1" applyAlignment="1">
      <alignment wrapText="1"/>
    </xf>
    <xf numFmtId="164" fontId="12" fillId="18" borderId="0" xfId="0" applyNumberFormat="1" applyFont="1" applyFill="1" applyAlignment="1">
      <alignment wrapText="1"/>
    </xf>
    <xf numFmtId="0" fontId="9" fillId="25" borderId="0" xfId="0" applyFont="1" applyFill="1"/>
    <xf numFmtId="165" fontId="1" fillId="19" borderId="0" xfId="0" applyNumberFormat="1" applyFont="1" applyFill="1"/>
    <xf numFmtId="0" fontId="21" fillId="6" borderId="0" xfId="0" applyFont="1" applyFill="1" applyAlignment="1">
      <alignment wrapText="1"/>
    </xf>
    <xf numFmtId="0" fontId="21" fillId="19" borderId="0" xfId="0" applyFont="1" applyFill="1" applyAlignment="1">
      <alignment wrapText="1"/>
    </xf>
    <xf numFmtId="164" fontId="21" fillId="19" borderId="0" xfId="0" applyNumberFormat="1" applyFont="1" applyFill="1" applyAlignment="1">
      <alignment wrapText="1"/>
    </xf>
    <xf numFmtId="0" fontId="13" fillId="26" borderId="0" xfId="0" applyFont="1" applyFill="1"/>
    <xf numFmtId="0" fontId="9" fillId="26" borderId="0" xfId="0" applyFont="1" applyFill="1"/>
    <xf numFmtId="0" fontId="3" fillId="26" borderId="0" xfId="0" applyFont="1" applyFill="1"/>
    <xf numFmtId="0" fontId="1" fillId="26" borderId="0" xfId="0" applyFont="1" applyFill="1"/>
    <xf numFmtId="165" fontId="1" fillId="26" borderId="0" xfId="0" applyNumberFormat="1" applyFont="1" applyFill="1"/>
    <xf numFmtId="0" fontId="12" fillId="18" borderId="0" xfId="0" applyFont="1" applyFill="1" applyAlignment="1">
      <alignment horizontal="right" wrapText="1"/>
    </xf>
    <xf numFmtId="0" fontId="14" fillId="18" borderId="0" xfId="0" applyFont="1" applyFill="1" applyAlignment="1">
      <alignment wrapText="1"/>
    </xf>
    <xf numFmtId="0" fontId="7" fillId="18" borderId="0" xfId="0" applyFont="1" applyFill="1" applyAlignment="1">
      <alignment wrapText="1"/>
    </xf>
    <xf numFmtId="0" fontId="3" fillId="27" borderId="14" xfId="0" applyFont="1" applyFill="1" applyBorder="1"/>
    <xf numFmtId="0" fontId="1" fillId="27" borderId="0" xfId="0" applyFont="1" applyFill="1"/>
    <xf numFmtId="0" fontId="1" fillId="27" borderId="14" xfId="0" applyFont="1" applyFill="1" applyBorder="1"/>
    <xf numFmtId="0" fontId="1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1" fillId="3" borderId="0" xfId="0" applyFont="1" applyFill="1"/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wrapText="1"/>
    </xf>
    <xf numFmtId="0" fontId="1" fillId="11" borderId="0" xfId="0" applyFont="1" applyFill="1"/>
    <xf numFmtId="0" fontId="12" fillId="11" borderId="0" xfId="0" applyFont="1" applyFill="1" applyAlignment="1">
      <alignment wrapText="1"/>
    </xf>
    <xf numFmtId="164" fontId="13" fillId="0" borderId="0" xfId="0" applyNumberFormat="1" applyFont="1" applyAlignment="1">
      <alignment wrapText="1"/>
    </xf>
    <xf numFmtId="0" fontId="14" fillId="6" borderId="0" xfId="0" applyFont="1" applyFill="1" applyAlignment="1">
      <alignment wrapText="1"/>
    </xf>
    <xf numFmtId="0" fontId="15" fillId="0" borderId="0" xfId="0" applyFont="1" applyAlignment="1">
      <alignment wrapText="1"/>
    </xf>
    <xf numFmtId="164" fontId="15" fillId="0" borderId="0" xfId="0" applyNumberFormat="1" applyFont="1" applyAlignment="1">
      <alignment wrapText="1"/>
    </xf>
    <xf numFmtId="14" fontId="14" fillId="6" borderId="0" xfId="0" applyNumberFormat="1" applyFont="1" applyFill="1" applyAlignment="1">
      <alignment wrapText="1"/>
    </xf>
    <xf numFmtId="0" fontId="15" fillId="11" borderId="0" xfId="0" applyFont="1" applyFill="1" applyAlignment="1">
      <alignment wrapText="1"/>
    </xf>
    <xf numFmtId="0" fontId="14" fillId="11" borderId="0" xfId="0" applyFont="1" applyFill="1" applyAlignment="1">
      <alignment horizontal="left"/>
    </xf>
    <xf numFmtId="0" fontId="9" fillId="11" borderId="0" xfId="0" applyFont="1" applyFill="1"/>
    <xf numFmtId="165" fontId="1" fillId="11" borderId="0" xfId="0" applyNumberFormat="1" applyFont="1" applyFill="1"/>
    <xf numFmtId="165" fontId="1" fillId="0" borderId="0" xfId="0" applyNumberFormat="1" applyFont="1"/>
    <xf numFmtId="0" fontId="3" fillId="3" borderId="0" xfId="0" applyFont="1" applyFill="1" applyAlignment="1">
      <alignment wrapText="1"/>
    </xf>
    <xf numFmtId="0" fontId="3" fillId="28" borderId="0" xfId="0" applyFont="1" applyFill="1" applyAlignment="1">
      <alignment wrapText="1"/>
    </xf>
    <xf numFmtId="0" fontId="1" fillId="28" borderId="0" xfId="0" applyFont="1" applyFill="1"/>
    <xf numFmtId="0" fontId="13" fillId="11" borderId="0" xfId="0" applyFont="1" applyFill="1" applyAlignment="1">
      <alignment wrapText="1"/>
    </xf>
    <xf numFmtId="164" fontId="12" fillId="0" borderId="0" xfId="0" applyNumberFormat="1" applyFont="1" applyAlignment="1">
      <alignment wrapText="1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2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5" borderId="5" xfId="0" applyFont="1" applyFill="1" applyBorder="1" applyAlignment="1">
      <alignment horizontal="center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14" fontId="1" fillId="3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/>
    <xf numFmtId="0" fontId="1" fillId="3" borderId="3" xfId="0" applyFont="1" applyFill="1" applyBorder="1" applyAlignment="1">
      <alignment horizontal="center" wrapText="1"/>
    </xf>
    <xf numFmtId="14" fontId="1" fillId="3" borderId="1" xfId="0" applyNumberFormat="1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2" borderId="0" xfId="0" applyFont="1" applyFill="1"/>
    <xf numFmtId="0" fontId="22" fillId="0" borderId="0" xfId="0" applyFont="1"/>
    <xf numFmtId="0" fontId="1" fillId="2" borderId="4" xfId="0" applyFont="1" applyFill="1" applyBorder="1"/>
    <xf numFmtId="0" fontId="1" fillId="5" borderId="5" xfId="0" applyFont="1" applyFill="1" applyBorder="1"/>
    <xf numFmtId="14" fontId="8" fillId="5" borderId="5" xfId="0" applyNumberFormat="1" applyFont="1" applyFill="1" applyBorder="1" applyAlignment="1">
      <alignment horizontal="center" vertical="top"/>
    </xf>
    <xf numFmtId="0" fontId="1" fillId="2" borderId="5" xfId="0" applyFont="1" applyFill="1" applyBorder="1"/>
    <xf numFmtId="0" fontId="1" fillId="5" borderId="6" xfId="0" applyFont="1" applyFill="1" applyBorder="1"/>
    <xf numFmtId="14" fontId="1" fillId="5" borderId="1" xfId="0" applyNumberFormat="1" applyFont="1" applyFill="1" applyBorder="1"/>
    <xf numFmtId="0" fontId="1" fillId="2" borderId="1" xfId="0" applyFont="1" applyFill="1" applyBorder="1"/>
    <xf numFmtId="0" fontId="1" fillId="2" borderId="7" xfId="0" applyFont="1" applyFill="1" applyBorder="1"/>
    <xf numFmtId="14" fontId="1" fillId="5" borderId="6" xfId="0" applyNumberFormat="1" applyFont="1" applyFill="1" applyBorder="1"/>
    <xf numFmtId="0" fontId="2" fillId="5" borderId="5" xfId="0" applyFont="1" applyFill="1" applyBorder="1" applyAlignment="1">
      <alignment horizontal="center"/>
    </xf>
    <xf numFmtId="14" fontId="1" fillId="5" borderId="0" xfId="0" applyNumberFormat="1" applyFont="1" applyFill="1"/>
    <xf numFmtId="0" fontId="1" fillId="2" borderId="6" xfId="0" applyFont="1" applyFill="1" applyBorder="1"/>
    <xf numFmtId="0" fontId="1" fillId="5" borderId="1" xfId="0" applyFont="1" applyFill="1" applyBorder="1"/>
    <xf numFmtId="0" fontId="3" fillId="6" borderId="0" xfId="0" applyFont="1" applyFill="1" applyAlignment="1">
      <alignment horizontal="center" wrapText="1"/>
    </xf>
    <xf numFmtId="0" fontId="22" fillId="0" borderId="0" xfId="0" applyFont="1"/>
    <xf numFmtId="0" fontId="3" fillId="7" borderId="0" xfId="0" applyFont="1" applyFill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14" fontId="6" fillId="0" borderId="0" xfId="0" applyNumberFormat="1" applyFont="1" applyAlignment="1">
      <alignment horizontal="right" wrapText="1"/>
    </xf>
    <xf numFmtId="0" fontId="1" fillId="2" borderId="0" xfId="0" applyFont="1" applyFill="1" applyAlignment="1">
      <alignment wrapText="1"/>
    </xf>
    <xf numFmtId="14" fontId="1" fillId="0" borderId="0" xfId="0" applyNumberFormat="1" applyFont="1"/>
    <xf numFmtId="14" fontId="1" fillId="3" borderId="0" xfId="0" applyNumberFormat="1" applyFont="1" applyFill="1" applyAlignment="1">
      <alignment wrapText="1"/>
    </xf>
    <xf numFmtId="0" fontId="1" fillId="8" borderId="0" xfId="0" applyFont="1" applyFill="1"/>
    <xf numFmtId="0" fontId="3" fillId="9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right" wrapText="1"/>
    </xf>
    <xf numFmtId="0" fontId="3" fillId="6" borderId="0" xfId="0" applyFont="1" applyFill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2" fillId="10" borderId="9" xfId="0" applyFont="1" applyFill="1" applyBorder="1" applyAlignment="1">
      <alignment horizontal="right"/>
    </xf>
    <xf numFmtId="0" fontId="6" fillId="6" borderId="0" xfId="0" applyFont="1" applyFill="1" applyAlignment="1">
      <alignment horizontal="center" wrapText="1"/>
    </xf>
    <xf numFmtId="0" fontId="3" fillId="6" borderId="8" xfId="0" applyFont="1" applyFill="1" applyBorder="1" applyAlignment="1">
      <alignment wrapText="1"/>
    </xf>
    <xf numFmtId="0" fontId="3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center" wrapText="1"/>
    </xf>
    <xf numFmtId="14" fontId="3" fillId="3" borderId="0" xfId="0" applyNumberFormat="1" applyFont="1" applyFill="1" applyAlignment="1">
      <alignment horizontal="center" wrapText="1"/>
    </xf>
    <xf numFmtId="0" fontId="2" fillId="12" borderId="8" xfId="0" applyFont="1" applyFill="1" applyBorder="1"/>
    <xf numFmtId="0" fontId="1" fillId="29" borderId="8" xfId="0" applyFont="1" applyFill="1" applyBorder="1"/>
    <xf numFmtId="0" fontId="1" fillId="12" borderId="8" xfId="0" applyFont="1" applyFill="1" applyBorder="1"/>
    <xf numFmtId="0" fontId="2" fillId="5" borderId="8" xfId="0" applyFont="1" applyFill="1" applyBorder="1" applyAlignment="1">
      <alignment horizontal="center" wrapText="1"/>
    </xf>
    <xf numFmtId="0" fontId="3" fillId="6" borderId="0" xfId="0" applyFont="1" applyFill="1" applyAlignment="1">
      <alignment horizontal="right" wrapText="1"/>
    </xf>
    <xf numFmtId="168" fontId="2" fillId="5" borderId="0" xfId="0" applyNumberFormat="1" applyFont="1" applyFill="1"/>
    <xf numFmtId="0" fontId="1" fillId="6" borderId="9" xfId="0" applyFont="1" applyFill="1" applyBorder="1"/>
    <xf numFmtId="0" fontId="3" fillId="6" borderId="9" xfId="0" applyFont="1" applyFill="1" applyBorder="1"/>
    <xf numFmtId="0" fontId="3" fillId="30" borderId="8" xfId="0" applyFont="1" applyFill="1" applyBorder="1"/>
    <xf numFmtId="0" fontId="1" fillId="30" borderId="9" xfId="0" applyFont="1" applyFill="1" applyBorder="1"/>
    <xf numFmtId="0" fontId="1" fillId="30" borderId="0" xfId="0" applyFont="1" applyFill="1"/>
    <xf numFmtId="169" fontId="3" fillId="6" borderId="0" xfId="0" applyNumberFormat="1" applyFont="1" applyFill="1" applyAlignment="1">
      <alignment horizontal="center" wrapText="1"/>
    </xf>
    <xf numFmtId="49" fontId="5" fillId="2" borderId="10" xfId="0" applyNumberFormat="1" applyFont="1" applyFill="1" applyBorder="1" applyAlignment="1">
      <alignment horizontal="center" wrapText="1"/>
    </xf>
    <xf numFmtId="0" fontId="23" fillId="6" borderId="0" xfId="0" applyFont="1" applyFill="1" applyAlignment="1">
      <alignment horizontal="center"/>
    </xf>
    <xf numFmtId="0" fontId="23" fillId="6" borderId="0" xfId="0" applyFont="1" applyFill="1" applyAlignment="1">
      <alignment horizontal="center" wrapText="1"/>
    </xf>
    <xf numFmtId="49" fontId="2" fillId="2" borderId="10" xfId="0" applyNumberFormat="1" applyFont="1" applyFill="1" applyBorder="1" applyAlignment="1">
      <alignment horizontal="center" wrapText="1"/>
    </xf>
    <xf numFmtId="166" fontId="3" fillId="18" borderId="0" xfId="0" applyNumberFormat="1" applyFont="1" applyFill="1" applyAlignment="1">
      <alignment horizontal="right" wrapText="1"/>
    </xf>
    <xf numFmtId="0" fontId="3" fillId="27" borderId="0" xfId="0" applyFont="1" applyFill="1" applyAlignment="1">
      <alignment wrapText="1"/>
    </xf>
    <xf numFmtId="14" fontId="3" fillId="27" borderId="0" xfId="0" applyNumberFormat="1" applyFont="1" applyFill="1" applyAlignment="1">
      <alignment wrapText="1"/>
    </xf>
    <xf numFmtId="0" fontId="14" fillId="18" borderId="8" xfId="0" applyFont="1" applyFill="1" applyBorder="1"/>
    <xf numFmtId="166" fontId="1" fillId="18" borderId="0" xfId="0" applyNumberFormat="1" applyFont="1" applyFill="1"/>
    <xf numFmtId="18" fontId="2" fillId="2" borderId="10" xfId="0" applyNumberFormat="1" applyFont="1" applyFill="1" applyBorder="1" applyAlignment="1">
      <alignment horizontal="center" wrapText="1"/>
    </xf>
    <xf numFmtId="18" fontId="12" fillId="2" borderId="10" xfId="0" applyNumberFormat="1" applyFont="1" applyFill="1" applyBorder="1" applyAlignment="1">
      <alignment horizontal="center" wrapText="1"/>
    </xf>
    <xf numFmtId="14" fontId="3" fillId="18" borderId="0" xfId="0" applyNumberFormat="1" applyFont="1" applyFill="1" applyAlignment="1">
      <alignment wrapText="1"/>
    </xf>
    <xf numFmtId="14" fontId="3" fillId="18" borderId="0" xfId="0" applyNumberFormat="1" applyFont="1" applyFill="1" applyAlignment="1">
      <alignment horizontal="right" wrapText="1"/>
    </xf>
    <xf numFmtId="164" fontId="12" fillId="18" borderId="0" xfId="0" applyNumberFormat="1" applyFont="1" applyFill="1" applyAlignment="1">
      <alignment horizontal="right" wrapText="1"/>
    </xf>
    <xf numFmtId="49" fontId="5" fillId="2" borderId="2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18" fontId="2" fillId="2" borderId="2" xfId="0" applyNumberFormat="1" applyFont="1" applyFill="1" applyBorder="1" applyAlignment="1">
      <alignment horizontal="center" wrapText="1"/>
    </xf>
    <xf numFmtId="18" fontId="12" fillId="2" borderId="2" xfId="0" applyNumberFormat="1" applyFont="1" applyFill="1" applyBorder="1" applyAlignment="1">
      <alignment horizontal="center" wrapText="1"/>
    </xf>
    <xf numFmtId="0" fontId="1" fillId="9" borderId="0" xfId="0" applyFont="1" applyFill="1"/>
    <xf numFmtId="0" fontId="3" fillId="18" borderId="0" xfId="0" applyFont="1" applyFill="1" applyAlignment="1">
      <alignment horizontal="left" wrapText="1"/>
    </xf>
    <xf numFmtId="0" fontId="16" fillId="18" borderId="0" xfId="0" applyFont="1" applyFill="1" applyAlignment="1">
      <alignment wrapText="1"/>
    </xf>
    <xf numFmtId="14" fontId="1" fillId="27" borderId="0" xfId="0" applyNumberFormat="1" applyFont="1" applyFill="1"/>
    <xf numFmtId="14" fontId="1" fillId="19" borderId="0" xfId="0" applyNumberFormat="1" applyFont="1" applyFill="1"/>
    <xf numFmtId="0" fontId="24" fillId="19" borderId="0" xfId="0" applyFont="1" applyFill="1"/>
    <xf numFmtId="14" fontId="24" fillId="19" borderId="0" xfId="0" applyNumberFormat="1" applyFont="1" applyFill="1"/>
    <xf numFmtId="14" fontId="1" fillId="26" borderId="0" xfId="0" applyNumberFormat="1" applyFont="1" applyFill="1"/>
    <xf numFmtId="0" fontId="25" fillId="6" borderId="0" xfId="0" applyFont="1" applyFill="1" applyAlignment="1">
      <alignment horizontal="center" wrapText="1"/>
    </xf>
    <xf numFmtId="0" fontId="14" fillId="19" borderId="0" xfId="0" applyFont="1" applyFill="1" applyAlignment="1">
      <alignment wrapText="1"/>
    </xf>
    <xf numFmtId="0" fontId="16" fillId="6" borderId="0" xfId="0" applyFont="1" applyFill="1" applyAlignment="1">
      <alignment wrapText="1"/>
    </xf>
    <xf numFmtId="0" fontId="3" fillId="18" borderId="0" xfId="0" applyFont="1" applyFill="1"/>
    <xf numFmtId="0" fontId="14" fillId="18" borderId="0" xfId="0" applyFont="1" applyFill="1"/>
    <xf numFmtId="14" fontId="3" fillId="19" borderId="0" xfId="0" applyNumberFormat="1" applyFont="1" applyFill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18" fontId="2" fillId="2" borderId="1" xfId="0" applyNumberFormat="1" applyFont="1" applyFill="1" applyBorder="1" applyAlignment="1">
      <alignment horizontal="center" wrapText="1"/>
    </xf>
    <xf numFmtId="18" fontId="12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0" fontId="12" fillId="6" borderId="0" xfId="0" applyFont="1" applyFill="1"/>
    <xf numFmtId="0" fontId="14" fillId="6" borderId="0" xfId="0" applyFont="1" applyFill="1"/>
    <xf numFmtId="0" fontId="3" fillId="21" borderId="0" xfId="0" applyFont="1" applyFill="1"/>
    <xf numFmtId="0" fontId="1" fillId="31" borderId="0" xfId="0" applyFont="1" applyFill="1"/>
    <xf numFmtId="0" fontId="3" fillId="25" borderId="0" xfId="0" applyFont="1" applyFill="1"/>
    <xf numFmtId="0" fontId="1" fillId="25" borderId="0" xfId="0" applyFont="1" applyFill="1"/>
    <xf numFmtId="0" fontId="3" fillId="6" borderId="15" xfId="0" applyFont="1" applyFill="1" applyBorder="1" applyAlignment="1">
      <alignment wrapText="1"/>
    </xf>
    <xf numFmtId="0" fontId="1" fillId="6" borderId="15" xfId="0" applyFont="1" applyFill="1" applyBorder="1"/>
    <xf numFmtId="0" fontId="3" fillId="27" borderId="0" xfId="0" applyFont="1" applyFill="1"/>
    <xf numFmtId="0" fontId="19" fillId="19" borderId="0" xfId="0" applyFont="1" applyFill="1" applyAlignment="1">
      <alignment wrapText="1"/>
    </xf>
    <xf numFmtId="164" fontId="19" fillId="19" borderId="0" xfId="0" applyNumberFormat="1" applyFont="1" applyFill="1" applyAlignment="1">
      <alignment wrapText="1"/>
    </xf>
    <xf numFmtId="0" fontId="3" fillId="13" borderId="0" xfId="0" applyFont="1" applyFill="1" applyAlignment="1">
      <alignment wrapText="1"/>
    </xf>
    <xf numFmtId="0" fontId="26" fillId="18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164" fontId="3" fillId="11" borderId="0" xfId="0" applyNumberFormat="1" applyFont="1" applyFill="1" applyAlignment="1">
      <alignment wrapText="1"/>
    </xf>
    <xf numFmtId="0" fontId="7" fillId="19" borderId="0" xfId="0" applyFont="1" applyFill="1" applyAlignment="1">
      <alignment wrapText="1"/>
    </xf>
    <xf numFmtId="0" fontId="27" fillId="19" borderId="0" xfId="0" applyFont="1" applyFill="1" applyAlignment="1">
      <alignment wrapText="1"/>
    </xf>
    <xf numFmtId="0" fontId="3" fillId="18" borderId="14" xfId="0" applyFont="1" applyFill="1" applyBorder="1"/>
    <xf numFmtId="0" fontId="1" fillId="18" borderId="14" xfId="0" applyFont="1" applyFill="1" applyBorder="1"/>
    <xf numFmtId="0" fontId="12" fillId="19" borderId="0" xfId="0" applyFont="1" applyFill="1"/>
    <xf numFmtId="0" fontId="7" fillId="11" borderId="0" xfId="0" applyFont="1" applyFill="1" applyAlignment="1">
      <alignment wrapText="1"/>
    </xf>
    <xf numFmtId="0" fontId="26" fillId="19" borderId="0" xfId="0" applyFont="1" applyFill="1" applyAlignment="1">
      <alignment wrapText="1"/>
    </xf>
    <xf numFmtId="0" fontId="6" fillId="19" borderId="0" xfId="0" applyFont="1" applyFill="1" applyAlignment="1">
      <alignment wrapText="1"/>
    </xf>
    <xf numFmtId="0" fontId="3" fillId="11" borderId="0" xfId="0" applyFont="1" applyFill="1"/>
    <xf numFmtId="0" fontId="14" fillId="0" borderId="0" xfId="0" applyFont="1" applyAlignment="1">
      <alignment wrapText="1"/>
    </xf>
    <xf numFmtId="0" fontId="29" fillId="11" borderId="0" xfId="0" applyFont="1" applyFill="1"/>
    <xf numFmtId="0" fontId="14" fillId="11" borderId="0" xfId="0" applyFont="1" applyFill="1" applyAlignment="1">
      <alignment wrapText="1"/>
    </xf>
    <xf numFmtId="0" fontId="16" fillId="11" borderId="0" xfId="0" applyFont="1" applyFill="1" applyAlignment="1">
      <alignment wrapText="1"/>
    </xf>
    <xf numFmtId="0" fontId="12" fillId="11" borderId="0" xfId="0" applyFont="1" applyFill="1"/>
    <xf numFmtId="14" fontId="3" fillId="6" borderId="0" xfId="0" applyNumberFormat="1" applyFont="1" applyFill="1" applyAlignment="1">
      <alignment horizontal="center" wrapText="1"/>
    </xf>
    <xf numFmtId="3" fontId="5" fillId="6" borderId="0" xfId="0" applyNumberFormat="1" applyFont="1" applyFill="1" applyAlignment="1">
      <alignment horizontal="center" wrapText="1"/>
    </xf>
    <xf numFmtId="3" fontId="6" fillId="6" borderId="8" xfId="0" applyNumberFormat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65" fontId="3" fillId="3" borderId="0" xfId="0" applyNumberFormat="1" applyFont="1" applyFill="1" applyAlignment="1">
      <alignment horizontal="center" wrapText="1"/>
    </xf>
    <xf numFmtId="0" fontId="1" fillId="12" borderId="0" xfId="0" applyFont="1" applyFill="1"/>
    <xf numFmtId="0" fontId="5" fillId="0" borderId="0" xfId="0" applyFont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14" fontId="1" fillId="12" borderId="0" xfId="0" applyNumberFormat="1" applyFont="1" applyFill="1"/>
    <xf numFmtId="0" fontId="2" fillId="5" borderId="0" xfId="0" applyFont="1" applyFill="1" applyAlignment="1">
      <alignment wrapText="1"/>
    </xf>
    <xf numFmtId="0" fontId="3" fillId="18" borderId="0" xfId="0" applyFont="1" applyFill="1" applyAlignment="1">
      <alignment horizontal="center" wrapText="1"/>
    </xf>
    <xf numFmtId="0" fontId="2" fillId="18" borderId="0" xfId="0" applyFont="1" applyFill="1" applyAlignment="1">
      <alignment horizontal="center" wrapText="1"/>
    </xf>
    <xf numFmtId="49" fontId="5" fillId="2" borderId="0" xfId="0" applyNumberFormat="1" applyFont="1" applyFill="1" applyAlignment="1">
      <alignment horizontal="center" wrapText="1"/>
    </xf>
    <xf numFmtId="0" fontId="3" fillId="32" borderId="0" xfId="0" applyFont="1" applyFill="1"/>
    <xf numFmtId="0" fontId="1" fillId="32" borderId="0" xfId="0" applyFont="1" applyFill="1"/>
    <xf numFmtId="3" fontId="5" fillId="0" borderId="0" xfId="0" applyNumberFormat="1" applyFont="1" applyAlignment="1">
      <alignment horizontal="center" wrapText="1"/>
    </xf>
    <xf numFmtId="49" fontId="2" fillId="2" borderId="0" xfId="0" applyNumberFormat="1" applyFont="1" applyFill="1" applyAlignment="1">
      <alignment horizontal="center" wrapText="1"/>
    </xf>
    <xf numFmtId="3" fontId="6" fillId="0" borderId="8" xfId="0" applyNumberFormat="1" applyFont="1" applyBorder="1" applyAlignment="1">
      <alignment horizontal="center"/>
    </xf>
    <xf numFmtId="14" fontId="3" fillId="12" borderId="0" xfId="0" applyNumberFormat="1" applyFont="1" applyFill="1"/>
    <xf numFmtId="0" fontId="3" fillId="0" borderId="0" xfId="0" applyFont="1"/>
    <xf numFmtId="0" fontId="1" fillId="6" borderId="0" xfId="0" applyFont="1" applyFill="1" applyAlignment="1">
      <alignment wrapText="1"/>
    </xf>
    <xf numFmtId="164" fontId="1" fillId="18" borderId="0" xfId="0" applyNumberFormat="1" applyFont="1" applyFill="1" applyAlignment="1">
      <alignment wrapText="1"/>
    </xf>
    <xf numFmtId="0" fontId="3" fillId="24" borderId="0" xfId="0" applyFont="1" applyFill="1"/>
    <xf numFmtId="49" fontId="30" fillId="2" borderId="0" xfId="0" applyNumberFormat="1" applyFont="1" applyFill="1" applyAlignment="1">
      <alignment horizontal="center" wrapText="1"/>
    </xf>
    <xf numFmtId="0" fontId="31" fillId="6" borderId="0" xfId="0" applyFont="1" applyFill="1"/>
    <xf numFmtId="0" fontId="32" fillId="19" borderId="0" xfId="0" applyFont="1" applyFill="1"/>
    <xf numFmtId="0" fontId="32" fillId="6" borderId="0" xfId="0" applyFont="1" applyFill="1"/>
    <xf numFmtId="0" fontId="31" fillId="6" borderId="0" xfId="0" applyFont="1" applyFill="1" applyAlignment="1">
      <alignment wrapText="1"/>
    </xf>
    <xf numFmtId="0" fontId="32" fillId="21" borderId="0" xfId="0" applyFont="1" applyFill="1"/>
    <xf numFmtId="0" fontId="3" fillId="7" borderId="0" xfId="0" applyFont="1" applyFill="1" applyAlignment="1">
      <alignment wrapText="1"/>
    </xf>
    <xf numFmtId="0" fontId="33" fillId="6" borderId="0" xfId="0" applyFont="1" applyFill="1" applyAlignment="1">
      <alignment horizontal="center" wrapText="1"/>
    </xf>
    <xf numFmtId="0" fontId="33" fillId="3" borderId="0" xfId="0" applyFont="1" applyFill="1" applyAlignment="1">
      <alignment horizontal="center" wrapText="1"/>
    </xf>
    <xf numFmtId="0" fontId="33" fillId="3" borderId="0" xfId="0" applyFont="1" applyFill="1" applyAlignment="1">
      <alignment horizontal="right" wrapText="1"/>
    </xf>
    <xf numFmtId="0" fontId="33" fillId="3" borderId="0" xfId="0" applyFont="1" applyFill="1" applyAlignment="1">
      <alignment wrapText="1"/>
    </xf>
    <xf numFmtId="0" fontId="34" fillId="2" borderId="0" xfId="0" applyFont="1" applyFill="1"/>
    <xf numFmtId="14" fontId="33" fillId="24" borderId="0" xfId="0" applyNumberFormat="1" applyFont="1" applyFill="1" applyAlignment="1">
      <alignment horizontal="center" wrapText="1"/>
    </xf>
    <xf numFmtId="0" fontId="34" fillId="33" borderId="0" xfId="0" applyFont="1" applyFill="1"/>
    <xf numFmtId="0" fontId="34" fillId="0" borderId="0" xfId="0" applyFont="1"/>
    <xf numFmtId="0" fontId="33" fillId="6" borderId="0" xfId="0" applyFont="1" applyFill="1" applyAlignment="1">
      <alignment wrapText="1"/>
    </xf>
    <xf numFmtId="0" fontId="33" fillId="0" borderId="0" xfId="0" applyFont="1" applyAlignment="1">
      <alignment horizontal="right" wrapText="1"/>
    </xf>
    <xf numFmtId="0" fontId="33" fillId="0" borderId="0" xfId="0" applyFont="1" applyAlignment="1">
      <alignment wrapText="1"/>
    </xf>
    <xf numFmtId="0" fontId="33" fillId="11" borderId="0" xfId="0" applyFont="1" applyFill="1" applyAlignment="1">
      <alignment wrapText="1"/>
    </xf>
    <xf numFmtId="164" fontId="33" fillId="0" borderId="0" xfId="0" applyNumberFormat="1" applyFont="1" applyAlignment="1">
      <alignment wrapText="1"/>
    </xf>
    <xf numFmtId="0" fontId="34" fillId="6" borderId="0" xfId="0" applyFont="1" applyFill="1"/>
    <xf numFmtId="0" fontId="34" fillId="11" borderId="0" xfId="0" applyFont="1" applyFill="1"/>
    <xf numFmtId="0" fontId="33" fillId="26" borderId="0" xfId="0" applyFont="1" applyFill="1" applyAlignment="1">
      <alignment wrapText="1"/>
    </xf>
    <xf numFmtId="0" fontId="33" fillId="26" borderId="0" xfId="0" applyFont="1" applyFill="1" applyAlignment="1">
      <alignment horizontal="left" wrapText="1"/>
    </xf>
    <xf numFmtId="14" fontId="33" fillId="23" borderId="0" xfId="0" applyNumberFormat="1" applyFont="1" applyFill="1" applyAlignment="1">
      <alignment horizontal="left" wrapText="1"/>
    </xf>
    <xf numFmtId="0" fontId="34" fillId="23" borderId="0" xfId="0" applyFont="1" applyFill="1" applyAlignment="1">
      <alignment horizontal="left"/>
    </xf>
    <xf numFmtId="0" fontId="34" fillId="0" borderId="0" xfId="0" applyFont="1" applyAlignment="1">
      <alignment horizontal="left"/>
    </xf>
    <xf numFmtId="49" fontId="1" fillId="0" borderId="14" xfId="0" applyNumberFormat="1" applyFont="1" applyBorder="1" applyAlignment="1">
      <alignment horizontal="center"/>
    </xf>
    <xf numFmtId="0" fontId="1" fillId="0" borderId="14" xfId="0" applyFont="1" applyBorder="1"/>
    <xf numFmtId="0" fontId="22" fillId="0" borderId="14" xfId="0" applyFont="1" applyBorder="1"/>
    <xf numFmtId="0" fontId="1" fillId="22" borderId="14" xfId="0" applyFont="1" applyFill="1" applyBorder="1"/>
    <xf numFmtId="0" fontId="8" fillId="34" borderId="14" xfId="0" applyFont="1" applyFill="1" applyBorder="1"/>
    <xf numFmtId="0" fontId="1" fillId="34" borderId="14" xfId="0" applyFont="1" applyFill="1" applyBorder="1"/>
    <xf numFmtId="49" fontId="1" fillId="0" borderId="14" xfId="0" applyNumberFormat="1" applyFont="1" applyBorder="1"/>
    <xf numFmtId="0" fontId="1" fillId="0" borderId="14" xfId="0" applyFont="1" applyBorder="1" applyAlignment="1">
      <alignment horizontal="center"/>
    </xf>
    <xf numFmtId="0" fontId="17" fillId="0" borderId="14" xfId="0" applyFont="1" applyBorder="1"/>
    <xf numFmtId="49" fontId="1" fillId="22" borderId="14" xfId="0" applyNumberFormat="1" applyFont="1" applyFill="1" applyBorder="1" applyAlignment="1">
      <alignment horizontal="center"/>
    </xf>
    <xf numFmtId="0" fontId="1" fillId="22" borderId="14" xfId="0" applyFont="1" applyFill="1" applyBorder="1" applyAlignment="1">
      <alignment horizontal="center"/>
    </xf>
    <xf numFmtId="170" fontId="1" fillId="22" borderId="14" xfId="0" applyNumberFormat="1" applyFont="1" applyFill="1" applyBorder="1" applyAlignment="1">
      <alignment horizontal="center"/>
    </xf>
    <xf numFmtId="171" fontId="1" fillId="22" borderId="14" xfId="0" applyNumberFormat="1" applyFont="1" applyFill="1" applyBorder="1" applyAlignment="1">
      <alignment horizontal="center"/>
    </xf>
    <xf numFmtId="49" fontId="1" fillId="34" borderId="14" xfId="0" applyNumberFormat="1" applyFont="1" applyFill="1" applyBorder="1" applyAlignment="1">
      <alignment horizontal="center"/>
    </xf>
    <xf numFmtId="0" fontId="1" fillId="34" borderId="14" xfId="0" applyFont="1" applyFill="1" applyBorder="1" applyAlignment="1">
      <alignment horizontal="center"/>
    </xf>
    <xf numFmtId="170" fontId="1" fillId="34" borderId="14" xfId="0" applyNumberFormat="1" applyFont="1" applyFill="1" applyBorder="1" applyAlignment="1">
      <alignment horizontal="center"/>
    </xf>
    <xf numFmtId="168" fontId="24" fillId="34" borderId="14" xfId="0" applyNumberFormat="1" applyFont="1" applyFill="1" applyBorder="1" applyAlignment="1">
      <alignment horizontal="center"/>
    </xf>
    <xf numFmtId="170" fontId="1" fillId="11" borderId="14" xfId="0" applyNumberFormat="1" applyFont="1" applyFill="1" applyBorder="1" applyAlignment="1">
      <alignment horizontal="center"/>
    </xf>
    <xf numFmtId="0" fontId="22" fillId="35" borderId="14" xfId="0" applyFont="1" applyFill="1" applyBorder="1"/>
    <xf numFmtId="172" fontId="1" fillId="0" borderId="14" xfId="0" applyNumberFormat="1" applyFont="1" applyBorder="1" applyAlignment="1">
      <alignment horizontal="right"/>
    </xf>
    <xf numFmtId="170" fontId="1" fillId="0" borderId="14" xfId="0" applyNumberFormat="1" applyFont="1" applyBorder="1" applyAlignment="1">
      <alignment horizontal="center"/>
    </xf>
    <xf numFmtId="171" fontId="1" fillId="0" borderId="14" xfId="0" applyNumberFormat="1" applyFont="1" applyBorder="1" applyAlignment="1">
      <alignment horizontal="center"/>
    </xf>
    <xf numFmtId="171" fontId="24" fillId="0" borderId="14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 wrapText="1"/>
    </xf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right" wrapText="1"/>
    </xf>
    <xf numFmtId="0" fontId="1" fillId="0" borderId="14" xfId="0" applyFont="1" applyBorder="1" applyAlignment="1">
      <alignment horizontal="center" wrapText="1"/>
    </xf>
    <xf numFmtId="49" fontId="1" fillId="0" borderId="14" xfId="0" applyNumberFormat="1" applyFont="1" applyBorder="1" applyAlignment="1">
      <alignment horizontal="right" wrapText="1"/>
    </xf>
    <xf numFmtId="168" fontId="1" fillId="0" borderId="14" xfId="0" applyNumberFormat="1" applyFont="1" applyBorder="1" applyAlignment="1">
      <alignment horizontal="center"/>
    </xf>
    <xf numFmtId="171" fontId="25" fillId="0" borderId="14" xfId="0" applyNumberFormat="1" applyFont="1" applyBorder="1" applyAlignment="1">
      <alignment horizontal="center"/>
    </xf>
    <xf numFmtId="168" fontId="24" fillId="0" borderId="14" xfId="0" applyNumberFormat="1" applyFont="1" applyBorder="1" applyAlignment="1">
      <alignment horizontal="center"/>
    </xf>
    <xf numFmtId="172" fontId="1" fillId="0" borderId="14" xfId="0" applyNumberFormat="1" applyFont="1" applyBorder="1" applyAlignment="1">
      <alignment horizontal="right" wrapText="1"/>
    </xf>
    <xf numFmtId="49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34" fillId="0" borderId="14" xfId="0" applyFont="1" applyBorder="1"/>
    <xf numFmtId="0" fontId="10" fillId="0" borderId="14" xfId="0" applyFont="1" applyBorder="1"/>
    <xf numFmtId="0" fontId="23" fillId="11" borderId="14" xfId="0" applyFont="1" applyFill="1" applyBorder="1" applyAlignment="1">
      <alignment horizontal="center"/>
    </xf>
    <xf numFmtId="0" fontId="17" fillId="11" borderId="14" xfId="0" applyFont="1" applyFill="1" applyBorder="1" applyAlignment="1">
      <alignment horizontal="right"/>
    </xf>
    <xf numFmtId="0" fontId="1" fillId="0" borderId="14" xfId="0" applyFont="1" applyBorder="1" applyAlignment="1">
      <alignment horizontal="right"/>
    </xf>
    <xf numFmtId="49" fontId="1" fillId="0" borderId="14" xfId="0" applyNumberFormat="1" applyFont="1" applyBorder="1" applyAlignment="1">
      <alignment horizontal="right"/>
    </xf>
    <xf numFmtId="0" fontId="35" fillId="0" borderId="14" xfId="0" applyFont="1" applyBorder="1" applyAlignment="1">
      <alignment horizontal="right"/>
    </xf>
    <xf numFmtId="0" fontId="1" fillId="11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166" fontId="23" fillId="25" borderId="0" xfId="0" applyNumberFormat="1" applyFont="1" applyFill="1" applyAlignment="1">
      <alignment horizontal="center"/>
    </xf>
    <xf numFmtId="0" fontId="1" fillId="11" borderId="8" xfId="0" applyFont="1" applyFill="1" applyBorder="1" applyAlignment="1">
      <alignment horizontal="center"/>
    </xf>
    <xf numFmtId="173" fontId="1" fillId="0" borderId="0" xfId="0" applyNumberFormat="1" applyFont="1" applyAlignment="1">
      <alignment horizontal="center"/>
    </xf>
    <xf numFmtId="173" fontId="17" fillId="0" borderId="0" xfId="0" applyNumberFormat="1" applyFont="1" applyAlignment="1">
      <alignment horizontal="center"/>
    </xf>
    <xf numFmtId="0" fontId="1" fillId="23" borderId="8" xfId="0" applyFont="1" applyFill="1" applyBorder="1" applyAlignment="1">
      <alignment horizontal="center"/>
    </xf>
    <xf numFmtId="0" fontId="1" fillId="25" borderId="8" xfId="0" applyFont="1" applyFill="1" applyBorder="1" applyAlignment="1">
      <alignment horizontal="center"/>
    </xf>
    <xf numFmtId="0" fontId="1" fillId="23" borderId="0" xfId="0" applyFont="1" applyFill="1" applyAlignment="1">
      <alignment horizontal="center"/>
    </xf>
    <xf numFmtId="173" fontId="1" fillId="23" borderId="0" xfId="0" applyNumberFormat="1" applyFont="1" applyFill="1" applyAlignment="1">
      <alignment horizontal="center"/>
    </xf>
    <xf numFmtId="0" fontId="36" fillId="0" borderId="0" xfId="0" applyFont="1" applyAlignment="1">
      <alignment horizontal="center"/>
    </xf>
    <xf numFmtId="0" fontId="35" fillId="0" borderId="8" xfId="0" applyFont="1" applyBorder="1" applyAlignment="1">
      <alignment horizontal="center" wrapText="1"/>
    </xf>
    <xf numFmtId="173" fontId="17" fillId="23" borderId="0" xfId="0" applyNumberFormat="1" applyFont="1" applyFill="1" applyAlignment="1">
      <alignment horizontal="center"/>
    </xf>
    <xf numFmtId="166" fontId="17" fillId="0" borderId="0" xfId="0" applyNumberFormat="1" applyFont="1" applyAlignment="1">
      <alignment horizontal="right"/>
    </xf>
    <xf numFmtId="173" fontId="12" fillId="0" borderId="0" xfId="0" applyNumberFormat="1" applyFont="1" applyAlignment="1">
      <alignment horizontal="right"/>
    </xf>
    <xf numFmtId="0" fontId="17" fillId="13" borderId="0" xfId="0" applyFont="1" applyFill="1" applyAlignment="1">
      <alignment horizontal="right"/>
    </xf>
    <xf numFmtId="0" fontId="17" fillId="13" borderId="0" xfId="0" applyFont="1" applyFill="1"/>
    <xf numFmtId="0" fontId="17" fillId="13" borderId="0" xfId="0" applyFont="1" applyFill="1" applyAlignment="1">
      <alignment horizontal="center"/>
    </xf>
    <xf numFmtId="173" fontId="17" fillId="13" borderId="0" xfId="0" applyNumberFormat="1" applyFont="1" applyFill="1" applyAlignment="1">
      <alignment horizontal="right"/>
    </xf>
    <xf numFmtId="166" fontId="17" fillId="13" borderId="0" xfId="0" applyNumberFormat="1" applyFont="1" applyFill="1" applyAlignment="1">
      <alignment horizontal="right"/>
    </xf>
    <xf numFmtId="0" fontId="17" fillId="13" borderId="0" xfId="0" applyFont="1" applyFill="1"/>
    <xf numFmtId="166" fontId="1" fillId="0" borderId="0" xfId="0" applyNumberFormat="1" applyFont="1" applyAlignment="1">
      <alignment horizontal="right"/>
    </xf>
    <xf numFmtId="0" fontId="1" fillId="0" borderId="0" xfId="0" applyFont="1"/>
    <xf numFmtId="0" fontId="1" fillId="7" borderId="8" xfId="0" applyFont="1" applyFill="1" applyBorder="1"/>
    <xf numFmtId="49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173" fontId="27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173" fontId="37" fillId="13" borderId="0" xfId="0" applyNumberFormat="1" applyFont="1" applyFill="1" applyAlignment="1">
      <alignment horizontal="right"/>
    </xf>
    <xf numFmtId="49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right"/>
    </xf>
    <xf numFmtId="49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/>
    <xf numFmtId="0" fontId="38" fillId="0" borderId="0" xfId="0" applyFont="1" applyAlignment="1">
      <alignment horizontal="center" wrapText="1"/>
    </xf>
    <xf numFmtId="0" fontId="17" fillId="0" borderId="0" xfId="0" applyFont="1"/>
    <xf numFmtId="0" fontId="17" fillId="0" borderId="8" xfId="0" applyFont="1" applyBorder="1"/>
    <xf numFmtId="0" fontId="1" fillId="36" borderId="0" xfId="0" applyFont="1" applyFill="1" applyAlignment="1">
      <alignment horizontal="right"/>
    </xf>
    <xf numFmtId="0" fontId="1" fillId="36" borderId="0" xfId="0" applyFont="1" applyFill="1"/>
    <xf numFmtId="0" fontId="1" fillId="36" borderId="0" xfId="0" applyFont="1" applyFill="1" applyAlignment="1">
      <alignment horizontal="center"/>
    </xf>
    <xf numFmtId="173" fontId="1" fillId="36" borderId="0" xfId="0" applyNumberFormat="1" applyFont="1" applyFill="1" applyAlignment="1">
      <alignment horizontal="right"/>
    </xf>
    <xf numFmtId="166" fontId="1" fillId="36" borderId="0" xfId="0" applyNumberFormat="1" applyFont="1" applyFill="1" applyAlignment="1">
      <alignment horizontal="right"/>
    </xf>
    <xf numFmtId="0" fontId="1" fillId="36" borderId="0" xfId="0" applyFont="1" applyFill="1"/>
    <xf numFmtId="173" fontId="1" fillId="0" borderId="0" xfId="0" applyNumberFormat="1" applyFont="1"/>
    <xf numFmtId="0" fontId="17" fillId="0" borderId="0" xfId="0" applyFont="1" applyAlignment="1">
      <alignment wrapText="1"/>
    </xf>
    <xf numFmtId="14" fontId="17" fillId="0" borderId="0" xfId="0" applyNumberFormat="1" applyFont="1" applyAlignment="1">
      <alignment horizontal="center"/>
    </xf>
    <xf numFmtId="0" fontId="1" fillId="7" borderId="0" xfId="0" applyFont="1" applyFill="1"/>
    <xf numFmtId="173" fontId="1" fillId="7" borderId="0" xfId="0" applyNumberFormat="1" applyFont="1" applyFill="1" applyAlignment="1">
      <alignment horizontal="right"/>
    </xf>
    <xf numFmtId="0" fontId="8" fillId="10" borderId="0" xfId="0" applyFont="1" applyFill="1"/>
    <xf numFmtId="173" fontId="1" fillId="10" borderId="0" xfId="0" applyNumberFormat="1" applyFont="1" applyFill="1" applyAlignment="1">
      <alignment horizontal="right"/>
    </xf>
    <xf numFmtId="0" fontId="6" fillId="0" borderId="0" xfId="0" applyFont="1"/>
    <xf numFmtId="0" fontId="1" fillId="31" borderId="0" xfId="0" applyFont="1" applyFill="1" applyAlignment="1">
      <alignment wrapText="1"/>
    </xf>
    <xf numFmtId="166" fontId="1" fillId="0" borderId="0" xfId="0" applyNumberFormat="1" applyFont="1" applyAlignment="1">
      <alignment horizontal="center"/>
    </xf>
    <xf numFmtId="0" fontId="27" fillId="0" borderId="8" xfId="0" applyFont="1" applyBorder="1"/>
    <xf numFmtId="0" fontId="17" fillId="11" borderId="8" xfId="0" applyFont="1" applyFill="1" applyBorder="1"/>
    <xf numFmtId="0" fontId="3" fillId="0" borderId="0" xfId="0" applyFont="1" applyAlignment="1">
      <alignment horizontal="center"/>
    </xf>
    <xf numFmtId="0" fontId="1" fillId="11" borderId="8" xfId="0" applyFont="1" applyFill="1" applyBorder="1"/>
    <xf numFmtId="14" fontId="1" fillId="25" borderId="0" xfId="0" applyNumberFormat="1" applyFont="1" applyFill="1" applyAlignment="1">
      <alignment horizontal="right"/>
    </xf>
    <xf numFmtId="0" fontId="1" fillId="25" borderId="0" xfId="0" applyFont="1" applyFill="1" applyAlignment="1">
      <alignment horizontal="center"/>
    </xf>
    <xf numFmtId="49" fontId="1" fillId="25" borderId="0" xfId="0" applyNumberFormat="1" applyFont="1" applyFill="1" applyAlignment="1">
      <alignment horizontal="center"/>
    </xf>
    <xf numFmtId="0" fontId="1" fillId="25" borderId="0" xfId="0" applyFont="1" applyFill="1" applyAlignment="1">
      <alignment horizontal="right"/>
    </xf>
    <xf numFmtId="49" fontId="1" fillId="25" borderId="8" xfId="0" applyNumberFormat="1" applyFont="1" applyFill="1" applyBorder="1" applyAlignment="1">
      <alignment horizontal="center"/>
    </xf>
    <xf numFmtId="173" fontId="1" fillId="25" borderId="0" xfId="0" applyNumberFormat="1" applyFont="1" applyFill="1" applyAlignment="1">
      <alignment horizontal="center"/>
    </xf>
    <xf numFmtId="173" fontId="17" fillId="25" borderId="0" xfId="0" applyNumberFormat="1" applyFont="1" applyFill="1" applyAlignment="1">
      <alignment horizontal="center"/>
    </xf>
    <xf numFmtId="173" fontId="1" fillId="25" borderId="8" xfId="0" applyNumberFormat="1" applyFont="1" applyFill="1" applyBorder="1" applyAlignment="1">
      <alignment horizontal="center"/>
    </xf>
    <xf numFmtId="166" fontId="1" fillId="25" borderId="0" xfId="0" applyNumberFormat="1" applyFont="1" applyFill="1" applyAlignment="1">
      <alignment horizontal="right"/>
    </xf>
    <xf numFmtId="0" fontId="27" fillId="25" borderId="0" xfId="0" applyFont="1" applyFill="1" applyAlignment="1">
      <alignment horizontal="center"/>
    </xf>
    <xf numFmtId="0" fontId="17" fillId="25" borderId="8" xfId="0" applyFont="1" applyFill="1" applyBorder="1" applyAlignment="1">
      <alignment horizontal="center"/>
    </xf>
    <xf numFmtId="166" fontId="1" fillId="25" borderId="0" xfId="0" applyNumberFormat="1" applyFont="1" applyFill="1" applyAlignment="1">
      <alignment horizontal="center"/>
    </xf>
    <xf numFmtId="173" fontId="1" fillId="25" borderId="0" xfId="0" applyNumberFormat="1" applyFont="1" applyFill="1" applyAlignment="1">
      <alignment horizontal="right"/>
    </xf>
    <xf numFmtId="166" fontId="1" fillId="25" borderId="8" xfId="0" applyNumberFormat="1" applyFont="1" applyFill="1" applyBorder="1" applyAlignment="1">
      <alignment horizontal="center"/>
    </xf>
    <xf numFmtId="14" fontId="1" fillId="25" borderId="8" xfId="0" applyNumberFormat="1" applyFont="1" applyFill="1" applyBorder="1" applyAlignment="1">
      <alignment horizontal="right"/>
    </xf>
    <xf numFmtId="0" fontId="35" fillId="25" borderId="8" xfId="0" applyFont="1" applyFill="1" applyBorder="1" applyAlignment="1">
      <alignment horizontal="center"/>
    </xf>
    <xf numFmtId="173" fontId="17" fillId="25" borderId="8" xfId="0" applyNumberFormat="1" applyFont="1" applyFill="1" applyBorder="1" applyAlignment="1">
      <alignment horizontal="center"/>
    </xf>
    <xf numFmtId="173" fontId="1" fillId="25" borderId="8" xfId="0" applyNumberFormat="1" applyFont="1" applyFill="1" applyBorder="1" applyAlignment="1">
      <alignment horizontal="right"/>
    </xf>
    <xf numFmtId="164" fontId="1" fillId="25" borderId="0" xfId="0" applyNumberFormat="1" applyFont="1" applyFill="1" applyAlignment="1">
      <alignment horizontal="center"/>
    </xf>
    <xf numFmtId="173" fontId="23" fillId="25" borderId="0" xfId="0" applyNumberFormat="1" applyFont="1" applyFill="1" applyAlignment="1">
      <alignment horizontal="center"/>
    </xf>
    <xf numFmtId="49" fontId="17" fillId="25" borderId="0" xfId="0" applyNumberFormat="1" applyFont="1" applyFill="1" applyAlignment="1">
      <alignment horizontal="center"/>
    </xf>
    <xf numFmtId="14" fontId="17" fillId="25" borderId="0" xfId="0" applyNumberFormat="1" applyFont="1" applyFill="1" applyAlignment="1">
      <alignment horizontal="center"/>
    </xf>
    <xf numFmtId="0" fontId="17" fillId="25" borderId="0" xfId="0" applyFont="1" applyFill="1" applyAlignment="1">
      <alignment horizontal="center"/>
    </xf>
    <xf numFmtId="0" fontId="17" fillId="25" borderId="0" xfId="0" applyFont="1" applyFill="1"/>
    <xf numFmtId="0" fontId="39" fillId="25" borderId="0" xfId="0" applyFont="1" applyFill="1" applyAlignment="1">
      <alignment horizontal="center"/>
    </xf>
    <xf numFmtId="0" fontId="1" fillId="25" borderId="8" xfId="0" applyFont="1" applyFill="1" applyBorder="1" applyAlignment="1">
      <alignment horizontal="right"/>
    </xf>
    <xf numFmtId="166" fontId="17" fillId="25" borderId="0" xfId="0" applyNumberFormat="1" applyFont="1" applyFill="1" applyAlignment="1">
      <alignment horizontal="center"/>
    </xf>
    <xf numFmtId="0" fontId="40" fillId="25" borderId="0" xfId="0" applyFont="1" applyFill="1" applyAlignment="1">
      <alignment horizontal="center"/>
    </xf>
    <xf numFmtId="0" fontId="1" fillId="25" borderId="0" xfId="0" applyFont="1" applyFill="1" applyAlignment="1">
      <alignment horizontal="center" wrapText="1"/>
    </xf>
    <xf numFmtId="0" fontId="41" fillId="25" borderId="0" xfId="0" applyFont="1" applyFill="1" applyAlignment="1">
      <alignment horizontal="center"/>
    </xf>
    <xf numFmtId="0" fontId="12" fillId="25" borderId="8" xfId="0" applyFont="1" applyFill="1" applyBorder="1"/>
    <xf numFmtId="0" fontId="1" fillId="25" borderId="8" xfId="0" applyFont="1" applyFill="1" applyBorder="1"/>
    <xf numFmtId="14" fontId="1" fillId="25" borderId="0" xfId="0" applyNumberFormat="1" applyFont="1" applyFill="1" applyAlignment="1">
      <alignment horizontal="center"/>
    </xf>
    <xf numFmtId="0" fontId="6" fillId="11" borderId="8" xfId="0" applyFont="1" applyFill="1" applyBorder="1" applyAlignment="1">
      <alignment horizontal="center" wrapText="1"/>
    </xf>
    <xf numFmtId="0" fontId="1" fillId="38" borderId="8" xfId="0" applyFont="1" applyFill="1" applyBorder="1"/>
    <xf numFmtId="49" fontId="38" fillId="25" borderId="0" xfId="0" applyNumberFormat="1" applyFont="1" applyFill="1" applyAlignment="1">
      <alignment horizontal="center"/>
    </xf>
    <xf numFmtId="14" fontId="38" fillId="25" borderId="0" xfId="0" applyNumberFormat="1" applyFont="1" applyFill="1" applyAlignment="1">
      <alignment horizontal="center"/>
    </xf>
    <xf numFmtId="0" fontId="42" fillId="25" borderId="8" xfId="0" applyFont="1" applyFill="1" applyBorder="1" applyAlignment="1">
      <alignment horizontal="center" wrapText="1"/>
    </xf>
    <xf numFmtId="0" fontId="38" fillId="25" borderId="8" xfId="0" applyFont="1" applyFill="1" applyBorder="1" applyAlignment="1">
      <alignment horizontal="center" wrapText="1"/>
    </xf>
    <xf numFmtId="0" fontId="38" fillId="25" borderId="0" xfId="0" applyFont="1" applyFill="1" applyAlignment="1">
      <alignment horizontal="center"/>
    </xf>
    <xf numFmtId="166" fontId="38" fillId="25" borderId="8" xfId="0" applyNumberFormat="1" applyFont="1" applyFill="1" applyBorder="1" applyAlignment="1">
      <alignment horizontal="right"/>
    </xf>
    <xf numFmtId="0" fontId="38" fillId="25" borderId="8" xfId="0" applyFont="1" applyFill="1" applyBorder="1" applyAlignment="1">
      <alignment horizontal="center"/>
    </xf>
    <xf numFmtId="0" fontId="1" fillId="25" borderId="0" xfId="0" applyFont="1" applyFill="1" applyAlignment="1">
      <alignment wrapText="1"/>
    </xf>
    <xf numFmtId="0" fontId="17" fillId="25" borderId="0" xfId="0" applyFont="1" applyFill="1" applyAlignment="1">
      <alignment horizontal="center" wrapText="1"/>
    </xf>
    <xf numFmtId="172" fontId="17" fillId="25" borderId="0" xfId="0" applyNumberFormat="1" applyFont="1" applyFill="1" applyAlignment="1">
      <alignment horizontal="center"/>
    </xf>
    <xf numFmtId="1" fontId="17" fillId="25" borderId="0" xfId="0" applyNumberFormat="1" applyFont="1" applyFill="1" applyAlignment="1">
      <alignment horizontal="center"/>
    </xf>
    <xf numFmtId="0" fontId="17" fillId="25" borderId="0" xfId="0" applyFont="1" applyFill="1" applyAlignment="1">
      <alignment wrapText="1"/>
    </xf>
    <xf numFmtId="166" fontId="17" fillId="25" borderId="0" xfId="0" applyNumberFormat="1" applyFont="1" applyFill="1" applyAlignment="1">
      <alignment horizontal="center" wrapText="1"/>
    </xf>
    <xf numFmtId="173" fontId="17" fillId="25" borderId="0" xfId="0" applyNumberFormat="1" applyFont="1" applyFill="1" applyAlignment="1">
      <alignment horizontal="right"/>
    </xf>
    <xf numFmtId="166" fontId="1" fillId="25" borderId="8" xfId="0" applyNumberFormat="1" applyFont="1" applyFill="1" applyBorder="1" applyAlignment="1">
      <alignment horizontal="right"/>
    </xf>
    <xf numFmtId="173" fontId="1" fillId="25" borderId="8" xfId="0" applyNumberFormat="1" applyFont="1" applyFill="1" applyBorder="1" applyAlignment="1">
      <alignment wrapText="1"/>
    </xf>
    <xf numFmtId="49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wrapText="1"/>
    </xf>
    <xf numFmtId="173" fontId="17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1" fillId="26" borderId="8" xfId="0" applyFont="1" applyFill="1" applyBorder="1"/>
    <xf numFmtId="166" fontId="1" fillId="26" borderId="0" xfId="0" applyNumberFormat="1" applyFont="1" applyFill="1" applyAlignment="1">
      <alignment horizontal="right"/>
    </xf>
    <xf numFmtId="0" fontId="1" fillId="26" borderId="0" xfId="0" applyFont="1" applyFill="1" applyAlignment="1">
      <alignment wrapText="1"/>
    </xf>
    <xf numFmtId="0" fontId="27" fillId="0" borderId="0" xfId="0" applyFont="1"/>
    <xf numFmtId="0" fontId="27" fillId="0" borderId="0" xfId="0" applyFont="1" applyAlignment="1">
      <alignment horizontal="center" wrapText="1"/>
    </xf>
    <xf numFmtId="166" fontId="27" fillId="0" borderId="0" xfId="0" applyNumberFormat="1" applyFont="1" applyAlignment="1">
      <alignment horizontal="right"/>
    </xf>
    <xf numFmtId="0" fontId="6" fillId="11" borderId="0" xfId="0" applyFont="1" applyFill="1" applyAlignment="1">
      <alignment horizontal="center" wrapText="1"/>
    </xf>
    <xf numFmtId="173" fontId="37" fillId="0" borderId="0" xfId="0" applyNumberFormat="1" applyFont="1" applyAlignment="1">
      <alignment horizontal="right"/>
    </xf>
    <xf numFmtId="49" fontId="27" fillId="25" borderId="0" xfId="0" applyNumberFormat="1" applyFont="1" applyFill="1" applyAlignment="1">
      <alignment horizontal="center"/>
    </xf>
    <xf numFmtId="14" fontId="27" fillId="25" borderId="0" xfId="0" applyNumberFormat="1" applyFont="1" applyFill="1" applyAlignment="1">
      <alignment horizontal="center"/>
    </xf>
    <xf numFmtId="0" fontId="27" fillId="25" borderId="0" xfId="0" applyFont="1" applyFill="1" applyAlignment="1">
      <alignment horizontal="center" wrapText="1"/>
    </xf>
    <xf numFmtId="173" fontId="43" fillId="25" borderId="0" xfId="0" applyNumberFormat="1" applyFont="1" applyFill="1" applyAlignment="1">
      <alignment horizontal="center"/>
    </xf>
    <xf numFmtId="173" fontId="27" fillId="25" borderId="0" xfId="0" applyNumberFormat="1" applyFont="1" applyFill="1" applyAlignment="1">
      <alignment horizontal="center" wrapText="1"/>
    </xf>
    <xf numFmtId="0" fontId="27" fillId="0" borderId="0" xfId="0" applyFont="1" applyAlignment="1">
      <alignment wrapText="1"/>
    </xf>
    <xf numFmtId="166" fontId="17" fillId="25" borderId="0" xfId="0" applyNumberFormat="1" applyFont="1" applyFill="1" applyAlignment="1">
      <alignment horizontal="right"/>
    </xf>
    <xf numFmtId="173" fontId="17" fillId="0" borderId="0" xfId="0" applyNumberFormat="1" applyFont="1" applyAlignment="1">
      <alignment horizontal="right"/>
    </xf>
    <xf numFmtId="166" fontId="1" fillId="0" borderId="0" xfId="0" applyNumberFormat="1" applyFont="1"/>
    <xf numFmtId="49" fontId="1" fillId="7" borderId="0" xfId="0" applyNumberFormat="1" applyFont="1" applyFill="1"/>
    <xf numFmtId="173" fontId="1" fillId="7" borderId="0" xfId="0" applyNumberFormat="1" applyFont="1" applyFill="1"/>
    <xf numFmtId="173" fontId="1" fillId="13" borderId="0" xfId="0" applyNumberFormat="1" applyFont="1" applyFill="1"/>
    <xf numFmtId="49" fontId="1" fillId="10" borderId="0" xfId="0" applyNumberFormat="1" applyFont="1" applyFill="1"/>
    <xf numFmtId="0" fontId="1" fillId="10" borderId="0" xfId="0" applyFont="1" applyFill="1"/>
    <xf numFmtId="49" fontId="1" fillId="37" borderId="0" xfId="0" applyNumberFormat="1" applyFont="1" applyFill="1"/>
    <xf numFmtId="14" fontId="1" fillId="37" borderId="0" xfId="0" applyNumberFormat="1" applyFont="1" applyFill="1"/>
    <xf numFmtId="0" fontId="30" fillId="37" borderId="0" xfId="0" applyFont="1" applyFill="1" applyAlignment="1">
      <alignment horizontal="center"/>
    </xf>
    <xf numFmtId="0" fontId="1" fillId="37" borderId="0" xfId="0" applyFont="1" applyFill="1"/>
    <xf numFmtId="173" fontId="1" fillId="37" borderId="0" xfId="0" applyNumberFormat="1" applyFont="1" applyFill="1"/>
    <xf numFmtId="49" fontId="1" fillId="25" borderId="0" xfId="0" applyNumberFormat="1" applyFont="1" applyFill="1"/>
    <xf numFmtId="14" fontId="1" fillId="25" borderId="0" xfId="0" applyNumberFormat="1" applyFont="1" applyFill="1"/>
    <xf numFmtId="173" fontId="1" fillId="25" borderId="0" xfId="0" applyNumberFormat="1" applyFont="1" applyFill="1"/>
    <xf numFmtId="173" fontId="1" fillId="25" borderId="8" xfId="0" applyNumberFormat="1" applyFont="1" applyFill="1" applyBorder="1"/>
    <xf numFmtId="166" fontId="1" fillId="25" borderId="0" xfId="0" applyNumberFormat="1" applyFont="1" applyFill="1"/>
    <xf numFmtId="49" fontId="1" fillId="25" borderId="8" xfId="0" applyNumberFormat="1" applyFont="1" applyFill="1" applyBorder="1"/>
    <xf numFmtId="166" fontId="1" fillId="25" borderId="8" xfId="0" applyNumberFormat="1" applyFont="1" applyFill="1" applyBorder="1"/>
    <xf numFmtId="168" fontId="1" fillId="25" borderId="0" xfId="0" applyNumberFormat="1" applyFont="1" applyFill="1"/>
    <xf numFmtId="173" fontId="1" fillId="0" borderId="8" xfId="0" applyNumberFormat="1" applyFont="1" applyBorder="1"/>
    <xf numFmtId="14" fontId="1" fillId="10" borderId="0" xfId="0" applyNumberFormat="1" applyFont="1" applyFill="1"/>
    <xf numFmtId="173" fontId="1" fillId="1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workbookViewId="0">
      <pane ySplit="7" topLeftCell="A8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12.5703125" style="234"/>
    <col min="2" max="2" width="16.85546875" style="234" customWidth="1"/>
    <col min="3" max="3" width="12.7109375" style="234" bestFit="1" customWidth="1"/>
    <col min="4" max="4" width="14.28515625" style="234" customWidth="1"/>
    <col min="5" max="5" width="12.5703125" style="234"/>
    <col min="6" max="6" width="13.85546875" style="234" bestFit="1" customWidth="1"/>
    <col min="7" max="7" width="6.28515625" style="234" customWidth="1"/>
    <col min="8" max="8" width="16" style="234" customWidth="1"/>
    <col min="9" max="9" width="12.7109375" style="234" bestFit="1" customWidth="1"/>
    <col min="10" max="10" width="14.85546875" style="234" customWidth="1"/>
    <col min="11" max="11" width="12.5703125" style="234"/>
    <col min="12" max="12" width="13.85546875" style="234" bestFit="1" customWidth="1"/>
    <col min="13" max="13" width="7.5703125" style="234" customWidth="1"/>
    <col min="14" max="16384" width="12.5703125" style="234"/>
  </cols>
  <sheetData>
    <row r="1" spans="1:20" ht="25.5" customHeight="1" x14ac:dyDescent="0.2">
      <c r="A1" s="226" t="s">
        <v>0</v>
      </c>
      <c r="B1" s="227" t="s">
        <v>1</v>
      </c>
      <c r="C1" s="227" t="s">
        <v>2</v>
      </c>
      <c r="D1" s="227" t="s">
        <v>3</v>
      </c>
      <c r="E1" s="227" t="s">
        <v>4</v>
      </c>
      <c r="F1" s="228" t="s">
        <v>5</v>
      </c>
      <c r="G1" s="229"/>
      <c r="H1" s="227" t="s">
        <v>1</v>
      </c>
      <c r="I1" s="227" t="s">
        <v>2</v>
      </c>
      <c r="J1" s="230" t="s">
        <v>3</v>
      </c>
      <c r="K1" s="225" t="s">
        <v>4</v>
      </c>
      <c r="L1" s="231" t="s">
        <v>5</v>
      </c>
      <c r="M1" s="229"/>
      <c r="N1" s="232" t="s">
        <v>6</v>
      </c>
      <c r="O1" s="232" t="s">
        <v>2</v>
      </c>
      <c r="P1" s="232" t="s">
        <v>7</v>
      </c>
      <c r="Q1" s="232" t="s">
        <v>4</v>
      </c>
      <c r="R1" s="232" t="s">
        <v>5</v>
      </c>
      <c r="S1" s="233"/>
      <c r="T1" s="233"/>
    </row>
    <row r="2" spans="1:20" ht="15" x14ac:dyDescent="0.2">
      <c r="A2" s="235"/>
      <c r="B2" s="236"/>
      <c r="C2" s="236"/>
      <c r="D2" s="236"/>
      <c r="E2" s="236"/>
      <c r="F2" s="237" t="s">
        <v>8</v>
      </c>
      <c r="G2" s="238"/>
      <c r="H2" s="236"/>
      <c r="I2" s="236"/>
      <c r="J2" s="236"/>
      <c r="K2" s="239"/>
      <c r="L2" s="240"/>
      <c r="M2" s="241"/>
      <c r="N2" s="52"/>
      <c r="O2" s="52"/>
      <c r="P2" s="52"/>
      <c r="Q2" s="52"/>
      <c r="R2" s="52"/>
      <c r="S2" s="52"/>
      <c r="T2" s="52"/>
    </row>
    <row r="3" spans="1:20" x14ac:dyDescent="0.25">
      <c r="A3" s="242"/>
      <c r="B3" s="236"/>
      <c r="C3" s="236"/>
      <c r="D3" s="223" t="s">
        <v>9</v>
      </c>
      <c r="E3" s="236"/>
      <c r="F3" s="243"/>
      <c r="G3" s="238"/>
      <c r="H3" s="236"/>
      <c r="I3" s="244" t="s">
        <v>9</v>
      </c>
      <c r="J3" s="236"/>
      <c r="K3" s="52"/>
      <c r="L3" s="245"/>
      <c r="M3" s="233"/>
      <c r="N3" s="52"/>
      <c r="O3" s="52"/>
      <c r="P3" s="52"/>
      <c r="Q3" s="52"/>
      <c r="R3" s="52"/>
      <c r="S3" s="52"/>
      <c r="T3" s="52"/>
    </row>
    <row r="4" spans="1:20" ht="15" x14ac:dyDescent="0.2">
      <c r="A4" s="246"/>
      <c r="B4" s="247"/>
      <c r="C4" s="236"/>
      <c r="D4" s="223" t="s">
        <v>10</v>
      </c>
      <c r="E4" s="52"/>
      <c r="F4" s="245"/>
      <c r="G4" s="233"/>
      <c r="H4" s="32"/>
      <c r="I4" s="32"/>
      <c r="J4" s="32"/>
      <c r="K4" s="32"/>
      <c r="L4" s="32"/>
      <c r="M4" s="233"/>
      <c r="N4" s="43"/>
      <c r="O4" s="43"/>
      <c r="P4" s="43"/>
      <c r="Q4" s="43"/>
      <c r="R4" s="43"/>
      <c r="S4" s="233"/>
      <c r="T4" s="233"/>
    </row>
    <row r="5" spans="1:20" x14ac:dyDescent="0.25">
      <c r="A5" s="233"/>
      <c r="B5" s="248" t="s">
        <v>11</v>
      </c>
      <c r="C5" s="249"/>
      <c r="D5" s="249"/>
      <c r="E5" s="249"/>
      <c r="F5" s="249"/>
      <c r="G5" s="233"/>
      <c r="H5" s="250" t="s">
        <v>12</v>
      </c>
      <c r="I5" s="249"/>
      <c r="J5" s="249"/>
      <c r="K5" s="249"/>
      <c r="L5" s="249"/>
      <c r="M5" s="233"/>
      <c r="N5" s="249"/>
      <c r="O5" s="249"/>
      <c r="P5" s="249"/>
      <c r="Q5" s="249"/>
      <c r="R5" s="249"/>
      <c r="S5" s="233"/>
      <c r="T5" s="233"/>
    </row>
    <row r="6" spans="1:20" ht="53.25" customHeight="1" x14ac:dyDescent="0.25">
      <c r="A6" s="251" t="s">
        <v>13</v>
      </c>
      <c r="B6" s="251" t="s">
        <v>14</v>
      </c>
      <c r="C6" s="252">
        <v>68</v>
      </c>
      <c r="D6" s="251" t="s">
        <v>15</v>
      </c>
      <c r="E6" s="251" t="s">
        <v>16</v>
      </c>
      <c r="F6" s="253">
        <v>43935</v>
      </c>
      <c r="G6" s="254"/>
      <c r="H6" s="251" t="s">
        <v>17</v>
      </c>
      <c r="I6" s="252">
        <v>48</v>
      </c>
      <c r="J6" s="251" t="s">
        <v>18</v>
      </c>
      <c r="K6" s="251" t="s">
        <v>16</v>
      </c>
      <c r="L6" s="253">
        <v>43935</v>
      </c>
      <c r="M6" s="233"/>
      <c r="N6" s="32"/>
      <c r="O6" s="32"/>
      <c r="P6" s="32"/>
      <c r="Q6" s="255"/>
      <c r="R6" s="255"/>
      <c r="S6" s="233"/>
      <c r="T6" s="233"/>
    </row>
    <row r="7" spans="1:20" ht="42" customHeight="1" x14ac:dyDescent="0.2">
      <c r="A7" s="233"/>
      <c r="B7" s="224" t="s">
        <v>19</v>
      </c>
      <c r="C7" s="225" t="s">
        <v>20</v>
      </c>
      <c r="D7" s="224" t="s">
        <v>21</v>
      </c>
      <c r="E7" s="224" t="s">
        <v>22</v>
      </c>
      <c r="F7" s="224" t="s">
        <v>23</v>
      </c>
      <c r="G7" s="233"/>
      <c r="H7" s="224" t="s">
        <v>19</v>
      </c>
      <c r="I7" s="225" t="s">
        <v>20</v>
      </c>
      <c r="J7" s="224" t="s">
        <v>21</v>
      </c>
      <c r="K7" s="224" t="s">
        <v>22</v>
      </c>
      <c r="L7" s="256" t="s">
        <v>5</v>
      </c>
      <c r="M7" s="233"/>
      <c r="N7" s="32"/>
      <c r="O7" s="32"/>
      <c r="P7" s="32"/>
      <c r="Q7" s="255"/>
      <c r="R7" s="255"/>
      <c r="S7" s="233"/>
      <c r="T7" s="233"/>
    </row>
    <row r="8" spans="1:20" ht="63" x14ac:dyDescent="0.25">
      <c r="A8" s="257"/>
      <c r="B8" s="55" t="s">
        <v>24</v>
      </c>
      <c r="C8" s="167">
        <v>60</v>
      </c>
      <c r="D8" s="167" t="s">
        <v>25</v>
      </c>
      <c r="E8" s="167" t="s">
        <v>26</v>
      </c>
      <c r="F8" s="197">
        <v>44631</v>
      </c>
      <c r="G8" s="233"/>
      <c r="H8" s="55"/>
      <c r="M8" s="233"/>
      <c r="S8" s="233"/>
    </row>
    <row r="9" spans="1:20" ht="63" x14ac:dyDescent="0.25">
      <c r="A9" s="257"/>
      <c r="B9" s="258" t="s">
        <v>27</v>
      </c>
      <c r="G9" s="233"/>
      <c r="H9" s="55"/>
      <c r="M9" s="233"/>
      <c r="S9" s="233"/>
    </row>
    <row r="10" spans="1:20" x14ac:dyDescent="0.25">
      <c r="A10" s="257"/>
      <c r="B10" s="43"/>
      <c r="G10" s="233"/>
      <c r="H10" s="55"/>
      <c r="M10" s="233"/>
      <c r="S10" s="233"/>
    </row>
    <row r="11" spans="1:20" x14ac:dyDescent="0.25">
      <c r="A11" s="257"/>
      <c r="B11" s="43"/>
      <c r="G11" s="233"/>
      <c r="H11" s="55"/>
      <c r="M11" s="233"/>
      <c r="S11" s="233"/>
    </row>
    <row r="12" spans="1:20" x14ac:dyDescent="0.25">
      <c r="A12" s="257"/>
      <c r="B12" s="43"/>
      <c r="G12" s="233"/>
      <c r="H12" s="55"/>
      <c r="M12" s="233"/>
      <c r="S12" s="233"/>
    </row>
    <row r="13" spans="1:20" x14ac:dyDescent="0.25">
      <c r="A13" s="257"/>
      <c r="B13" s="43"/>
      <c r="G13" s="233"/>
      <c r="H13" s="55"/>
      <c r="M13" s="233"/>
      <c r="S13" s="233"/>
    </row>
    <row r="14" spans="1:20" x14ac:dyDescent="0.25">
      <c r="A14" s="257"/>
      <c r="B14" s="43"/>
      <c r="G14" s="233"/>
      <c r="H14" s="55"/>
      <c r="M14" s="233"/>
      <c r="S14" s="233"/>
    </row>
    <row r="15" spans="1:20" x14ac:dyDescent="0.25">
      <c r="A15" s="257"/>
      <c r="B15" s="43"/>
      <c r="G15" s="233"/>
      <c r="H15" s="55"/>
      <c r="M15" s="233"/>
      <c r="S15" s="233"/>
    </row>
    <row r="16" spans="1:20" x14ac:dyDescent="0.25">
      <c r="A16" s="257"/>
      <c r="B16" s="43"/>
      <c r="G16" s="233"/>
      <c r="H16" s="55"/>
      <c r="M16" s="233"/>
      <c r="S16" s="233"/>
    </row>
    <row r="17" spans="1:19" x14ac:dyDescent="0.25">
      <c r="A17" s="257"/>
      <c r="B17" s="43"/>
      <c r="G17" s="233"/>
      <c r="H17" s="55"/>
      <c r="M17" s="233"/>
      <c r="S17" s="233"/>
    </row>
    <row r="18" spans="1:19" x14ac:dyDescent="0.25">
      <c r="A18" s="257"/>
      <c r="B18" s="43"/>
      <c r="G18" s="233"/>
      <c r="H18" s="55"/>
      <c r="M18" s="233"/>
      <c r="S18" s="233"/>
    </row>
    <row r="19" spans="1:19" x14ac:dyDescent="0.25">
      <c r="A19" s="257"/>
      <c r="B19" s="43"/>
      <c r="G19" s="233"/>
      <c r="H19" s="55"/>
      <c r="I19" s="167"/>
      <c r="J19" s="167"/>
      <c r="K19" s="167"/>
      <c r="L19" s="167"/>
      <c r="M19" s="233"/>
      <c r="S19" s="233"/>
    </row>
    <row r="20" spans="1:19" x14ac:dyDescent="0.25">
      <c r="A20" s="257"/>
      <c r="B20" s="43"/>
      <c r="G20" s="233"/>
      <c r="H20" s="55"/>
      <c r="M20" s="233"/>
      <c r="S20" s="233"/>
    </row>
    <row r="21" spans="1:19" x14ac:dyDescent="0.25">
      <c r="A21" s="257"/>
      <c r="B21" s="43"/>
      <c r="G21" s="233"/>
      <c r="H21" s="55"/>
      <c r="M21" s="233"/>
      <c r="S21" s="233"/>
    </row>
    <row r="22" spans="1:19" x14ac:dyDescent="0.25">
      <c r="A22" s="257"/>
      <c r="B22" s="43"/>
      <c r="G22" s="233"/>
      <c r="H22" s="55"/>
      <c r="M22" s="233"/>
      <c r="S22" s="233"/>
    </row>
    <row r="23" spans="1:19" x14ac:dyDescent="0.25">
      <c r="A23" s="257"/>
      <c r="B23" s="43"/>
      <c r="G23" s="233"/>
      <c r="H23" s="55"/>
      <c r="M23" s="233"/>
      <c r="S23" s="233"/>
    </row>
    <row r="24" spans="1:19" x14ac:dyDescent="0.25">
      <c r="A24" s="257"/>
      <c r="B24" s="43"/>
      <c r="G24" s="233"/>
      <c r="H24" s="55"/>
      <c r="M24" s="233"/>
      <c r="S24" s="233"/>
    </row>
    <row r="25" spans="1:19" x14ac:dyDescent="0.25">
      <c r="A25" s="257"/>
      <c r="B25" s="43"/>
      <c r="G25" s="233"/>
      <c r="H25" s="55"/>
      <c r="M25" s="233"/>
      <c r="S25" s="233"/>
    </row>
    <row r="26" spans="1:19" x14ac:dyDescent="0.25">
      <c r="A26" s="257"/>
      <c r="B26" s="43"/>
      <c r="G26" s="233"/>
      <c r="H26" s="55"/>
      <c r="M26" s="233"/>
      <c r="S26" s="233"/>
    </row>
    <row r="27" spans="1:19" x14ac:dyDescent="0.25">
      <c r="A27" s="257"/>
      <c r="B27" s="55"/>
      <c r="G27" s="233"/>
      <c r="H27" s="55"/>
      <c r="M27" s="233"/>
      <c r="S27" s="233"/>
    </row>
    <row r="28" spans="1:19" x14ac:dyDescent="0.25">
      <c r="A28" s="257"/>
      <c r="B28" s="43"/>
      <c r="G28" s="233"/>
      <c r="H28" s="55"/>
      <c r="I28" s="167"/>
      <c r="J28" s="167"/>
      <c r="K28" s="167"/>
      <c r="L28" s="167"/>
      <c r="M28" s="233"/>
      <c r="S28" s="233"/>
    </row>
    <row r="29" spans="1:19" x14ac:dyDescent="0.25">
      <c r="A29" s="257"/>
      <c r="B29" s="43"/>
      <c r="G29" s="233"/>
      <c r="H29" s="55"/>
      <c r="M29" s="233"/>
      <c r="S29" s="233"/>
    </row>
    <row r="30" spans="1:19" x14ac:dyDescent="0.25">
      <c r="A30" s="257"/>
      <c r="B30" s="43"/>
      <c r="G30" s="233"/>
      <c r="H30" s="176"/>
      <c r="M30" s="233"/>
      <c r="S30" s="233"/>
    </row>
    <row r="31" spans="1:19" x14ac:dyDescent="0.25">
      <c r="A31" s="257"/>
      <c r="B31" s="43"/>
      <c r="G31" s="233"/>
      <c r="H31" s="176"/>
      <c r="I31" s="167"/>
      <c r="J31" s="167"/>
      <c r="K31" s="167"/>
      <c r="L31" s="167"/>
      <c r="M31" s="233"/>
      <c r="S31" s="233"/>
    </row>
    <row r="32" spans="1:19" x14ac:dyDescent="0.25">
      <c r="A32" s="257"/>
      <c r="B32" s="43"/>
      <c r="G32" s="233"/>
      <c r="H32" s="176"/>
      <c r="M32" s="233"/>
      <c r="S32" s="233"/>
    </row>
    <row r="33" spans="1:19" x14ac:dyDescent="0.25">
      <c r="A33" s="257"/>
      <c r="B33" s="55"/>
      <c r="G33" s="233"/>
      <c r="H33" s="176"/>
      <c r="M33" s="233"/>
      <c r="S33" s="233"/>
    </row>
    <row r="34" spans="1:19" x14ac:dyDescent="0.25">
      <c r="A34" s="257"/>
      <c r="B34" s="55"/>
      <c r="G34" s="233"/>
      <c r="H34" s="55"/>
      <c r="I34" s="167"/>
      <c r="J34" s="167"/>
      <c r="K34" s="167"/>
      <c r="L34" s="167"/>
      <c r="M34" s="233"/>
      <c r="S34" s="233"/>
    </row>
    <row r="35" spans="1:19" x14ac:dyDescent="0.25">
      <c r="A35" s="257"/>
      <c r="B35" s="55"/>
      <c r="G35" s="233"/>
      <c r="H35" s="43"/>
      <c r="M35" s="233"/>
      <c r="S35" s="233"/>
    </row>
    <row r="36" spans="1:19" x14ac:dyDescent="0.25">
      <c r="A36" s="257"/>
      <c r="B36" s="55"/>
      <c r="C36" s="167"/>
      <c r="D36" s="167"/>
      <c r="E36" s="167"/>
      <c r="F36" s="167"/>
      <c r="G36" s="233"/>
      <c r="H36" s="55"/>
      <c r="I36" s="167"/>
      <c r="J36" s="167"/>
      <c r="K36" s="167"/>
      <c r="L36" s="167"/>
      <c r="M36" s="233"/>
      <c r="S36" s="233"/>
    </row>
    <row r="37" spans="1:19" x14ac:dyDescent="0.25">
      <c r="A37" s="257"/>
      <c r="B37" s="55"/>
      <c r="G37" s="233"/>
      <c r="H37" s="55"/>
      <c r="I37" s="167"/>
      <c r="J37" s="167"/>
      <c r="K37" s="167"/>
      <c r="L37" s="167"/>
      <c r="M37" s="233"/>
      <c r="S37" s="233"/>
    </row>
    <row r="38" spans="1:19" x14ac:dyDescent="0.25">
      <c r="A38" s="257"/>
      <c r="B38" s="55"/>
      <c r="G38" s="233"/>
      <c r="H38" s="43"/>
      <c r="M38" s="233"/>
      <c r="S38" s="233"/>
    </row>
    <row r="39" spans="1:19" x14ac:dyDescent="0.25">
      <c r="A39" s="257"/>
      <c r="B39" s="55"/>
      <c r="C39" s="167"/>
      <c r="D39" s="167"/>
      <c r="E39" s="167"/>
      <c r="F39" s="167"/>
      <c r="G39" s="233"/>
      <c r="H39" s="43"/>
      <c r="M39" s="233"/>
      <c r="S39" s="233"/>
    </row>
    <row r="40" spans="1:19" x14ac:dyDescent="0.25">
      <c r="A40" s="257"/>
      <c r="B40" s="55"/>
      <c r="G40" s="233"/>
      <c r="H40" s="43"/>
      <c r="M40" s="233"/>
      <c r="S40" s="233"/>
    </row>
    <row r="41" spans="1:19" x14ac:dyDescent="0.25">
      <c r="A41" s="257"/>
      <c r="B41" s="55"/>
      <c r="C41" s="167"/>
      <c r="D41" s="167"/>
      <c r="E41" s="167"/>
      <c r="F41" s="167"/>
      <c r="G41" s="233"/>
      <c r="H41" s="43"/>
      <c r="M41" s="233"/>
      <c r="S41" s="233"/>
    </row>
    <row r="42" spans="1:19" x14ac:dyDescent="0.25">
      <c r="A42" s="257"/>
      <c r="B42" s="55"/>
      <c r="G42" s="233"/>
      <c r="H42" s="43"/>
      <c r="M42" s="233"/>
      <c r="S42" s="233"/>
    </row>
    <row r="43" spans="1:19" ht="15" x14ac:dyDescent="0.2">
      <c r="A43" s="257"/>
      <c r="B43" s="43"/>
      <c r="G43" s="233"/>
      <c r="H43" s="43"/>
      <c r="M43" s="233"/>
      <c r="S43" s="233"/>
    </row>
    <row r="44" spans="1:19" ht="15" x14ac:dyDescent="0.2">
      <c r="A44" s="257"/>
      <c r="B44" s="43"/>
      <c r="G44" s="233"/>
      <c r="H44" s="43"/>
      <c r="M44" s="233"/>
      <c r="S44" s="233"/>
    </row>
    <row r="45" spans="1:19" ht="15" x14ac:dyDescent="0.2">
      <c r="A45" s="257"/>
      <c r="B45" s="43"/>
      <c r="G45" s="233"/>
      <c r="H45" s="43"/>
      <c r="M45" s="233"/>
      <c r="S45" s="233"/>
    </row>
    <row r="46" spans="1:19" ht="15" x14ac:dyDescent="0.2">
      <c r="A46" s="257"/>
      <c r="B46" s="43"/>
      <c r="G46" s="233"/>
      <c r="H46" s="43"/>
      <c r="M46" s="233"/>
      <c r="S46" s="233"/>
    </row>
    <row r="47" spans="1:19" ht="15" x14ac:dyDescent="0.2">
      <c r="A47" s="257"/>
      <c r="B47" s="43"/>
      <c r="G47" s="233"/>
      <c r="H47" s="43"/>
      <c r="M47" s="233"/>
      <c r="S47" s="233"/>
    </row>
    <row r="48" spans="1:19" ht="15" x14ac:dyDescent="0.2">
      <c r="A48" s="257"/>
      <c r="B48" s="43"/>
      <c r="G48" s="233"/>
      <c r="H48" s="43"/>
      <c r="M48" s="233"/>
      <c r="S48" s="233"/>
    </row>
    <row r="49" spans="1:19" x14ac:dyDescent="0.25">
      <c r="A49" s="257"/>
      <c r="B49" s="55"/>
      <c r="G49" s="233"/>
      <c r="H49" s="43"/>
      <c r="M49" s="233"/>
      <c r="S49" s="233"/>
    </row>
    <row r="50" spans="1:19" x14ac:dyDescent="0.25">
      <c r="A50" s="257"/>
      <c r="B50" s="55"/>
      <c r="G50" s="233"/>
      <c r="H50" s="43"/>
      <c r="M50" s="233"/>
      <c r="S50" s="233"/>
    </row>
    <row r="51" spans="1:19" x14ac:dyDescent="0.25">
      <c r="A51" s="257"/>
      <c r="B51" s="55"/>
      <c r="C51" s="167"/>
      <c r="D51" s="167"/>
      <c r="E51" s="167"/>
      <c r="F51" s="167"/>
      <c r="G51" s="233"/>
      <c r="H51" s="43"/>
      <c r="M51" s="233"/>
      <c r="S51" s="233"/>
    </row>
    <row r="52" spans="1:19" x14ac:dyDescent="0.25">
      <c r="A52" s="257"/>
      <c r="B52" s="55"/>
      <c r="G52" s="233"/>
      <c r="H52" s="43"/>
      <c r="M52" s="233"/>
      <c r="S52" s="233"/>
    </row>
    <row r="53" spans="1:19" x14ac:dyDescent="0.25">
      <c r="A53" s="257"/>
      <c r="B53" s="43"/>
      <c r="C53" s="167"/>
      <c r="D53" s="167"/>
      <c r="E53" s="167"/>
      <c r="F53" s="167"/>
      <c r="G53" s="233"/>
      <c r="H53" s="43"/>
      <c r="M53" s="233"/>
      <c r="S53" s="233"/>
    </row>
    <row r="54" spans="1:19" ht="15" x14ac:dyDescent="0.2">
      <c r="A54" s="257"/>
      <c r="B54" s="43"/>
      <c r="G54" s="233"/>
      <c r="H54" s="43"/>
      <c r="M54" s="233"/>
      <c r="S54" s="233"/>
    </row>
    <row r="55" spans="1:19" x14ac:dyDescent="0.25">
      <c r="A55" s="257"/>
      <c r="B55" s="43"/>
      <c r="C55" s="167"/>
      <c r="D55" s="167"/>
      <c r="E55" s="167"/>
      <c r="F55" s="167"/>
      <c r="G55" s="233"/>
      <c r="H55" s="43"/>
      <c r="M55" s="233"/>
      <c r="S55" s="233"/>
    </row>
    <row r="56" spans="1:19" ht="15" x14ac:dyDescent="0.2">
      <c r="A56" s="257"/>
      <c r="B56" s="43"/>
      <c r="G56" s="233"/>
      <c r="H56" s="43"/>
      <c r="M56" s="233"/>
      <c r="S56" s="233"/>
    </row>
    <row r="57" spans="1:19" ht="15" x14ac:dyDescent="0.2">
      <c r="A57" s="257"/>
      <c r="B57" s="43"/>
      <c r="G57" s="233"/>
      <c r="H57" s="43"/>
      <c r="M57" s="233"/>
      <c r="S57" s="233"/>
    </row>
    <row r="58" spans="1:19" x14ac:dyDescent="0.25">
      <c r="A58" s="257"/>
      <c r="B58" s="43"/>
      <c r="C58" s="167"/>
      <c r="D58" s="167"/>
      <c r="E58" s="167"/>
      <c r="F58" s="167"/>
      <c r="G58" s="233"/>
      <c r="H58" s="43"/>
      <c r="M58" s="233"/>
      <c r="S58" s="233"/>
    </row>
    <row r="59" spans="1:19" ht="15" x14ac:dyDescent="0.2">
      <c r="A59" s="257"/>
      <c r="B59" s="43"/>
      <c r="G59" s="233"/>
      <c r="H59" s="43"/>
      <c r="M59" s="233"/>
      <c r="S59" s="233"/>
    </row>
    <row r="60" spans="1:19" ht="15" x14ac:dyDescent="0.2">
      <c r="A60" s="257"/>
      <c r="B60" s="43"/>
      <c r="G60" s="233"/>
      <c r="H60" s="43"/>
      <c r="M60" s="233"/>
      <c r="S60" s="233"/>
    </row>
    <row r="61" spans="1:19" ht="15" x14ac:dyDescent="0.2">
      <c r="A61" s="257"/>
      <c r="B61" s="43"/>
      <c r="G61" s="233"/>
      <c r="H61" s="43"/>
      <c r="M61" s="233"/>
      <c r="S61" s="233"/>
    </row>
    <row r="62" spans="1:19" ht="15" x14ac:dyDescent="0.2">
      <c r="A62" s="257"/>
      <c r="B62" s="43"/>
      <c r="G62" s="233"/>
      <c r="H62" s="43"/>
      <c r="M62" s="233"/>
      <c r="S62" s="233"/>
    </row>
    <row r="63" spans="1:19" ht="15" x14ac:dyDescent="0.2">
      <c r="A63" s="257"/>
      <c r="B63" s="43"/>
      <c r="G63" s="233"/>
      <c r="H63" s="43"/>
      <c r="M63" s="233"/>
      <c r="S63" s="233"/>
    </row>
    <row r="64" spans="1:19" ht="15" x14ac:dyDescent="0.2">
      <c r="A64" s="257"/>
      <c r="B64" s="43"/>
      <c r="G64" s="233"/>
      <c r="H64" s="43"/>
      <c r="M64" s="233"/>
      <c r="S64" s="233"/>
    </row>
    <row r="65" spans="1:19" ht="15" x14ac:dyDescent="0.2">
      <c r="A65" s="257"/>
      <c r="B65" s="43"/>
      <c r="G65" s="233"/>
      <c r="H65" s="43"/>
      <c r="M65" s="233"/>
      <c r="S65" s="233"/>
    </row>
    <row r="66" spans="1:19" ht="15" x14ac:dyDescent="0.2">
      <c r="A66" s="257"/>
      <c r="B66" s="43"/>
      <c r="G66" s="233"/>
      <c r="H66" s="43"/>
      <c r="M66" s="233"/>
    </row>
    <row r="67" spans="1:19" ht="15" x14ac:dyDescent="0.2">
      <c r="A67" s="257"/>
      <c r="B67" s="43"/>
      <c r="G67" s="233"/>
      <c r="H67" s="43"/>
      <c r="M67" s="233"/>
    </row>
    <row r="68" spans="1:19" ht="15" x14ac:dyDescent="0.2">
      <c r="A68" s="257"/>
      <c r="B68" s="43"/>
      <c r="G68" s="233"/>
      <c r="H68" s="43"/>
      <c r="M68" s="233"/>
    </row>
    <row r="69" spans="1:19" ht="15" x14ac:dyDescent="0.2">
      <c r="A69" s="257"/>
      <c r="B69" s="43"/>
      <c r="G69" s="233"/>
      <c r="H69" s="43"/>
      <c r="M69" s="233"/>
    </row>
    <row r="70" spans="1:19" ht="15" x14ac:dyDescent="0.2">
      <c r="A70" s="257"/>
      <c r="B70" s="43"/>
      <c r="G70" s="233"/>
      <c r="H70" s="43"/>
      <c r="M70" s="233"/>
    </row>
    <row r="71" spans="1:19" ht="15" x14ac:dyDescent="0.2">
      <c r="A71" s="257"/>
      <c r="B71" s="43"/>
      <c r="G71" s="233"/>
      <c r="H71" s="43"/>
      <c r="M71" s="233"/>
    </row>
    <row r="72" spans="1:19" ht="15" x14ac:dyDescent="0.2">
      <c r="A72" s="257"/>
      <c r="B72" s="43"/>
      <c r="G72" s="233"/>
      <c r="H72" s="43"/>
      <c r="M72" s="233"/>
    </row>
    <row r="73" spans="1:19" ht="15" x14ac:dyDescent="0.2">
      <c r="A73" s="257"/>
      <c r="B73" s="43"/>
      <c r="G73" s="233"/>
      <c r="H73" s="43"/>
      <c r="M73" s="233"/>
    </row>
    <row r="74" spans="1:19" ht="15" x14ac:dyDescent="0.2">
      <c r="A74" s="257"/>
      <c r="B74" s="43"/>
      <c r="G74" s="233"/>
      <c r="H74" s="43"/>
      <c r="M74" s="233"/>
    </row>
    <row r="75" spans="1:19" ht="15" x14ac:dyDescent="0.2">
      <c r="A75" s="257"/>
      <c r="B75" s="43"/>
      <c r="G75" s="233"/>
      <c r="H75" s="43"/>
      <c r="M75" s="233"/>
    </row>
    <row r="76" spans="1:19" ht="15" x14ac:dyDescent="0.2">
      <c r="A76" s="257"/>
      <c r="B76" s="43"/>
      <c r="G76" s="233"/>
      <c r="H76" s="43"/>
      <c r="M76" s="233"/>
    </row>
    <row r="77" spans="1:19" ht="15" x14ac:dyDescent="0.2">
      <c r="A77" s="257"/>
      <c r="B77" s="43"/>
      <c r="G77" s="233"/>
      <c r="H77" s="43"/>
      <c r="M77" s="233"/>
    </row>
    <row r="78" spans="1:19" ht="15" x14ac:dyDescent="0.2">
      <c r="A78" s="257"/>
      <c r="B78" s="43"/>
      <c r="G78" s="233"/>
      <c r="H78" s="43"/>
      <c r="M78" s="233"/>
    </row>
    <row r="79" spans="1:19" ht="15" x14ac:dyDescent="0.2">
      <c r="A79" s="257"/>
      <c r="B79" s="43"/>
      <c r="G79" s="233"/>
      <c r="H79" s="43"/>
      <c r="M79" s="233"/>
    </row>
    <row r="80" spans="1:19" ht="15" x14ac:dyDescent="0.2">
      <c r="A80" s="257"/>
      <c r="B80" s="43"/>
      <c r="G80" s="233"/>
      <c r="H80" s="43"/>
      <c r="M80" s="233"/>
    </row>
    <row r="81" spans="1:13" ht="15" x14ac:dyDescent="0.2">
      <c r="A81" s="257"/>
      <c r="B81" s="43"/>
      <c r="G81" s="233"/>
      <c r="H81" s="43"/>
      <c r="M81" s="233"/>
    </row>
    <row r="82" spans="1:13" ht="15" x14ac:dyDescent="0.2">
      <c r="A82" s="257"/>
      <c r="B82" s="43"/>
      <c r="G82" s="233"/>
      <c r="H82" s="43"/>
      <c r="M82" s="233"/>
    </row>
    <row r="83" spans="1:13" ht="15" x14ac:dyDescent="0.2">
      <c r="A83" s="257"/>
      <c r="B83" s="43"/>
      <c r="G83" s="233"/>
      <c r="H83" s="43"/>
      <c r="M83" s="233"/>
    </row>
    <row r="84" spans="1:13" ht="15" x14ac:dyDescent="0.2">
      <c r="A84" s="257"/>
      <c r="B84" s="43"/>
      <c r="G84" s="233"/>
      <c r="H84" s="43"/>
      <c r="M84" s="233"/>
    </row>
    <row r="85" spans="1:13" ht="15" x14ac:dyDescent="0.2">
      <c r="A85" s="257"/>
      <c r="B85" s="43"/>
      <c r="G85" s="233"/>
      <c r="H85" s="43"/>
      <c r="M85" s="233"/>
    </row>
    <row r="86" spans="1:13" ht="15" x14ac:dyDescent="0.2">
      <c r="A86" s="257"/>
      <c r="B86" s="43"/>
      <c r="G86" s="233"/>
      <c r="H86" s="43"/>
      <c r="M86" s="233"/>
    </row>
    <row r="87" spans="1:13" ht="15" x14ac:dyDescent="0.2">
      <c r="A87" s="257"/>
      <c r="B87" s="43"/>
      <c r="G87" s="233"/>
      <c r="H87" s="43"/>
      <c r="M87" s="233"/>
    </row>
    <row r="88" spans="1:13" ht="15" x14ac:dyDescent="0.2">
      <c r="A88" s="257"/>
      <c r="B88" s="43"/>
      <c r="G88" s="233"/>
      <c r="H88" s="43"/>
      <c r="M88" s="233"/>
    </row>
    <row r="89" spans="1:13" ht="15" x14ac:dyDescent="0.2">
      <c r="A89" s="257"/>
      <c r="B89" s="43"/>
      <c r="G89" s="233"/>
      <c r="H89" s="43"/>
      <c r="M89" s="233"/>
    </row>
    <row r="90" spans="1:13" ht="15" x14ac:dyDescent="0.2">
      <c r="A90" s="257"/>
      <c r="B90" s="43"/>
      <c r="G90" s="233"/>
      <c r="H90" s="43"/>
      <c r="M90" s="233"/>
    </row>
    <row r="91" spans="1:13" ht="15" x14ac:dyDescent="0.2">
      <c r="A91" s="257"/>
      <c r="B91" s="43"/>
      <c r="G91" s="233"/>
      <c r="H91" s="43"/>
      <c r="M91" s="233"/>
    </row>
    <row r="92" spans="1:13" ht="15" x14ac:dyDescent="0.2">
      <c r="A92" s="257"/>
      <c r="B92" s="43"/>
      <c r="G92" s="233"/>
      <c r="H92" s="43"/>
      <c r="M92" s="233"/>
    </row>
    <row r="93" spans="1:13" ht="15" x14ac:dyDescent="0.2">
      <c r="A93" s="257"/>
      <c r="B93" s="43"/>
      <c r="G93" s="233"/>
      <c r="H93" s="43"/>
      <c r="M93" s="233"/>
    </row>
    <row r="94" spans="1:13" ht="15" x14ac:dyDescent="0.2">
      <c r="A94" s="257"/>
      <c r="B94" s="43"/>
      <c r="G94" s="233"/>
      <c r="H94" s="43"/>
      <c r="M94" s="233"/>
    </row>
    <row r="95" spans="1:13" ht="15" x14ac:dyDescent="0.2">
      <c r="A95" s="257"/>
      <c r="B95" s="43"/>
      <c r="G95" s="233"/>
      <c r="H95" s="43"/>
      <c r="M95" s="233"/>
    </row>
    <row r="96" spans="1:13" ht="15" x14ac:dyDescent="0.2">
      <c r="A96" s="257"/>
      <c r="B96" s="43"/>
      <c r="G96" s="233"/>
      <c r="H96" s="43"/>
      <c r="M96" s="233"/>
    </row>
    <row r="97" spans="1:13" ht="15" x14ac:dyDescent="0.2">
      <c r="A97" s="257"/>
      <c r="B97" s="43"/>
      <c r="G97" s="233"/>
      <c r="H97" s="43"/>
      <c r="M97" s="233"/>
    </row>
    <row r="98" spans="1:13" ht="15" x14ac:dyDescent="0.2">
      <c r="A98" s="257"/>
      <c r="B98" s="43"/>
      <c r="G98" s="233"/>
      <c r="H98" s="43"/>
      <c r="M98" s="233"/>
    </row>
    <row r="99" spans="1:13" ht="15" x14ac:dyDescent="0.2">
      <c r="A99" s="257"/>
      <c r="B99" s="43"/>
      <c r="G99" s="233"/>
      <c r="H99" s="43"/>
      <c r="M99" s="233"/>
    </row>
    <row r="100" spans="1:13" ht="15" x14ac:dyDescent="0.2">
      <c r="A100" s="257"/>
      <c r="B100" s="43"/>
      <c r="G100" s="233"/>
      <c r="H100" s="43"/>
      <c r="M100" s="233"/>
    </row>
    <row r="101" spans="1:13" ht="15" x14ac:dyDescent="0.2">
      <c r="A101" s="257"/>
      <c r="B101" s="43"/>
      <c r="G101" s="233"/>
      <c r="H101" s="43"/>
      <c r="M101" s="233"/>
    </row>
    <row r="102" spans="1:13" ht="15" x14ac:dyDescent="0.2">
      <c r="A102" s="257"/>
      <c r="B102" s="43"/>
      <c r="G102" s="233"/>
      <c r="H102" s="43"/>
      <c r="M102" s="233"/>
    </row>
    <row r="103" spans="1:13" ht="15" x14ac:dyDescent="0.2">
      <c r="A103" s="257"/>
      <c r="B103" s="43"/>
      <c r="G103" s="233"/>
      <c r="H103" s="43"/>
      <c r="M103" s="233"/>
    </row>
    <row r="104" spans="1:13" ht="15" x14ac:dyDescent="0.2">
      <c r="A104" s="257"/>
      <c r="B104" s="43"/>
      <c r="G104" s="233"/>
      <c r="H104" s="43"/>
      <c r="M104" s="233"/>
    </row>
    <row r="105" spans="1:13" ht="15" x14ac:dyDescent="0.2">
      <c r="A105" s="257"/>
      <c r="B105" s="43"/>
      <c r="G105" s="233"/>
      <c r="H105" s="43"/>
      <c r="M105" s="233"/>
    </row>
    <row r="106" spans="1:13" ht="15" x14ac:dyDescent="0.2">
      <c r="A106" s="257"/>
      <c r="B106" s="43"/>
      <c r="G106" s="233"/>
      <c r="H106" s="43"/>
      <c r="M106" s="233"/>
    </row>
    <row r="107" spans="1:13" ht="15" x14ac:dyDescent="0.2">
      <c r="A107" s="257"/>
      <c r="B107" s="43"/>
      <c r="G107" s="233"/>
      <c r="H107" s="43"/>
      <c r="M107" s="233"/>
    </row>
    <row r="108" spans="1:13" ht="15" x14ac:dyDescent="0.2">
      <c r="A108" s="257"/>
      <c r="B108" s="43"/>
      <c r="G108" s="233"/>
      <c r="H108" s="43"/>
      <c r="M108" s="233"/>
    </row>
    <row r="109" spans="1:13" ht="15" x14ac:dyDescent="0.2">
      <c r="A109" s="257"/>
      <c r="B109" s="43"/>
      <c r="G109" s="233"/>
      <c r="H109" s="43"/>
      <c r="M109" s="233"/>
    </row>
    <row r="110" spans="1:13" ht="15" x14ac:dyDescent="0.2">
      <c r="A110" s="257"/>
      <c r="B110" s="43"/>
      <c r="G110" s="233"/>
      <c r="H110" s="43"/>
      <c r="M110" s="233"/>
    </row>
    <row r="111" spans="1:13" ht="15" x14ac:dyDescent="0.2">
      <c r="A111" s="257"/>
      <c r="B111" s="43"/>
      <c r="G111" s="233"/>
      <c r="H111" s="43"/>
      <c r="M111" s="233"/>
    </row>
    <row r="112" spans="1:13" ht="15" x14ac:dyDescent="0.2">
      <c r="A112" s="257"/>
      <c r="B112" s="43"/>
      <c r="G112" s="233"/>
      <c r="H112" s="43"/>
      <c r="M112" s="233"/>
    </row>
    <row r="113" spans="1:13" ht="15" x14ac:dyDescent="0.2">
      <c r="A113" s="257"/>
      <c r="B113" s="43"/>
      <c r="G113" s="233"/>
      <c r="H113" s="43"/>
      <c r="M113" s="233"/>
    </row>
    <row r="114" spans="1:13" ht="15" x14ac:dyDescent="0.2">
      <c r="A114" s="257"/>
      <c r="B114" s="43"/>
      <c r="G114" s="233"/>
      <c r="H114" s="43"/>
      <c r="M114" s="233"/>
    </row>
    <row r="115" spans="1:13" ht="15" x14ac:dyDescent="0.2">
      <c r="A115" s="257"/>
      <c r="B115" s="43"/>
      <c r="G115" s="233"/>
      <c r="H115" s="43"/>
      <c r="M115" s="233"/>
    </row>
    <row r="116" spans="1:13" ht="15" x14ac:dyDescent="0.2">
      <c r="A116" s="257"/>
      <c r="B116" s="43"/>
      <c r="G116" s="233"/>
      <c r="H116" s="43"/>
      <c r="M116" s="233"/>
    </row>
    <row r="117" spans="1:13" ht="15" x14ac:dyDescent="0.2">
      <c r="A117" s="257"/>
      <c r="B117" s="43"/>
      <c r="G117" s="233"/>
      <c r="H117" s="43"/>
      <c r="M117" s="233"/>
    </row>
    <row r="118" spans="1:13" ht="15" x14ac:dyDescent="0.2">
      <c r="A118" s="257"/>
      <c r="B118" s="43"/>
      <c r="G118" s="233"/>
      <c r="H118" s="43"/>
      <c r="M118" s="233"/>
    </row>
    <row r="119" spans="1:13" ht="15" x14ac:dyDescent="0.2">
      <c r="A119" s="257"/>
      <c r="B119" s="43"/>
      <c r="G119" s="233"/>
      <c r="H119" s="43"/>
      <c r="M119" s="233"/>
    </row>
    <row r="120" spans="1:13" ht="15" x14ac:dyDescent="0.2">
      <c r="A120" s="257"/>
      <c r="B120" s="43"/>
      <c r="G120" s="233"/>
      <c r="H120" s="43"/>
      <c r="M120" s="233"/>
    </row>
    <row r="121" spans="1:13" ht="15" x14ac:dyDescent="0.2">
      <c r="A121" s="257"/>
      <c r="B121" s="43"/>
      <c r="G121" s="233"/>
      <c r="H121" s="43"/>
      <c r="M121" s="233"/>
    </row>
    <row r="122" spans="1:13" ht="15" x14ac:dyDescent="0.2">
      <c r="A122" s="257"/>
      <c r="B122" s="43"/>
      <c r="G122" s="233"/>
      <c r="H122" s="43"/>
      <c r="M122" s="233"/>
    </row>
    <row r="123" spans="1:13" ht="15" x14ac:dyDescent="0.2">
      <c r="A123" s="257"/>
      <c r="B123" s="43"/>
      <c r="G123" s="233"/>
      <c r="H123" s="43"/>
      <c r="M123" s="233"/>
    </row>
    <row r="124" spans="1:13" ht="15" x14ac:dyDescent="0.2">
      <c r="A124" s="257"/>
      <c r="B124" s="43"/>
      <c r="G124" s="233"/>
      <c r="H124" s="43"/>
      <c r="M124" s="233"/>
    </row>
    <row r="125" spans="1:13" ht="15" x14ac:dyDescent="0.2">
      <c r="A125" s="257"/>
      <c r="B125" s="43"/>
      <c r="G125" s="233"/>
      <c r="H125" s="43"/>
      <c r="M125" s="233"/>
    </row>
    <row r="126" spans="1:13" ht="15" x14ac:dyDescent="0.2">
      <c r="A126" s="257"/>
      <c r="B126" s="43"/>
      <c r="G126" s="233"/>
      <c r="H126" s="43"/>
      <c r="M126" s="233"/>
    </row>
    <row r="127" spans="1:13" ht="15" x14ac:dyDescent="0.2">
      <c r="A127" s="257"/>
      <c r="B127" s="43"/>
      <c r="G127" s="233"/>
      <c r="H127" s="43"/>
      <c r="M127" s="233"/>
    </row>
    <row r="128" spans="1:13" ht="15" x14ac:dyDescent="0.2">
      <c r="A128" s="257"/>
      <c r="B128" s="43"/>
      <c r="G128" s="233"/>
      <c r="H128" s="43"/>
      <c r="M128" s="233"/>
    </row>
    <row r="129" spans="1:13" ht="15" x14ac:dyDescent="0.2">
      <c r="A129" s="257"/>
      <c r="B129" s="43"/>
      <c r="G129" s="233"/>
      <c r="H129" s="43"/>
      <c r="M129" s="233"/>
    </row>
    <row r="130" spans="1:13" ht="15" x14ac:dyDescent="0.2">
      <c r="A130" s="257"/>
      <c r="B130" s="43"/>
      <c r="G130" s="233"/>
      <c r="H130" s="43"/>
      <c r="M130" s="233"/>
    </row>
    <row r="131" spans="1:13" ht="15" x14ac:dyDescent="0.2">
      <c r="A131" s="257"/>
      <c r="B131" s="43"/>
      <c r="G131" s="233"/>
      <c r="H131" s="43"/>
      <c r="M131" s="233"/>
    </row>
    <row r="132" spans="1:13" ht="15" x14ac:dyDescent="0.2">
      <c r="A132" s="257"/>
      <c r="B132" s="43"/>
      <c r="G132" s="233"/>
      <c r="H132" s="43"/>
      <c r="M132" s="233"/>
    </row>
    <row r="133" spans="1:13" ht="15" x14ac:dyDescent="0.2">
      <c r="A133" s="257"/>
      <c r="B133" s="43"/>
      <c r="G133" s="233"/>
      <c r="H133" s="43"/>
      <c r="M133" s="233"/>
    </row>
    <row r="134" spans="1:13" ht="15" x14ac:dyDescent="0.2">
      <c r="A134" s="257"/>
      <c r="B134" s="43"/>
      <c r="G134" s="233"/>
      <c r="H134" s="43"/>
      <c r="M134" s="233"/>
    </row>
    <row r="135" spans="1:13" ht="15" x14ac:dyDescent="0.2">
      <c r="A135" s="257"/>
      <c r="B135" s="43"/>
      <c r="G135" s="233"/>
      <c r="H135" s="43"/>
      <c r="M135" s="233"/>
    </row>
    <row r="136" spans="1:13" ht="15" x14ac:dyDescent="0.2">
      <c r="A136" s="257"/>
      <c r="B136" s="43"/>
      <c r="G136" s="233"/>
      <c r="H136" s="43"/>
      <c r="M136" s="233"/>
    </row>
    <row r="137" spans="1:13" ht="15" x14ac:dyDescent="0.2">
      <c r="A137" s="257"/>
      <c r="B137" s="43"/>
      <c r="G137" s="233"/>
      <c r="H137" s="43"/>
      <c r="M137" s="233"/>
    </row>
    <row r="138" spans="1:13" ht="15" x14ac:dyDescent="0.2">
      <c r="A138" s="257"/>
      <c r="B138" s="43"/>
      <c r="G138" s="233"/>
      <c r="H138" s="43"/>
      <c r="M138" s="233"/>
    </row>
    <row r="139" spans="1:13" ht="15" x14ac:dyDescent="0.2">
      <c r="A139" s="257"/>
      <c r="B139" s="43"/>
      <c r="G139" s="233"/>
      <c r="H139" s="43"/>
      <c r="M139" s="233"/>
    </row>
    <row r="140" spans="1:13" ht="15" x14ac:dyDescent="0.2">
      <c r="A140" s="257"/>
      <c r="B140" s="43"/>
      <c r="G140" s="233"/>
      <c r="H140" s="43"/>
      <c r="M140" s="233"/>
    </row>
    <row r="141" spans="1:13" ht="15" x14ac:dyDescent="0.2">
      <c r="A141" s="257"/>
      <c r="B141" s="43"/>
      <c r="G141" s="233"/>
      <c r="H141" s="43"/>
      <c r="M141" s="233"/>
    </row>
    <row r="142" spans="1:13" ht="15" x14ac:dyDescent="0.2">
      <c r="A142" s="257"/>
      <c r="B142" s="43"/>
      <c r="G142" s="233"/>
      <c r="H142" s="43"/>
      <c r="M142" s="233"/>
    </row>
    <row r="143" spans="1:13" ht="15" x14ac:dyDescent="0.2">
      <c r="A143" s="257"/>
      <c r="B143" s="43"/>
      <c r="G143" s="233"/>
      <c r="H143" s="43"/>
      <c r="M143" s="233"/>
    </row>
    <row r="144" spans="1:13" ht="15" x14ac:dyDescent="0.2">
      <c r="A144" s="257"/>
      <c r="B144" s="43"/>
      <c r="G144" s="233"/>
      <c r="H144" s="43"/>
      <c r="M144" s="233"/>
    </row>
    <row r="145" spans="1:13" ht="15" x14ac:dyDescent="0.2">
      <c r="A145" s="257"/>
      <c r="B145" s="43"/>
      <c r="G145" s="233"/>
      <c r="H145" s="43"/>
      <c r="M145" s="233"/>
    </row>
    <row r="146" spans="1:13" ht="15" x14ac:dyDescent="0.2">
      <c r="A146" s="257"/>
      <c r="B146" s="43"/>
      <c r="G146" s="233"/>
      <c r="H146" s="43"/>
      <c r="M146" s="233"/>
    </row>
    <row r="147" spans="1:13" ht="15" x14ac:dyDescent="0.2">
      <c r="A147" s="257"/>
      <c r="B147" s="43"/>
      <c r="G147" s="233"/>
      <c r="H147" s="43"/>
      <c r="M147" s="233"/>
    </row>
    <row r="148" spans="1:13" ht="15" x14ac:dyDescent="0.2">
      <c r="A148" s="257"/>
      <c r="B148" s="43"/>
      <c r="G148" s="233"/>
      <c r="H148" s="43"/>
      <c r="M148" s="233"/>
    </row>
    <row r="149" spans="1:13" ht="15" x14ac:dyDescent="0.2">
      <c r="A149" s="257"/>
      <c r="B149" s="43"/>
      <c r="G149" s="233"/>
      <c r="H149" s="43"/>
      <c r="M149" s="233"/>
    </row>
    <row r="150" spans="1:13" ht="15" x14ac:dyDescent="0.2">
      <c r="A150" s="257"/>
      <c r="B150" s="43"/>
      <c r="G150" s="233"/>
      <c r="H150" s="43"/>
      <c r="M150" s="233"/>
    </row>
    <row r="151" spans="1:13" ht="15" x14ac:dyDescent="0.2">
      <c r="A151" s="257"/>
      <c r="B151" s="43"/>
      <c r="G151" s="233"/>
      <c r="H151" s="43"/>
      <c r="M151" s="233"/>
    </row>
    <row r="152" spans="1:13" ht="15" x14ac:dyDescent="0.2">
      <c r="A152" s="257"/>
      <c r="B152" s="43"/>
      <c r="G152" s="233"/>
      <c r="H152" s="43"/>
      <c r="M152" s="233"/>
    </row>
    <row r="153" spans="1:13" ht="15" x14ac:dyDescent="0.2">
      <c r="A153" s="257"/>
      <c r="B153" s="43"/>
      <c r="G153" s="233"/>
      <c r="H153" s="43"/>
      <c r="M153" s="233"/>
    </row>
    <row r="154" spans="1:13" ht="15" x14ac:dyDescent="0.2">
      <c r="A154" s="257"/>
      <c r="B154" s="43"/>
      <c r="G154" s="233"/>
      <c r="H154" s="43"/>
      <c r="M154" s="233"/>
    </row>
    <row r="155" spans="1:13" ht="15" x14ac:dyDescent="0.2">
      <c r="A155" s="257"/>
      <c r="B155" s="43"/>
      <c r="G155" s="233"/>
      <c r="H155" s="43"/>
      <c r="M155" s="233"/>
    </row>
    <row r="156" spans="1:13" ht="15" x14ac:dyDescent="0.2">
      <c r="A156" s="257"/>
      <c r="B156" s="43"/>
      <c r="G156" s="233"/>
      <c r="H156" s="43"/>
      <c r="M156" s="233"/>
    </row>
    <row r="157" spans="1:13" ht="15" x14ac:dyDescent="0.2">
      <c r="A157" s="257"/>
      <c r="B157" s="43"/>
      <c r="G157" s="233"/>
      <c r="H157" s="43"/>
      <c r="M157" s="233"/>
    </row>
    <row r="158" spans="1:13" ht="15" x14ac:dyDescent="0.2">
      <c r="A158" s="257"/>
      <c r="B158" s="43"/>
      <c r="G158" s="233"/>
      <c r="H158" s="43"/>
      <c r="M158" s="233"/>
    </row>
    <row r="159" spans="1:13" ht="15" x14ac:dyDescent="0.2">
      <c r="A159" s="257"/>
      <c r="B159" s="43"/>
      <c r="G159" s="233"/>
      <c r="H159" s="43"/>
      <c r="M159" s="233"/>
    </row>
    <row r="160" spans="1:13" ht="15" x14ac:dyDescent="0.2">
      <c r="A160" s="257"/>
      <c r="B160" s="43"/>
      <c r="G160" s="233"/>
      <c r="H160" s="43"/>
      <c r="M160" s="233"/>
    </row>
    <row r="161" spans="1:13" ht="15" x14ac:dyDescent="0.2">
      <c r="A161" s="257"/>
      <c r="B161" s="43"/>
      <c r="G161" s="233"/>
      <c r="H161" s="43"/>
      <c r="M161" s="233"/>
    </row>
    <row r="162" spans="1:13" ht="15" x14ac:dyDescent="0.2">
      <c r="A162" s="257"/>
      <c r="B162" s="43"/>
      <c r="G162" s="233"/>
      <c r="H162" s="43"/>
      <c r="M162" s="233"/>
    </row>
    <row r="163" spans="1:13" ht="15" x14ac:dyDescent="0.2">
      <c r="A163" s="257"/>
      <c r="B163" s="43"/>
      <c r="G163" s="233"/>
      <c r="H163" s="43"/>
      <c r="M163" s="233"/>
    </row>
    <row r="164" spans="1:13" ht="15" x14ac:dyDescent="0.2">
      <c r="A164" s="257"/>
      <c r="B164" s="43"/>
      <c r="G164" s="233"/>
      <c r="H164" s="43"/>
      <c r="M164" s="233"/>
    </row>
    <row r="165" spans="1:13" ht="15" x14ac:dyDescent="0.2">
      <c r="A165" s="257"/>
      <c r="B165" s="43"/>
      <c r="G165" s="233"/>
      <c r="H165" s="43"/>
      <c r="M165" s="233"/>
    </row>
    <row r="166" spans="1:13" ht="15" x14ac:dyDescent="0.2">
      <c r="A166" s="257"/>
      <c r="B166" s="43"/>
      <c r="G166" s="233"/>
      <c r="H166" s="43"/>
      <c r="M166" s="233"/>
    </row>
    <row r="167" spans="1:13" ht="15" x14ac:dyDescent="0.2">
      <c r="A167" s="257"/>
      <c r="B167" s="43"/>
      <c r="G167" s="233"/>
      <c r="H167" s="43"/>
      <c r="M167" s="233"/>
    </row>
    <row r="168" spans="1:13" ht="15" x14ac:dyDescent="0.2">
      <c r="A168" s="257"/>
      <c r="B168" s="43"/>
      <c r="G168" s="233"/>
      <c r="H168" s="43"/>
      <c r="M168" s="233"/>
    </row>
    <row r="169" spans="1:13" ht="15" x14ac:dyDescent="0.2">
      <c r="A169" s="257"/>
      <c r="B169" s="43"/>
      <c r="G169" s="233"/>
      <c r="H169" s="43"/>
      <c r="M169" s="233"/>
    </row>
    <row r="170" spans="1:13" ht="15" x14ac:dyDescent="0.2">
      <c r="A170" s="257"/>
      <c r="B170" s="43"/>
      <c r="G170" s="233"/>
      <c r="H170" s="43"/>
      <c r="M170" s="233"/>
    </row>
    <row r="171" spans="1:13" ht="15" x14ac:dyDescent="0.2">
      <c r="A171" s="257"/>
      <c r="B171" s="43"/>
      <c r="G171" s="233"/>
      <c r="H171" s="43"/>
      <c r="M171" s="233"/>
    </row>
    <row r="172" spans="1:13" ht="15" x14ac:dyDescent="0.2">
      <c r="A172" s="257"/>
      <c r="B172" s="43"/>
      <c r="G172" s="233"/>
      <c r="H172" s="43"/>
      <c r="M172" s="233"/>
    </row>
    <row r="173" spans="1:13" ht="15" x14ac:dyDescent="0.2">
      <c r="A173" s="257"/>
      <c r="B173" s="43"/>
      <c r="G173" s="233"/>
      <c r="H173" s="43"/>
      <c r="M173" s="233"/>
    </row>
    <row r="174" spans="1:13" ht="15" x14ac:dyDescent="0.2">
      <c r="A174" s="257"/>
      <c r="B174" s="43"/>
      <c r="G174" s="233"/>
      <c r="H174" s="43"/>
      <c r="M174" s="233"/>
    </row>
    <row r="175" spans="1:13" ht="15" x14ac:dyDescent="0.2">
      <c r="A175" s="257"/>
      <c r="B175" s="43"/>
      <c r="G175" s="233"/>
      <c r="H175" s="43"/>
      <c r="M175" s="233"/>
    </row>
    <row r="176" spans="1:13" ht="15" x14ac:dyDescent="0.2">
      <c r="A176" s="257"/>
      <c r="B176" s="43"/>
      <c r="G176" s="233"/>
      <c r="H176" s="43"/>
      <c r="M176" s="233"/>
    </row>
    <row r="177" spans="1:13" ht="15" x14ac:dyDescent="0.2">
      <c r="A177" s="257"/>
      <c r="B177" s="43"/>
      <c r="G177" s="233"/>
      <c r="H177" s="43"/>
      <c r="M177" s="233"/>
    </row>
    <row r="178" spans="1:13" ht="15" x14ac:dyDescent="0.2">
      <c r="A178" s="257"/>
      <c r="B178" s="43"/>
      <c r="G178" s="233"/>
      <c r="H178" s="43"/>
      <c r="M178" s="233"/>
    </row>
    <row r="179" spans="1:13" ht="15" x14ac:dyDescent="0.2">
      <c r="A179" s="257"/>
      <c r="B179" s="43"/>
      <c r="G179" s="233"/>
      <c r="H179" s="43"/>
      <c r="M179" s="233"/>
    </row>
    <row r="180" spans="1:13" ht="15" x14ac:dyDescent="0.2">
      <c r="A180" s="257"/>
      <c r="B180" s="43"/>
      <c r="G180" s="233"/>
      <c r="H180" s="43"/>
      <c r="M180" s="233"/>
    </row>
    <row r="181" spans="1:13" ht="15" x14ac:dyDescent="0.2">
      <c r="A181" s="257"/>
      <c r="B181" s="43"/>
      <c r="G181" s="233"/>
      <c r="H181" s="43"/>
      <c r="M181" s="233"/>
    </row>
    <row r="182" spans="1:13" ht="15" x14ac:dyDescent="0.2">
      <c r="A182" s="257"/>
      <c r="B182" s="43"/>
      <c r="G182" s="233"/>
      <c r="H182" s="43"/>
      <c r="M182" s="233"/>
    </row>
    <row r="183" spans="1:13" ht="15" x14ac:dyDescent="0.2">
      <c r="A183" s="257"/>
      <c r="B183" s="43"/>
      <c r="G183" s="233"/>
      <c r="H183" s="43"/>
      <c r="M183" s="233"/>
    </row>
    <row r="184" spans="1:13" ht="15" x14ac:dyDescent="0.2">
      <c r="A184" s="257"/>
      <c r="B184" s="43"/>
      <c r="G184" s="233"/>
      <c r="H184" s="43"/>
      <c r="M184" s="233"/>
    </row>
    <row r="185" spans="1:13" ht="15" x14ac:dyDescent="0.2">
      <c r="A185" s="257"/>
      <c r="B185" s="43"/>
      <c r="G185" s="233"/>
      <c r="H185" s="43"/>
      <c r="M185" s="233"/>
    </row>
    <row r="186" spans="1:13" ht="15" x14ac:dyDescent="0.2">
      <c r="A186" s="257"/>
      <c r="B186" s="43"/>
      <c r="G186" s="233"/>
      <c r="H186" s="43"/>
      <c r="M186" s="233"/>
    </row>
    <row r="187" spans="1:13" ht="15" x14ac:dyDescent="0.2">
      <c r="A187" s="257"/>
      <c r="B187" s="43"/>
      <c r="G187" s="233"/>
      <c r="H187" s="43"/>
      <c r="M187" s="233"/>
    </row>
    <row r="188" spans="1:13" ht="15" x14ac:dyDescent="0.2">
      <c r="A188" s="257"/>
      <c r="B188" s="43"/>
      <c r="G188" s="233"/>
      <c r="H188" s="43"/>
      <c r="M188" s="233"/>
    </row>
    <row r="189" spans="1:13" ht="15" x14ac:dyDescent="0.2">
      <c r="A189" s="257"/>
      <c r="B189" s="43"/>
      <c r="G189" s="233"/>
      <c r="H189" s="43"/>
      <c r="M189" s="233"/>
    </row>
    <row r="190" spans="1:13" ht="15" x14ac:dyDescent="0.2">
      <c r="A190" s="257"/>
      <c r="B190" s="43"/>
      <c r="G190" s="233"/>
      <c r="H190" s="43"/>
      <c r="M190" s="233"/>
    </row>
    <row r="191" spans="1:13" ht="15" x14ac:dyDescent="0.2">
      <c r="A191" s="257"/>
      <c r="B191" s="43"/>
      <c r="G191" s="233"/>
      <c r="H191" s="43"/>
      <c r="M191" s="233"/>
    </row>
    <row r="192" spans="1:13" ht="15" x14ac:dyDescent="0.2">
      <c r="A192" s="257"/>
      <c r="B192" s="43"/>
      <c r="G192" s="233"/>
      <c r="H192" s="43"/>
      <c r="M192" s="233"/>
    </row>
    <row r="193" spans="1:13" ht="15" x14ac:dyDescent="0.2">
      <c r="A193" s="257"/>
      <c r="B193" s="43"/>
      <c r="G193" s="233"/>
      <c r="H193" s="43"/>
      <c r="M193" s="233"/>
    </row>
    <row r="194" spans="1:13" ht="15" x14ac:dyDescent="0.2">
      <c r="A194" s="257"/>
      <c r="B194" s="43"/>
      <c r="G194" s="233"/>
      <c r="H194" s="43"/>
      <c r="M194" s="233"/>
    </row>
    <row r="195" spans="1:13" ht="15" x14ac:dyDescent="0.2">
      <c r="A195" s="257"/>
      <c r="B195" s="43"/>
      <c r="G195" s="233"/>
      <c r="H195" s="43"/>
      <c r="M195" s="233"/>
    </row>
    <row r="196" spans="1:13" ht="15" x14ac:dyDescent="0.2">
      <c r="A196" s="257"/>
      <c r="B196" s="43"/>
      <c r="G196" s="233"/>
      <c r="H196" s="43"/>
      <c r="M196" s="233"/>
    </row>
    <row r="197" spans="1:13" ht="15" x14ac:dyDescent="0.2">
      <c r="A197" s="257"/>
      <c r="B197" s="43"/>
      <c r="G197" s="233"/>
      <c r="H197" s="43"/>
      <c r="M197" s="233"/>
    </row>
    <row r="198" spans="1:13" ht="15" x14ac:dyDescent="0.2">
      <c r="A198" s="257"/>
      <c r="B198" s="43"/>
      <c r="G198" s="233"/>
      <c r="H198" s="43"/>
      <c r="M198" s="233"/>
    </row>
    <row r="199" spans="1:13" ht="15" x14ac:dyDescent="0.2">
      <c r="A199" s="257"/>
      <c r="B199" s="43"/>
      <c r="G199" s="233"/>
      <c r="H199" s="43"/>
      <c r="M199" s="233"/>
    </row>
    <row r="200" spans="1:13" ht="15" x14ac:dyDescent="0.2">
      <c r="A200" s="257"/>
      <c r="B200" s="43"/>
      <c r="G200" s="233"/>
      <c r="H200" s="43"/>
      <c r="M200" s="233"/>
    </row>
    <row r="201" spans="1:13" ht="15" x14ac:dyDescent="0.2">
      <c r="A201" s="257"/>
      <c r="B201" s="43"/>
      <c r="G201" s="233"/>
      <c r="H201" s="43"/>
      <c r="M201" s="233"/>
    </row>
    <row r="202" spans="1:13" ht="15" x14ac:dyDescent="0.2">
      <c r="A202" s="257"/>
      <c r="B202" s="43"/>
      <c r="G202" s="233"/>
      <c r="H202" s="43"/>
      <c r="M202" s="233"/>
    </row>
    <row r="203" spans="1:13" ht="15" x14ac:dyDescent="0.2">
      <c r="A203" s="257"/>
      <c r="B203" s="43"/>
      <c r="G203" s="233"/>
      <c r="H203" s="43"/>
      <c r="M203" s="233"/>
    </row>
    <row r="204" spans="1:13" ht="15" x14ac:dyDescent="0.2">
      <c r="A204" s="257"/>
      <c r="B204" s="43"/>
      <c r="G204" s="233"/>
      <c r="H204" s="43"/>
      <c r="M204" s="233"/>
    </row>
    <row r="205" spans="1:13" ht="15" x14ac:dyDescent="0.2">
      <c r="A205" s="257"/>
      <c r="B205" s="43"/>
      <c r="G205" s="233"/>
      <c r="H205" s="43"/>
      <c r="M205" s="233"/>
    </row>
    <row r="206" spans="1:13" ht="15" x14ac:dyDescent="0.2">
      <c r="A206" s="257"/>
      <c r="B206" s="43"/>
      <c r="G206" s="233"/>
      <c r="H206" s="43"/>
      <c r="M206" s="233"/>
    </row>
    <row r="207" spans="1:13" ht="15" x14ac:dyDescent="0.2">
      <c r="A207" s="257"/>
      <c r="B207" s="43"/>
      <c r="G207" s="233"/>
      <c r="H207" s="43"/>
      <c r="M207" s="233"/>
    </row>
    <row r="208" spans="1:13" ht="15" x14ac:dyDescent="0.2">
      <c r="A208" s="257"/>
      <c r="B208" s="43"/>
      <c r="G208" s="233"/>
      <c r="H208" s="43"/>
      <c r="M208" s="233"/>
    </row>
    <row r="209" spans="1:13" ht="15" x14ac:dyDescent="0.2">
      <c r="A209" s="257"/>
      <c r="B209" s="43"/>
      <c r="G209" s="233"/>
      <c r="H209" s="43"/>
      <c r="M209" s="233"/>
    </row>
    <row r="210" spans="1:13" ht="15" x14ac:dyDescent="0.2">
      <c r="A210" s="257"/>
      <c r="B210" s="43"/>
      <c r="G210" s="233"/>
      <c r="H210" s="43"/>
      <c r="M210" s="233"/>
    </row>
    <row r="211" spans="1:13" ht="15" x14ac:dyDescent="0.2">
      <c r="A211" s="257"/>
      <c r="B211" s="43"/>
      <c r="G211" s="233"/>
      <c r="H211" s="43"/>
      <c r="M211" s="233"/>
    </row>
    <row r="212" spans="1:13" ht="15" x14ac:dyDescent="0.2">
      <c r="A212" s="257"/>
      <c r="B212" s="43"/>
      <c r="G212" s="233"/>
      <c r="H212" s="43"/>
      <c r="M212" s="233"/>
    </row>
    <row r="213" spans="1:13" ht="15" x14ac:dyDescent="0.2">
      <c r="A213" s="257"/>
      <c r="B213" s="43"/>
      <c r="G213" s="233"/>
      <c r="H213" s="43"/>
      <c r="M213" s="233"/>
    </row>
    <row r="214" spans="1:13" ht="15" x14ac:dyDescent="0.2">
      <c r="A214" s="257"/>
      <c r="B214" s="43"/>
      <c r="G214" s="233"/>
      <c r="H214" s="43"/>
      <c r="M214" s="233"/>
    </row>
    <row r="215" spans="1:13" ht="15" x14ac:dyDescent="0.2">
      <c r="A215" s="257"/>
      <c r="B215" s="43"/>
      <c r="G215" s="233"/>
      <c r="H215" s="43"/>
      <c r="M215" s="233"/>
    </row>
    <row r="216" spans="1:13" ht="15" x14ac:dyDescent="0.2">
      <c r="A216" s="257"/>
      <c r="B216" s="43"/>
      <c r="G216" s="233"/>
      <c r="H216" s="43"/>
      <c r="M216" s="233"/>
    </row>
    <row r="217" spans="1:13" ht="15" x14ac:dyDescent="0.2">
      <c r="A217" s="257"/>
      <c r="B217" s="43"/>
      <c r="G217" s="233"/>
      <c r="H217" s="43"/>
      <c r="M217" s="233"/>
    </row>
    <row r="218" spans="1:13" ht="15" x14ac:dyDescent="0.2">
      <c r="A218" s="257"/>
      <c r="B218" s="43"/>
      <c r="G218" s="233"/>
      <c r="H218" s="43"/>
      <c r="M218" s="233"/>
    </row>
    <row r="219" spans="1:13" ht="15" x14ac:dyDescent="0.2">
      <c r="A219" s="257"/>
      <c r="B219" s="43"/>
      <c r="G219" s="233"/>
      <c r="H219" s="43"/>
      <c r="M219" s="233"/>
    </row>
    <row r="220" spans="1:13" ht="15" x14ac:dyDescent="0.2">
      <c r="A220" s="257"/>
      <c r="B220" s="43"/>
      <c r="G220" s="233"/>
      <c r="H220" s="43"/>
      <c r="M220" s="233"/>
    </row>
    <row r="221" spans="1:13" ht="15" x14ac:dyDescent="0.2">
      <c r="A221" s="257"/>
      <c r="B221" s="43"/>
      <c r="G221" s="233"/>
      <c r="H221" s="43"/>
      <c r="M221" s="233"/>
    </row>
    <row r="222" spans="1:13" ht="15" x14ac:dyDescent="0.2">
      <c r="A222" s="257"/>
      <c r="B222" s="43"/>
      <c r="G222" s="233"/>
      <c r="H222" s="43"/>
      <c r="M222" s="233"/>
    </row>
    <row r="223" spans="1:13" ht="15" x14ac:dyDescent="0.2">
      <c r="A223" s="257"/>
      <c r="B223" s="43"/>
      <c r="G223" s="233"/>
      <c r="H223" s="43"/>
      <c r="M223" s="233"/>
    </row>
    <row r="224" spans="1:13" ht="15" x14ac:dyDescent="0.2">
      <c r="A224" s="257"/>
      <c r="B224" s="43"/>
      <c r="G224" s="233"/>
      <c r="H224" s="43"/>
      <c r="M224" s="233"/>
    </row>
    <row r="225" spans="1:13" ht="15" x14ac:dyDescent="0.2">
      <c r="A225" s="257"/>
      <c r="B225" s="43"/>
      <c r="G225" s="233"/>
      <c r="H225" s="43"/>
      <c r="M225" s="233"/>
    </row>
    <row r="226" spans="1:13" ht="15" x14ac:dyDescent="0.2">
      <c r="A226" s="257"/>
      <c r="B226" s="43"/>
      <c r="G226" s="233"/>
      <c r="H226" s="43"/>
      <c r="M226" s="233"/>
    </row>
    <row r="227" spans="1:13" ht="15" x14ac:dyDescent="0.2">
      <c r="A227" s="257"/>
      <c r="B227" s="43"/>
      <c r="G227" s="233"/>
      <c r="H227" s="43"/>
      <c r="M227" s="233"/>
    </row>
    <row r="228" spans="1:13" ht="15" x14ac:dyDescent="0.2">
      <c r="A228" s="257"/>
      <c r="B228" s="43"/>
      <c r="G228" s="233"/>
      <c r="H228" s="43"/>
      <c r="M228" s="233"/>
    </row>
    <row r="229" spans="1:13" ht="15" x14ac:dyDescent="0.2">
      <c r="A229" s="257"/>
      <c r="B229" s="43"/>
      <c r="G229" s="233"/>
      <c r="H229" s="43"/>
      <c r="M229" s="233"/>
    </row>
    <row r="230" spans="1:13" ht="15" x14ac:dyDescent="0.2">
      <c r="A230" s="257"/>
      <c r="B230" s="43"/>
      <c r="G230" s="233"/>
      <c r="H230" s="43"/>
      <c r="M230" s="233"/>
    </row>
    <row r="231" spans="1:13" ht="15" x14ac:dyDescent="0.2">
      <c r="A231" s="257"/>
      <c r="B231" s="43"/>
      <c r="G231" s="233"/>
      <c r="H231" s="43"/>
      <c r="M231" s="233"/>
    </row>
    <row r="232" spans="1:13" ht="15" x14ac:dyDescent="0.2">
      <c r="A232" s="257"/>
      <c r="B232" s="43"/>
      <c r="G232" s="233"/>
      <c r="H232" s="43"/>
      <c r="M232" s="233"/>
    </row>
    <row r="233" spans="1:13" ht="15" x14ac:dyDescent="0.2">
      <c r="A233" s="257"/>
      <c r="B233" s="43"/>
      <c r="G233" s="233"/>
      <c r="H233" s="43"/>
      <c r="M233" s="233"/>
    </row>
    <row r="234" spans="1:13" ht="15" x14ac:dyDescent="0.2">
      <c r="A234" s="257"/>
      <c r="B234" s="43"/>
      <c r="G234" s="233"/>
      <c r="H234" s="43"/>
      <c r="M234" s="233"/>
    </row>
    <row r="235" spans="1:13" ht="15" x14ac:dyDescent="0.2">
      <c r="A235" s="257"/>
      <c r="B235" s="43"/>
      <c r="G235" s="233"/>
      <c r="H235" s="43"/>
      <c r="M235" s="233"/>
    </row>
    <row r="236" spans="1:13" ht="15" x14ac:dyDescent="0.2">
      <c r="A236" s="257"/>
      <c r="B236" s="43"/>
      <c r="G236" s="233"/>
      <c r="H236" s="43"/>
      <c r="M236" s="233"/>
    </row>
    <row r="237" spans="1:13" ht="15" x14ac:dyDescent="0.2">
      <c r="A237" s="257"/>
      <c r="B237" s="43"/>
      <c r="G237" s="233"/>
      <c r="H237" s="43"/>
      <c r="M237" s="233"/>
    </row>
    <row r="238" spans="1:13" ht="15" x14ac:dyDescent="0.2">
      <c r="A238" s="257"/>
      <c r="B238" s="43"/>
      <c r="G238" s="233"/>
      <c r="H238" s="43"/>
      <c r="M238" s="233"/>
    </row>
    <row r="239" spans="1:13" ht="15" x14ac:dyDescent="0.2">
      <c r="A239" s="257"/>
      <c r="B239" s="43"/>
      <c r="G239" s="233"/>
      <c r="H239" s="43"/>
      <c r="M239" s="233"/>
    </row>
    <row r="240" spans="1:13" ht="15" x14ac:dyDescent="0.2">
      <c r="A240" s="257"/>
      <c r="B240" s="43"/>
      <c r="G240" s="233"/>
      <c r="H240" s="43"/>
      <c r="M240" s="233"/>
    </row>
    <row r="241" spans="1:13" ht="15" x14ac:dyDescent="0.2">
      <c r="A241" s="257"/>
      <c r="B241" s="43"/>
      <c r="G241" s="233"/>
      <c r="H241" s="43"/>
      <c r="M241" s="233"/>
    </row>
    <row r="242" spans="1:13" ht="15" x14ac:dyDescent="0.2">
      <c r="A242" s="257"/>
      <c r="B242" s="43"/>
      <c r="G242" s="233"/>
      <c r="H242" s="43"/>
      <c r="M242" s="233"/>
    </row>
    <row r="243" spans="1:13" ht="15" x14ac:dyDescent="0.2">
      <c r="A243" s="257"/>
      <c r="B243" s="43"/>
      <c r="G243" s="233"/>
      <c r="H243" s="43"/>
      <c r="M243" s="233"/>
    </row>
    <row r="244" spans="1:13" ht="15" x14ac:dyDescent="0.2">
      <c r="A244" s="257"/>
      <c r="B244" s="43"/>
      <c r="G244" s="233"/>
      <c r="H244" s="43"/>
      <c r="M244" s="233"/>
    </row>
    <row r="245" spans="1:13" ht="15" x14ac:dyDescent="0.2">
      <c r="A245" s="257"/>
      <c r="B245" s="43"/>
      <c r="G245" s="233"/>
      <c r="H245" s="43"/>
      <c r="M245" s="233"/>
    </row>
    <row r="246" spans="1:13" ht="15" x14ac:dyDescent="0.2">
      <c r="A246" s="257"/>
      <c r="B246" s="43"/>
      <c r="G246" s="233"/>
      <c r="H246" s="43"/>
      <c r="M246" s="233"/>
    </row>
    <row r="247" spans="1:13" ht="15" x14ac:dyDescent="0.2">
      <c r="A247" s="257"/>
      <c r="B247" s="43"/>
      <c r="G247" s="233"/>
      <c r="H247" s="43"/>
      <c r="M247" s="233"/>
    </row>
    <row r="248" spans="1:13" ht="15" x14ac:dyDescent="0.2">
      <c r="A248" s="257"/>
      <c r="B248" s="43"/>
      <c r="G248" s="233"/>
      <c r="H248" s="43"/>
      <c r="M248" s="233"/>
    </row>
    <row r="249" spans="1:13" ht="15" x14ac:dyDescent="0.2">
      <c r="A249" s="257"/>
      <c r="B249" s="43"/>
      <c r="G249" s="233"/>
      <c r="H249" s="43"/>
      <c r="M249" s="233"/>
    </row>
    <row r="250" spans="1:13" ht="15" x14ac:dyDescent="0.2">
      <c r="A250" s="257"/>
      <c r="B250" s="43"/>
      <c r="G250" s="233"/>
      <c r="H250" s="43"/>
      <c r="M250" s="233"/>
    </row>
    <row r="251" spans="1:13" ht="15" x14ac:dyDescent="0.2">
      <c r="A251" s="257"/>
      <c r="B251" s="43"/>
      <c r="G251" s="233"/>
      <c r="H251" s="43"/>
      <c r="M251" s="233"/>
    </row>
    <row r="252" spans="1:13" ht="15" x14ac:dyDescent="0.2">
      <c r="A252" s="257"/>
      <c r="B252" s="43"/>
      <c r="G252" s="233"/>
      <c r="H252" s="43"/>
      <c r="M252" s="233"/>
    </row>
    <row r="253" spans="1:13" ht="15" x14ac:dyDescent="0.2">
      <c r="A253" s="257"/>
      <c r="B253" s="43"/>
      <c r="G253" s="233"/>
      <c r="H253" s="43"/>
      <c r="M253" s="233"/>
    </row>
    <row r="254" spans="1:13" ht="15" x14ac:dyDescent="0.2">
      <c r="A254" s="257"/>
      <c r="B254" s="43"/>
      <c r="G254" s="233"/>
      <c r="H254" s="43"/>
      <c r="M254" s="233"/>
    </row>
    <row r="255" spans="1:13" ht="15" x14ac:dyDescent="0.2">
      <c r="A255" s="257"/>
      <c r="B255" s="43"/>
      <c r="G255" s="233"/>
      <c r="H255" s="43"/>
      <c r="M255" s="233"/>
    </row>
    <row r="256" spans="1:13" ht="15" x14ac:dyDescent="0.2">
      <c r="A256" s="257"/>
      <c r="B256" s="43"/>
      <c r="G256" s="233"/>
      <c r="H256" s="43"/>
      <c r="M256" s="233"/>
    </row>
    <row r="257" spans="1:13" ht="15" x14ac:dyDescent="0.2">
      <c r="A257" s="257"/>
      <c r="B257" s="43"/>
      <c r="G257" s="233"/>
      <c r="H257" s="43"/>
      <c r="M257" s="233"/>
    </row>
    <row r="258" spans="1:13" ht="15" x14ac:dyDescent="0.2">
      <c r="A258" s="257"/>
      <c r="B258" s="43"/>
      <c r="G258" s="233"/>
      <c r="H258" s="43"/>
      <c r="M258" s="233"/>
    </row>
    <row r="259" spans="1:13" ht="15" x14ac:dyDescent="0.2">
      <c r="A259" s="257"/>
      <c r="B259" s="43"/>
      <c r="G259" s="233"/>
      <c r="H259" s="43"/>
      <c r="M259" s="233"/>
    </row>
    <row r="260" spans="1:13" ht="15" x14ac:dyDescent="0.2">
      <c r="A260" s="257"/>
      <c r="B260" s="43"/>
      <c r="G260" s="233"/>
      <c r="H260" s="43"/>
      <c r="M260" s="233"/>
    </row>
    <row r="261" spans="1:13" ht="15" x14ac:dyDescent="0.2">
      <c r="A261" s="257"/>
      <c r="B261" s="43"/>
      <c r="G261" s="233"/>
      <c r="H261" s="43"/>
      <c r="M261" s="233"/>
    </row>
    <row r="262" spans="1:13" ht="15" x14ac:dyDescent="0.2">
      <c r="A262" s="257"/>
      <c r="B262" s="43"/>
      <c r="G262" s="233"/>
      <c r="H262" s="43"/>
      <c r="M262" s="233"/>
    </row>
    <row r="263" spans="1:13" ht="15" x14ac:dyDescent="0.2">
      <c r="A263" s="257"/>
      <c r="B263" s="43"/>
      <c r="G263" s="233"/>
      <c r="H263" s="43"/>
      <c r="M263" s="233"/>
    </row>
    <row r="264" spans="1:13" ht="15" x14ac:dyDescent="0.2">
      <c r="A264" s="257"/>
      <c r="B264" s="43"/>
      <c r="G264" s="233"/>
      <c r="H264" s="43"/>
      <c r="M264" s="233"/>
    </row>
    <row r="265" spans="1:13" ht="15" x14ac:dyDescent="0.2">
      <c r="A265" s="257"/>
      <c r="B265" s="43"/>
      <c r="G265" s="233"/>
      <c r="H265" s="43"/>
      <c r="M265" s="233"/>
    </row>
    <row r="266" spans="1:13" ht="15" x14ac:dyDescent="0.2">
      <c r="A266" s="257"/>
      <c r="B266" s="43"/>
      <c r="G266" s="233"/>
      <c r="H266" s="43"/>
      <c r="M266" s="233"/>
    </row>
    <row r="267" spans="1:13" ht="15" x14ac:dyDescent="0.2">
      <c r="A267" s="257"/>
      <c r="B267" s="43"/>
      <c r="G267" s="233"/>
      <c r="H267" s="43"/>
      <c r="M267" s="233"/>
    </row>
    <row r="268" spans="1:13" ht="15" x14ac:dyDescent="0.2">
      <c r="A268" s="257"/>
      <c r="B268" s="43"/>
      <c r="G268" s="233"/>
      <c r="H268" s="43"/>
      <c r="M268" s="233"/>
    </row>
    <row r="269" spans="1:13" ht="15" x14ac:dyDescent="0.2">
      <c r="A269" s="257"/>
      <c r="B269" s="43"/>
      <c r="G269" s="233"/>
      <c r="H269" s="43"/>
      <c r="M269" s="233"/>
    </row>
    <row r="270" spans="1:13" ht="15" x14ac:dyDescent="0.2">
      <c r="A270" s="257"/>
      <c r="B270" s="43"/>
      <c r="G270" s="233"/>
      <c r="H270" s="43"/>
      <c r="M270" s="233"/>
    </row>
    <row r="271" spans="1:13" ht="15" x14ac:dyDescent="0.2">
      <c r="A271" s="257"/>
      <c r="B271" s="43"/>
      <c r="G271" s="233"/>
      <c r="H271" s="43"/>
      <c r="M271" s="233"/>
    </row>
    <row r="272" spans="1:13" ht="15" x14ac:dyDescent="0.2">
      <c r="A272" s="257"/>
      <c r="B272" s="43"/>
      <c r="G272" s="233"/>
      <c r="H272" s="43"/>
      <c r="M272" s="233"/>
    </row>
    <row r="273" spans="1:13" ht="15" x14ac:dyDescent="0.2">
      <c r="A273" s="257"/>
      <c r="B273" s="43"/>
      <c r="G273" s="233"/>
      <c r="H273" s="43"/>
      <c r="M273" s="233"/>
    </row>
    <row r="274" spans="1:13" ht="15" x14ac:dyDescent="0.2">
      <c r="A274" s="257"/>
      <c r="B274" s="43"/>
      <c r="G274" s="233"/>
      <c r="H274" s="43"/>
      <c r="M274" s="233"/>
    </row>
    <row r="275" spans="1:13" ht="15" x14ac:dyDescent="0.2">
      <c r="A275" s="257"/>
      <c r="B275" s="43"/>
      <c r="G275" s="233"/>
      <c r="H275" s="43"/>
      <c r="M275" s="233"/>
    </row>
    <row r="276" spans="1:13" ht="15" x14ac:dyDescent="0.2">
      <c r="A276" s="257"/>
      <c r="B276" s="43"/>
      <c r="G276" s="233"/>
      <c r="H276" s="43"/>
      <c r="M276" s="233"/>
    </row>
    <row r="277" spans="1:13" ht="15" x14ac:dyDescent="0.2">
      <c r="A277" s="257"/>
      <c r="B277" s="43"/>
      <c r="G277" s="233"/>
      <c r="H277" s="43"/>
      <c r="M277" s="233"/>
    </row>
    <row r="278" spans="1:13" ht="15" x14ac:dyDescent="0.2">
      <c r="A278" s="257"/>
      <c r="B278" s="43"/>
      <c r="G278" s="233"/>
      <c r="H278" s="43"/>
      <c r="M278" s="233"/>
    </row>
    <row r="279" spans="1:13" ht="15" x14ac:dyDescent="0.2">
      <c r="A279" s="257"/>
      <c r="B279" s="43"/>
      <c r="G279" s="233"/>
      <c r="H279" s="43"/>
      <c r="M279" s="233"/>
    </row>
    <row r="280" spans="1:13" ht="15" x14ac:dyDescent="0.2">
      <c r="A280" s="257"/>
      <c r="B280" s="43"/>
      <c r="G280" s="233"/>
      <c r="H280" s="43"/>
      <c r="M280" s="233"/>
    </row>
    <row r="281" spans="1:13" ht="15" x14ac:dyDescent="0.2">
      <c r="A281" s="257"/>
      <c r="B281" s="43"/>
      <c r="G281" s="233"/>
      <c r="H281" s="43"/>
      <c r="M281" s="233"/>
    </row>
    <row r="282" spans="1:13" ht="15" x14ac:dyDescent="0.2">
      <c r="A282" s="257"/>
      <c r="B282" s="43"/>
      <c r="G282" s="233"/>
      <c r="H282" s="43"/>
      <c r="M282" s="233"/>
    </row>
    <row r="283" spans="1:13" ht="15" x14ac:dyDescent="0.2">
      <c r="A283" s="257"/>
      <c r="B283" s="43"/>
      <c r="G283" s="233"/>
      <c r="H283" s="43"/>
      <c r="M283" s="233"/>
    </row>
    <row r="284" spans="1:13" ht="15" x14ac:dyDescent="0.2">
      <c r="A284" s="257"/>
      <c r="B284" s="43"/>
      <c r="G284" s="233"/>
      <c r="H284" s="43"/>
      <c r="M284" s="233"/>
    </row>
    <row r="285" spans="1:13" ht="15" x14ac:dyDescent="0.2">
      <c r="A285" s="257"/>
      <c r="B285" s="43"/>
      <c r="G285" s="233"/>
      <c r="H285" s="43"/>
      <c r="M285" s="233"/>
    </row>
    <row r="286" spans="1:13" ht="15" x14ac:dyDescent="0.2">
      <c r="A286" s="257"/>
      <c r="B286" s="43"/>
      <c r="G286" s="233"/>
      <c r="H286" s="43"/>
      <c r="M286" s="233"/>
    </row>
    <row r="287" spans="1:13" ht="15" x14ac:dyDescent="0.2">
      <c r="A287" s="257"/>
      <c r="B287" s="43"/>
      <c r="G287" s="233"/>
      <c r="H287" s="43"/>
      <c r="M287" s="233"/>
    </row>
    <row r="288" spans="1:13" ht="15" x14ac:dyDescent="0.2">
      <c r="A288" s="257"/>
      <c r="B288" s="43"/>
      <c r="G288" s="233"/>
      <c r="H288" s="43"/>
      <c r="M288" s="233"/>
    </row>
    <row r="289" spans="1:13" ht="15" x14ac:dyDescent="0.2">
      <c r="A289" s="257"/>
      <c r="B289" s="43"/>
      <c r="G289" s="233"/>
      <c r="H289" s="43"/>
      <c r="M289" s="233"/>
    </row>
    <row r="290" spans="1:13" ht="15" x14ac:dyDescent="0.2">
      <c r="A290" s="257"/>
      <c r="B290" s="43"/>
      <c r="G290" s="233"/>
      <c r="H290" s="43"/>
      <c r="M290" s="233"/>
    </row>
    <row r="291" spans="1:13" ht="15" x14ac:dyDescent="0.2">
      <c r="A291" s="257"/>
      <c r="B291" s="43"/>
      <c r="G291" s="233"/>
      <c r="H291" s="43"/>
      <c r="M291" s="233"/>
    </row>
    <row r="292" spans="1:13" ht="15" x14ac:dyDescent="0.2">
      <c r="A292" s="257"/>
      <c r="B292" s="43"/>
      <c r="G292" s="233"/>
      <c r="H292" s="43"/>
      <c r="M292" s="233"/>
    </row>
    <row r="293" spans="1:13" ht="15" x14ac:dyDescent="0.2">
      <c r="A293" s="257"/>
      <c r="B293" s="43"/>
      <c r="G293" s="233"/>
      <c r="H293" s="43"/>
      <c r="M293" s="233"/>
    </row>
    <row r="294" spans="1:13" ht="15" x14ac:dyDescent="0.2">
      <c r="A294" s="257"/>
      <c r="B294" s="43"/>
      <c r="G294" s="233"/>
      <c r="H294" s="43"/>
      <c r="M294" s="233"/>
    </row>
    <row r="295" spans="1:13" ht="15" x14ac:dyDescent="0.2">
      <c r="A295" s="257"/>
      <c r="B295" s="43"/>
      <c r="G295" s="233"/>
      <c r="H295" s="43"/>
      <c r="M295" s="233"/>
    </row>
    <row r="296" spans="1:13" ht="15" x14ac:dyDescent="0.2">
      <c r="A296" s="257"/>
      <c r="B296" s="43"/>
      <c r="G296" s="233"/>
      <c r="H296" s="43"/>
      <c r="M296" s="233"/>
    </row>
    <row r="297" spans="1:13" ht="15" x14ac:dyDescent="0.2">
      <c r="A297" s="257"/>
      <c r="B297" s="43"/>
      <c r="G297" s="233"/>
      <c r="H297" s="43"/>
      <c r="M297" s="233"/>
    </row>
    <row r="298" spans="1:13" ht="15" x14ac:dyDescent="0.2">
      <c r="A298" s="257"/>
      <c r="B298" s="43"/>
      <c r="G298" s="233"/>
      <c r="H298" s="43"/>
      <c r="M298" s="233"/>
    </row>
    <row r="299" spans="1:13" ht="15" x14ac:dyDescent="0.2">
      <c r="A299" s="257"/>
      <c r="B299" s="43"/>
      <c r="G299" s="233"/>
      <c r="H299" s="43"/>
      <c r="M299" s="233"/>
    </row>
    <row r="300" spans="1:13" ht="15" x14ac:dyDescent="0.2">
      <c r="A300" s="257"/>
      <c r="B300" s="43"/>
      <c r="G300" s="233"/>
      <c r="H300" s="43"/>
      <c r="M300" s="233"/>
    </row>
    <row r="301" spans="1:13" ht="15" x14ac:dyDescent="0.2">
      <c r="A301" s="257"/>
      <c r="B301" s="43"/>
      <c r="G301" s="233"/>
      <c r="H301" s="43"/>
      <c r="M301" s="233"/>
    </row>
    <row r="302" spans="1:13" ht="15" x14ac:dyDescent="0.2">
      <c r="A302" s="257"/>
      <c r="B302" s="43"/>
      <c r="G302" s="233"/>
      <c r="H302" s="43"/>
      <c r="M302" s="233"/>
    </row>
    <row r="303" spans="1:13" ht="15" x14ac:dyDescent="0.2">
      <c r="A303" s="257"/>
      <c r="B303" s="43"/>
      <c r="G303" s="233"/>
      <c r="H303" s="43"/>
      <c r="M303" s="233"/>
    </row>
    <row r="304" spans="1:13" ht="15" x14ac:dyDescent="0.2">
      <c r="A304" s="257"/>
      <c r="B304" s="43"/>
      <c r="G304" s="233"/>
      <c r="H304" s="43"/>
      <c r="M304" s="233"/>
    </row>
    <row r="305" spans="1:13" ht="15" x14ac:dyDescent="0.2">
      <c r="A305" s="257"/>
      <c r="B305" s="43"/>
      <c r="G305" s="233"/>
      <c r="H305" s="43"/>
      <c r="M305" s="233"/>
    </row>
    <row r="306" spans="1:13" ht="15" x14ac:dyDescent="0.2">
      <c r="A306" s="257"/>
      <c r="B306" s="43"/>
      <c r="G306" s="233"/>
      <c r="H306" s="43"/>
      <c r="M306" s="233"/>
    </row>
    <row r="307" spans="1:13" ht="15" x14ac:dyDescent="0.2">
      <c r="A307" s="257"/>
      <c r="B307" s="43"/>
      <c r="G307" s="233"/>
      <c r="H307" s="43"/>
      <c r="M307" s="233"/>
    </row>
    <row r="308" spans="1:13" ht="15" x14ac:dyDescent="0.2">
      <c r="A308" s="257"/>
      <c r="B308" s="43"/>
      <c r="G308" s="233"/>
      <c r="H308" s="43"/>
      <c r="M308" s="233"/>
    </row>
    <row r="309" spans="1:13" ht="15" x14ac:dyDescent="0.2">
      <c r="A309" s="257"/>
      <c r="B309" s="43"/>
      <c r="G309" s="233"/>
      <c r="H309" s="43"/>
      <c r="M309" s="233"/>
    </row>
    <row r="310" spans="1:13" ht="15" x14ac:dyDescent="0.2">
      <c r="A310" s="257"/>
      <c r="B310" s="43"/>
      <c r="G310" s="233"/>
      <c r="H310" s="43"/>
      <c r="M310" s="233"/>
    </row>
    <row r="311" spans="1:13" ht="15" x14ac:dyDescent="0.2">
      <c r="A311" s="257"/>
      <c r="B311" s="43"/>
      <c r="G311" s="233"/>
      <c r="H311" s="43"/>
      <c r="M311" s="233"/>
    </row>
    <row r="312" spans="1:13" ht="15" x14ac:dyDescent="0.2">
      <c r="A312" s="257"/>
      <c r="B312" s="43"/>
      <c r="G312" s="233"/>
      <c r="H312" s="43"/>
      <c r="M312" s="233"/>
    </row>
    <row r="313" spans="1:13" ht="15" x14ac:dyDescent="0.2">
      <c r="A313" s="257"/>
      <c r="B313" s="43"/>
      <c r="G313" s="233"/>
      <c r="H313" s="43"/>
      <c r="M313" s="233"/>
    </row>
    <row r="314" spans="1:13" ht="15" x14ac:dyDescent="0.2">
      <c r="A314" s="257"/>
      <c r="B314" s="43"/>
      <c r="G314" s="233"/>
      <c r="H314" s="43"/>
      <c r="M314" s="233"/>
    </row>
    <row r="315" spans="1:13" ht="15" x14ac:dyDescent="0.2">
      <c r="A315" s="257"/>
      <c r="B315" s="43"/>
      <c r="G315" s="233"/>
      <c r="H315" s="43"/>
      <c r="M315" s="233"/>
    </row>
    <row r="316" spans="1:13" ht="15" x14ac:dyDescent="0.2">
      <c r="A316" s="257"/>
      <c r="B316" s="43"/>
      <c r="G316" s="233"/>
      <c r="H316" s="43"/>
      <c r="M316" s="233"/>
    </row>
    <row r="317" spans="1:13" ht="15" x14ac:dyDescent="0.2">
      <c r="A317" s="257"/>
      <c r="B317" s="43"/>
      <c r="G317" s="233"/>
      <c r="H317" s="43"/>
      <c r="M317" s="233"/>
    </row>
    <row r="318" spans="1:13" ht="15" x14ac:dyDescent="0.2">
      <c r="A318" s="257"/>
      <c r="B318" s="43"/>
      <c r="G318" s="233"/>
      <c r="H318" s="43"/>
      <c r="M318" s="233"/>
    </row>
    <row r="319" spans="1:13" ht="15" x14ac:dyDescent="0.2">
      <c r="A319" s="257"/>
      <c r="B319" s="43"/>
      <c r="G319" s="233"/>
      <c r="H319" s="43"/>
      <c r="M319" s="233"/>
    </row>
    <row r="320" spans="1:13" ht="15" x14ac:dyDescent="0.2">
      <c r="A320" s="257"/>
      <c r="B320" s="43"/>
      <c r="G320" s="233"/>
      <c r="H320" s="43"/>
      <c r="M320" s="233"/>
    </row>
    <row r="321" spans="1:13" ht="15" x14ac:dyDescent="0.2">
      <c r="A321" s="257"/>
      <c r="B321" s="43"/>
      <c r="G321" s="233"/>
      <c r="H321" s="43"/>
      <c r="M321" s="233"/>
    </row>
    <row r="322" spans="1:13" ht="15" x14ac:dyDescent="0.2">
      <c r="A322" s="257"/>
      <c r="B322" s="43"/>
      <c r="G322" s="233"/>
      <c r="H322" s="43"/>
      <c r="M322" s="233"/>
    </row>
    <row r="323" spans="1:13" ht="15" x14ac:dyDescent="0.2">
      <c r="A323" s="257"/>
      <c r="B323" s="43"/>
      <c r="G323" s="233"/>
      <c r="H323" s="43"/>
      <c r="M323" s="233"/>
    </row>
    <row r="324" spans="1:13" ht="15" x14ac:dyDescent="0.2">
      <c r="A324" s="257"/>
      <c r="B324" s="43"/>
      <c r="G324" s="233"/>
      <c r="H324" s="43"/>
      <c r="M324" s="233"/>
    </row>
    <row r="325" spans="1:13" ht="15" x14ac:dyDescent="0.2">
      <c r="A325" s="257"/>
      <c r="B325" s="43"/>
      <c r="G325" s="233"/>
      <c r="H325" s="43"/>
      <c r="M325" s="233"/>
    </row>
    <row r="326" spans="1:13" ht="15" x14ac:dyDescent="0.2">
      <c r="A326" s="257"/>
      <c r="B326" s="43"/>
      <c r="G326" s="233"/>
      <c r="H326" s="43"/>
      <c r="M326" s="233"/>
    </row>
    <row r="327" spans="1:13" ht="15" x14ac:dyDescent="0.2">
      <c r="A327" s="257"/>
      <c r="B327" s="43"/>
      <c r="G327" s="233"/>
      <c r="H327" s="43"/>
      <c r="M327" s="233"/>
    </row>
    <row r="328" spans="1:13" ht="15" x14ac:dyDescent="0.2">
      <c r="A328" s="257"/>
      <c r="B328" s="43"/>
      <c r="G328" s="233"/>
      <c r="H328" s="43"/>
      <c r="M328" s="233"/>
    </row>
    <row r="329" spans="1:13" ht="15" x14ac:dyDescent="0.2">
      <c r="A329" s="257"/>
      <c r="B329" s="43"/>
      <c r="G329" s="233"/>
      <c r="H329" s="43"/>
      <c r="M329" s="233"/>
    </row>
    <row r="330" spans="1:13" ht="15" x14ac:dyDescent="0.2">
      <c r="A330" s="257"/>
      <c r="B330" s="43"/>
      <c r="G330" s="233"/>
      <c r="H330" s="43"/>
      <c r="M330" s="233"/>
    </row>
    <row r="331" spans="1:13" ht="15" x14ac:dyDescent="0.2">
      <c r="A331" s="257"/>
      <c r="B331" s="43"/>
      <c r="G331" s="233"/>
      <c r="H331" s="43"/>
      <c r="M331" s="233"/>
    </row>
    <row r="332" spans="1:13" ht="15" x14ac:dyDescent="0.2">
      <c r="A332" s="257"/>
      <c r="B332" s="43"/>
      <c r="G332" s="233"/>
      <c r="H332" s="43"/>
      <c r="M332" s="233"/>
    </row>
    <row r="333" spans="1:13" ht="15" x14ac:dyDescent="0.2">
      <c r="A333" s="257"/>
      <c r="B333" s="43"/>
      <c r="G333" s="233"/>
      <c r="H333" s="43"/>
      <c r="M333" s="233"/>
    </row>
    <row r="334" spans="1:13" ht="15" x14ac:dyDescent="0.2">
      <c r="A334" s="257"/>
      <c r="B334" s="43"/>
      <c r="G334" s="233"/>
      <c r="H334" s="43"/>
      <c r="M334" s="233"/>
    </row>
    <row r="335" spans="1:13" ht="15" x14ac:dyDescent="0.2">
      <c r="A335" s="257"/>
      <c r="B335" s="43"/>
      <c r="G335" s="233"/>
      <c r="H335" s="43"/>
      <c r="M335" s="233"/>
    </row>
    <row r="336" spans="1:13" ht="15" x14ac:dyDescent="0.2">
      <c r="A336" s="257"/>
      <c r="B336" s="43"/>
      <c r="G336" s="233"/>
      <c r="H336" s="43"/>
      <c r="M336" s="233"/>
    </row>
    <row r="337" spans="1:13" ht="15" x14ac:dyDescent="0.2">
      <c r="A337" s="257"/>
      <c r="B337" s="43"/>
      <c r="G337" s="233"/>
      <c r="H337" s="43"/>
      <c r="M337" s="233"/>
    </row>
    <row r="338" spans="1:13" ht="15" x14ac:dyDescent="0.2">
      <c r="A338" s="257"/>
      <c r="B338" s="43"/>
      <c r="G338" s="233"/>
      <c r="H338" s="43"/>
      <c r="M338" s="233"/>
    </row>
    <row r="339" spans="1:13" ht="15" x14ac:dyDescent="0.2">
      <c r="A339" s="257"/>
      <c r="B339" s="43"/>
      <c r="G339" s="233"/>
      <c r="H339" s="43"/>
      <c r="M339" s="233"/>
    </row>
    <row r="340" spans="1:13" ht="15" x14ac:dyDescent="0.2">
      <c r="A340" s="257"/>
      <c r="B340" s="43"/>
      <c r="G340" s="233"/>
      <c r="H340" s="43"/>
      <c r="M340" s="233"/>
    </row>
    <row r="341" spans="1:13" ht="15" x14ac:dyDescent="0.2">
      <c r="A341" s="257"/>
      <c r="B341" s="43"/>
      <c r="G341" s="233"/>
      <c r="H341" s="43"/>
      <c r="M341" s="233"/>
    </row>
    <row r="342" spans="1:13" ht="15" x14ac:dyDescent="0.2">
      <c r="A342" s="257"/>
      <c r="B342" s="43"/>
      <c r="G342" s="233"/>
      <c r="H342" s="43"/>
      <c r="M342" s="233"/>
    </row>
    <row r="343" spans="1:13" ht="15" x14ac:dyDescent="0.2">
      <c r="A343" s="257"/>
      <c r="B343" s="43"/>
      <c r="G343" s="233"/>
      <c r="H343" s="43"/>
      <c r="M343" s="233"/>
    </row>
    <row r="344" spans="1:13" ht="15" x14ac:dyDescent="0.2">
      <c r="A344" s="257"/>
      <c r="B344" s="43"/>
      <c r="G344" s="233"/>
      <c r="H344" s="43"/>
      <c r="M344" s="233"/>
    </row>
    <row r="345" spans="1:13" ht="15" x14ac:dyDescent="0.2">
      <c r="A345" s="257"/>
      <c r="B345" s="43"/>
      <c r="G345" s="233"/>
      <c r="H345" s="43"/>
      <c r="M345" s="233"/>
    </row>
    <row r="346" spans="1:13" ht="15" x14ac:dyDescent="0.2">
      <c r="A346" s="257"/>
      <c r="B346" s="43"/>
      <c r="G346" s="233"/>
      <c r="H346" s="43"/>
      <c r="M346" s="233"/>
    </row>
    <row r="347" spans="1:13" ht="15" x14ac:dyDescent="0.2">
      <c r="A347" s="257"/>
      <c r="B347" s="43"/>
      <c r="G347" s="233"/>
      <c r="H347" s="43"/>
      <c r="M347" s="233"/>
    </row>
    <row r="348" spans="1:13" ht="15" x14ac:dyDescent="0.2">
      <c r="A348" s="257"/>
      <c r="B348" s="43"/>
      <c r="G348" s="233"/>
      <c r="H348" s="43"/>
      <c r="M348" s="233"/>
    </row>
    <row r="349" spans="1:13" ht="15" x14ac:dyDescent="0.2">
      <c r="A349" s="257"/>
      <c r="B349" s="43"/>
      <c r="G349" s="233"/>
      <c r="H349" s="43"/>
      <c r="M349" s="233"/>
    </row>
    <row r="350" spans="1:13" ht="15" x14ac:dyDescent="0.2">
      <c r="A350" s="257"/>
      <c r="B350" s="43"/>
      <c r="G350" s="233"/>
      <c r="H350" s="43"/>
      <c r="M350" s="233"/>
    </row>
    <row r="351" spans="1:13" ht="15" x14ac:dyDescent="0.2">
      <c r="A351" s="257"/>
      <c r="B351" s="43"/>
      <c r="G351" s="233"/>
      <c r="H351" s="43"/>
      <c r="M351" s="233"/>
    </row>
    <row r="352" spans="1:13" ht="15" x14ac:dyDescent="0.2">
      <c r="A352" s="257"/>
      <c r="B352" s="43"/>
      <c r="G352" s="233"/>
      <c r="H352" s="43"/>
      <c r="M352" s="233"/>
    </row>
    <row r="353" spans="1:13" ht="15" x14ac:dyDescent="0.2">
      <c r="A353" s="257"/>
      <c r="B353" s="43"/>
      <c r="G353" s="233"/>
      <c r="H353" s="43"/>
      <c r="M353" s="233"/>
    </row>
    <row r="354" spans="1:13" ht="15" x14ac:dyDescent="0.2">
      <c r="A354" s="257"/>
      <c r="B354" s="43"/>
      <c r="G354" s="233"/>
      <c r="H354" s="43"/>
      <c r="M354" s="233"/>
    </row>
    <row r="355" spans="1:13" ht="15" x14ac:dyDescent="0.2">
      <c r="A355" s="257"/>
      <c r="B355" s="43"/>
      <c r="G355" s="233"/>
      <c r="H355" s="43"/>
      <c r="M355" s="233"/>
    </row>
    <row r="356" spans="1:13" ht="15" x14ac:dyDescent="0.2">
      <c r="A356" s="257"/>
      <c r="B356" s="43"/>
      <c r="G356" s="233"/>
      <c r="H356" s="43"/>
      <c r="M356" s="233"/>
    </row>
    <row r="357" spans="1:13" ht="15" x14ac:dyDescent="0.2">
      <c r="A357" s="257"/>
      <c r="B357" s="43"/>
      <c r="G357" s="233"/>
      <c r="H357" s="43"/>
      <c r="M357" s="233"/>
    </row>
    <row r="358" spans="1:13" ht="15" x14ac:dyDescent="0.2">
      <c r="A358" s="257"/>
      <c r="B358" s="43"/>
      <c r="G358" s="233"/>
      <c r="H358" s="43"/>
      <c r="M358" s="233"/>
    </row>
    <row r="359" spans="1:13" ht="15" x14ac:dyDescent="0.2">
      <c r="A359" s="257"/>
      <c r="B359" s="43"/>
      <c r="G359" s="233"/>
      <c r="H359" s="43"/>
      <c r="M359" s="233"/>
    </row>
    <row r="360" spans="1:13" ht="15" x14ac:dyDescent="0.2">
      <c r="A360" s="257"/>
      <c r="B360" s="43"/>
      <c r="G360" s="233"/>
      <c r="H360" s="43"/>
      <c r="M360" s="233"/>
    </row>
    <row r="361" spans="1:13" ht="15" x14ac:dyDescent="0.2">
      <c r="A361" s="257"/>
      <c r="B361" s="43"/>
      <c r="G361" s="233"/>
      <c r="H361" s="43"/>
      <c r="M361" s="233"/>
    </row>
    <row r="362" spans="1:13" ht="15" x14ac:dyDescent="0.2">
      <c r="A362" s="257"/>
      <c r="B362" s="43"/>
      <c r="G362" s="233"/>
      <c r="H362" s="43"/>
      <c r="M362" s="233"/>
    </row>
    <row r="363" spans="1:13" ht="15" x14ac:dyDescent="0.2">
      <c r="A363" s="257"/>
      <c r="B363" s="43"/>
      <c r="G363" s="233"/>
      <c r="H363" s="43"/>
      <c r="M363" s="233"/>
    </row>
    <row r="364" spans="1:13" ht="15" x14ac:dyDescent="0.2">
      <c r="A364" s="257"/>
      <c r="B364" s="43"/>
      <c r="G364" s="233"/>
      <c r="H364" s="43"/>
      <c r="M364" s="233"/>
    </row>
    <row r="365" spans="1:13" ht="15" x14ac:dyDescent="0.2">
      <c r="A365" s="257"/>
      <c r="B365" s="43"/>
      <c r="G365" s="233"/>
      <c r="H365" s="43"/>
      <c r="M365" s="233"/>
    </row>
    <row r="366" spans="1:13" ht="15" x14ac:dyDescent="0.2">
      <c r="A366" s="257"/>
      <c r="B366" s="43"/>
      <c r="G366" s="233"/>
      <c r="H366" s="43"/>
      <c r="M366" s="233"/>
    </row>
    <row r="367" spans="1:13" ht="15" x14ac:dyDescent="0.2">
      <c r="A367" s="257"/>
      <c r="B367" s="43"/>
      <c r="G367" s="233"/>
      <c r="H367" s="43"/>
      <c r="M367" s="233"/>
    </row>
    <row r="368" spans="1:13" ht="15" x14ac:dyDescent="0.2">
      <c r="A368" s="257"/>
      <c r="B368" s="43"/>
      <c r="G368" s="233"/>
      <c r="H368" s="43"/>
      <c r="M368" s="233"/>
    </row>
    <row r="369" spans="1:13" ht="15" x14ac:dyDescent="0.2">
      <c r="A369" s="257"/>
      <c r="B369" s="43"/>
      <c r="G369" s="233"/>
      <c r="H369" s="43"/>
      <c r="M369" s="233"/>
    </row>
    <row r="370" spans="1:13" ht="15" x14ac:dyDescent="0.2">
      <c r="A370" s="257"/>
      <c r="B370" s="43"/>
      <c r="G370" s="233"/>
      <c r="H370" s="43"/>
      <c r="M370" s="233"/>
    </row>
    <row r="371" spans="1:13" ht="15" x14ac:dyDescent="0.2">
      <c r="A371" s="257"/>
      <c r="B371" s="43"/>
      <c r="G371" s="233"/>
      <c r="H371" s="43"/>
      <c r="M371" s="233"/>
    </row>
    <row r="372" spans="1:13" ht="15" x14ac:dyDescent="0.2">
      <c r="A372" s="257"/>
      <c r="B372" s="43"/>
      <c r="G372" s="233"/>
      <c r="H372" s="43"/>
      <c r="M372" s="233"/>
    </row>
    <row r="373" spans="1:13" ht="15" x14ac:dyDescent="0.2">
      <c r="A373" s="257"/>
      <c r="B373" s="43"/>
      <c r="G373" s="233"/>
      <c r="H373" s="43"/>
      <c r="M373" s="233"/>
    </row>
    <row r="374" spans="1:13" ht="15" x14ac:dyDescent="0.2">
      <c r="A374" s="257"/>
      <c r="B374" s="43"/>
      <c r="G374" s="233"/>
      <c r="H374" s="43"/>
      <c r="M374" s="233"/>
    </row>
    <row r="375" spans="1:13" ht="15" x14ac:dyDescent="0.2">
      <c r="A375" s="257"/>
      <c r="B375" s="43"/>
      <c r="G375" s="233"/>
      <c r="H375" s="43"/>
      <c r="M375" s="233"/>
    </row>
    <row r="376" spans="1:13" ht="15" x14ac:dyDescent="0.2">
      <c r="A376" s="257"/>
      <c r="B376" s="43"/>
      <c r="G376" s="233"/>
      <c r="H376" s="43"/>
      <c r="M376" s="233"/>
    </row>
    <row r="377" spans="1:13" ht="15" x14ac:dyDescent="0.2">
      <c r="A377" s="257"/>
      <c r="B377" s="43"/>
      <c r="G377" s="233"/>
      <c r="H377" s="43"/>
      <c r="M377" s="233"/>
    </row>
    <row r="378" spans="1:13" ht="15" x14ac:dyDescent="0.2">
      <c r="A378" s="257"/>
      <c r="B378" s="43"/>
      <c r="G378" s="233"/>
      <c r="H378" s="43"/>
      <c r="M378" s="233"/>
    </row>
    <row r="379" spans="1:13" ht="15" x14ac:dyDescent="0.2">
      <c r="A379" s="257"/>
      <c r="B379" s="43"/>
      <c r="G379" s="233"/>
      <c r="H379" s="43"/>
      <c r="M379" s="233"/>
    </row>
    <row r="380" spans="1:13" ht="15" x14ac:dyDescent="0.2">
      <c r="A380" s="257"/>
      <c r="B380" s="43"/>
      <c r="G380" s="233"/>
      <c r="H380" s="43"/>
      <c r="M380" s="233"/>
    </row>
    <row r="381" spans="1:13" ht="15" x14ac:dyDescent="0.2">
      <c r="A381" s="257"/>
      <c r="B381" s="43"/>
      <c r="G381" s="233"/>
      <c r="H381" s="43"/>
      <c r="M381" s="233"/>
    </row>
    <row r="382" spans="1:13" ht="15" x14ac:dyDescent="0.2">
      <c r="A382" s="257"/>
      <c r="B382" s="43"/>
      <c r="G382" s="233"/>
      <c r="H382" s="43"/>
      <c r="M382" s="233"/>
    </row>
    <row r="383" spans="1:13" ht="15" x14ac:dyDescent="0.2">
      <c r="A383" s="257"/>
      <c r="B383" s="43"/>
      <c r="G383" s="233"/>
      <c r="H383" s="43"/>
      <c r="M383" s="233"/>
    </row>
    <row r="384" spans="1:13" ht="15" x14ac:dyDescent="0.2">
      <c r="A384" s="257"/>
      <c r="B384" s="43"/>
      <c r="G384" s="233"/>
      <c r="H384" s="43"/>
      <c r="M384" s="233"/>
    </row>
    <row r="385" spans="1:13" ht="15" x14ac:dyDescent="0.2">
      <c r="A385" s="257"/>
      <c r="B385" s="43"/>
      <c r="G385" s="233"/>
      <c r="H385" s="43"/>
      <c r="M385" s="233"/>
    </row>
    <row r="386" spans="1:13" ht="15" x14ac:dyDescent="0.2">
      <c r="A386" s="257"/>
      <c r="B386" s="43"/>
      <c r="G386" s="233"/>
      <c r="H386" s="43"/>
      <c r="M386" s="233"/>
    </row>
    <row r="387" spans="1:13" ht="15" x14ac:dyDescent="0.2">
      <c r="A387" s="257"/>
      <c r="B387" s="43"/>
      <c r="G387" s="233"/>
      <c r="H387" s="43"/>
      <c r="M387" s="233"/>
    </row>
    <row r="388" spans="1:13" ht="15" x14ac:dyDescent="0.2">
      <c r="A388" s="257"/>
      <c r="B388" s="43"/>
      <c r="G388" s="233"/>
      <c r="H388" s="43"/>
      <c r="M388" s="233"/>
    </row>
    <row r="389" spans="1:13" ht="15" x14ac:dyDescent="0.2">
      <c r="A389" s="257"/>
      <c r="B389" s="43"/>
      <c r="G389" s="233"/>
      <c r="H389" s="43"/>
      <c r="M389" s="233"/>
    </row>
    <row r="390" spans="1:13" ht="15" x14ac:dyDescent="0.2">
      <c r="A390" s="257"/>
      <c r="B390" s="43"/>
      <c r="G390" s="233"/>
      <c r="H390" s="43"/>
      <c r="M390" s="233"/>
    </row>
    <row r="391" spans="1:13" ht="15" x14ac:dyDescent="0.2">
      <c r="A391" s="257"/>
      <c r="B391" s="43"/>
      <c r="G391" s="233"/>
      <c r="H391" s="43"/>
      <c r="M391" s="233"/>
    </row>
    <row r="392" spans="1:13" ht="15" x14ac:dyDescent="0.2">
      <c r="A392" s="257"/>
      <c r="B392" s="43"/>
      <c r="G392" s="233"/>
      <c r="H392" s="43"/>
      <c r="M392" s="233"/>
    </row>
    <row r="393" spans="1:13" ht="15" x14ac:dyDescent="0.2">
      <c r="A393" s="257"/>
      <c r="B393" s="43"/>
      <c r="G393" s="233"/>
      <c r="H393" s="43"/>
      <c r="M393" s="233"/>
    </row>
    <row r="394" spans="1:13" ht="15" x14ac:dyDescent="0.2">
      <c r="A394" s="257"/>
      <c r="B394" s="43"/>
      <c r="G394" s="233"/>
      <c r="H394" s="43"/>
      <c r="M394" s="233"/>
    </row>
    <row r="395" spans="1:13" ht="15" x14ac:dyDescent="0.2">
      <c r="A395" s="257"/>
      <c r="B395" s="43"/>
      <c r="G395" s="233"/>
      <c r="H395" s="43"/>
      <c r="M395" s="233"/>
    </row>
    <row r="396" spans="1:13" ht="15" x14ac:dyDescent="0.2">
      <c r="A396" s="257"/>
      <c r="B396" s="43"/>
      <c r="G396" s="233"/>
      <c r="H396" s="43"/>
      <c r="M396" s="233"/>
    </row>
    <row r="397" spans="1:13" ht="15" x14ac:dyDescent="0.2">
      <c r="A397" s="257"/>
      <c r="B397" s="43"/>
      <c r="G397" s="233"/>
      <c r="H397" s="43"/>
      <c r="M397" s="233"/>
    </row>
    <row r="398" spans="1:13" ht="15" x14ac:dyDescent="0.2">
      <c r="A398" s="257"/>
      <c r="B398" s="43"/>
      <c r="G398" s="233"/>
      <c r="H398" s="43"/>
      <c r="M398" s="233"/>
    </row>
    <row r="399" spans="1:13" ht="15" x14ac:dyDescent="0.2">
      <c r="A399" s="257"/>
      <c r="B399" s="43"/>
      <c r="G399" s="233"/>
      <c r="H399" s="43"/>
      <c r="M399" s="233"/>
    </row>
    <row r="400" spans="1:13" ht="15" x14ac:dyDescent="0.2">
      <c r="A400" s="257"/>
      <c r="B400" s="43"/>
      <c r="G400" s="233"/>
      <c r="H400" s="43"/>
      <c r="M400" s="233"/>
    </row>
    <row r="401" spans="1:13" ht="15" x14ac:dyDescent="0.2">
      <c r="A401" s="257"/>
      <c r="B401" s="43"/>
      <c r="G401" s="233"/>
      <c r="H401" s="43"/>
      <c r="M401" s="233"/>
    </row>
    <row r="402" spans="1:13" ht="15" x14ac:dyDescent="0.2">
      <c r="A402" s="257"/>
      <c r="B402" s="43"/>
      <c r="G402" s="233"/>
      <c r="H402" s="43"/>
      <c r="M402" s="233"/>
    </row>
    <row r="403" spans="1:13" ht="15" x14ac:dyDescent="0.2">
      <c r="A403" s="257"/>
      <c r="B403" s="43"/>
      <c r="G403" s="233"/>
      <c r="H403" s="43"/>
      <c r="M403" s="233"/>
    </row>
    <row r="404" spans="1:13" ht="15" x14ac:dyDescent="0.2">
      <c r="A404" s="257"/>
      <c r="B404" s="43"/>
      <c r="G404" s="233"/>
      <c r="H404" s="43"/>
      <c r="M404" s="233"/>
    </row>
    <row r="405" spans="1:13" ht="15" x14ac:dyDescent="0.2">
      <c r="A405" s="257"/>
      <c r="B405" s="43"/>
      <c r="G405" s="233"/>
      <c r="H405" s="43"/>
      <c r="M405" s="233"/>
    </row>
    <row r="406" spans="1:13" ht="15" x14ac:dyDescent="0.2">
      <c r="A406" s="257"/>
      <c r="B406" s="43"/>
      <c r="G406" s="233"/>
      <c r="H406" s="43"/>
      <c r="M406" s="233"/>
    </row>
    <row r="407" spans="1:13" ht="15" x14ac:dyDescent="0.2">
      <c r="A407" s="257"/>
      <c r="B407" s="43"/>
      <c r="G407" s="233"/>
      <c r="H407" s="43"/>
      <c r="M407" s="233"/>
    </row>
    <row r="408" spans="1:13" ht="15" x14ac:dyDescent="0.2">
      <c r="A408" s="257"/>
      <c r="B408" s="43"/>
      <c r="G408" s="233"/>
      <c r="H408" s="43"/>
      <c r="M408" s="233"/>
    </row>
    <row r="409" spans="1:13" ht="15" x14ac:dyDescent="0.2">
      <c r="A409" s="257"/>
      <c r="B409" s="43"/>
      <c r="G409" s="233"/>
      <c r="H409" s="43"/>
      <c r="M409" s="233"/>
    </row>
    <row r="410" spans="1:13" ht="15" x14ac:dyDescent="0.2">
      <c r="A410" s="257"/>
      <c r="B410" s="43"/>
      <c r="G410" s="233"/>
      <c r="H410" s="43"/>
      <c r="M410" s="233"/>
    </row>
    <row r="411" spans="1:13" ht="15" x14ac:dyDescent="0.2">
      <c r="A411" s="257"/>
      <c r="B411" s="43"/>
      <c r="G411" s="233"/>
      <c r="H411" s="43"/>
      <c r="M411" s="233"/>
    </row>
    <row r="412" spans="1:13" ht="15" x14ac:dyDescent="0.2">
      <c r="A412" s="257"/>
      <c r="B412" s="43"/>
      <c r="G412" s="233"/>
      <c r="H412" s="43"/>
      <c r="M412" s="233"/>
    </row>
    <row r="413" spans="1:13" ht="15" x14ac:dyDescent="0.2">
      <c r="A413" s="257"/>
      <c r="B413" s="43"/>
      <c r="G413" s="233"/>
      <c r="H413" s="43"/>
      <c r="M413" s="233"/>
    </row>
    <row r="414" spans="1:13" ht="15" x14ac:dyDescent="0.2">
      <c r="A414" s="257"/>
      <c r="B414" s="43"/>
      <c r="G414" s="233"/>
      <c r="H414" s="43"/>
      <c r="M414" s="233"/>
    </row>
    <row r="415" spans="1:13" ht="15" x14ac:dyDescent="0.2">
      <c r="A415" s="257"/>
      <c r="B415" s="43"/>
      <c r="G415" s="233"/>
      <c r="H415" s="43"/>
      <c r="M415" s="233"/>
    </row>
    <row r="416" spans="1:13" ht="15" x14ac:dyDescent="0.2">
      <c r="A416" s="257"/>
      <c r="B416" s="43"/>
      <c r="G416" s="233"/>
      <c r="H416" s="43"/>
      <c r="M416" s="233"/>
    </row>
    <row r="417" spans="1:13" ht="15" x14ac:dyDescent="0.2">
      <c r="A417" s="257"/>
      <c r="B417" s="43"/>
      <c r="G417" s="233"/>
      <c r="H417" s="43"/>
      <c r="M417" s="233"/>
    </row>
    <row r="418" spans="1:13" ht="15" x14ac:dyDescent="0.2">
      <c r="A418" s="257"/>
      <c r="B418" s="43"/>
      <c r="G418" s="233"/>
      <c r="H418" s="43"/>
      <c r="M418" s="233"/>
    </row>
    <row r="419" spans="1:13" ht="15" x14ac:dyDescent="0.2">
      <c r="A419" s="257"/>
      <c r="B419" s="43"/>
      <c r="G419" s="233"/>
      <c r="H419" s="43"/>
      <c r="M419" s="233"/>
    </row>
    <row r="420" spans="1:13" ht="15" x14ac:dyDescent="0.2">
      <c r="A420" s="257"/>
      <c r="B420" s="43"/>
      <c r="G420" s="233"/>
      <c r="H420" s="43"/>
      <c r="M420" s="233"/>
    </row>
    <row r="421" spans="1:13" ht="15" x14ac:dyDescent="0.2">
      <c r="A421" s="257"/>
      <c r="B421" s="43"/>
      <c r="G421" s="233"/>
      <c r="H421" s="43"/>
      <c r="M421" s="233"/>
    </row>
    <row r="422" spans="1:13" ht="15" x14ac:dyDescent="0.2">
      <c r="A422" s="257"/>
      <c r="B422" s="43"/>
      <c r="G422" s="233"/>
      <c r="H422" s="43"/>
      <c r="M422" s="233"/>
    </row>
    <row r="423" spans="1:13" ht="15" x14ac:dyDescent="0.2">
      <c r="A423" s="257"/>
      <c r="B423" s="43"/>
      <c r="G423" s="233"/>
      <c r="H423" s="43"/>
      <c r="M423" s="233"/>
    </row>
    <row r="424" spans="1:13" ht="15" x14ac:dyDescent="0.2">
      <c r="A424" s="257"/>
      <c r="B424" s="43"/>
      <c r="G424" s="233"/>
      <c r="H424" s="43"/>
      <c r="M424" s="233"/>
    </row>
    <row r="425" spans="1:13" ht="15" x14ac:dyDescent="0.2">
      <c r="A425" s="257"/>
      <c r="B425" s="43"/>
      <c r="G425" s="233"/>
      <c r="H425" s="43"/>
      <c r="M425" s="233"/>
    </row>
    <row r="426" spans="1:13" ht="15" x14ac:dyDescent="0.2">
      <c r="A426" s="257"/>
      <c r="B426" s="43"/>
      <c r="G426" s="233"/>
      <c r="H426" s="43"/>
      <c r="M426" s="233"/>
    </row>
    <row r="427" spans="1:13" ht="15" x14ac:dyDescent="0.2">
      <c r="A427" s="257"/>
      <c r="B427" s="43"/>
      <c r="G427" s="233"/>
      <c r="H427" s="43"/>
      <c r="M427" s="233"/>
    </row>
    <row r="428" spans="1:13" ht="15" x14ac:dyDescent="0.2">
      <c r="A428" s="257"/>
      <c r="B428" s="43"/>
      <c r="G428" s="233"/>
      <c r="H428" s="43"/>
      <c r="M428" s="233"/>
    </row>
    <row r="429" spans="1:13" ht="15" x14ac:dyDescent="0.2">
      <c r="A429" s="257"/>
      <c r="B429" s="43"/>
      <c r="G429" s="233"/>
      <c r="H429" s="43"/>
      <c r="M429" s="233"/>
    </row>
    <row r="430" spans="1:13" ht="15" x14ac:dyDescent="0.2">
      <c r="A430" s="257"/>
      <c r="B430" s="43"/>
      <c r="G430" s="233"/>
      <c r="H430" s="43"/>
      <c r="M430" s="233"/>
    </row>
    <row r="431" spans="1:13" ht="15" x14ac:dyDescent="0.2">
      <c r="A431" s="257"/>
      <c r="B431" s="43"/>
      <c r="G431" s="233"/>
      <c r="H431" s="43"/>
      <c r="M431" s="233"/>
    </row>
    <row r="432" spans="1:13" ht="15" x14ac:dyDescent="0.2">
      <c r="A432" s="257"/>
      <c r="B432" s="43"/>
      <c r="G432" s="233"/>
      <c r="H432" s="43"/>
      <c r="M432" s="233"/>
    </row>
    <row r="433" spans="1:13" ht="15" x14ac:dyDescent="0.2">
      <c r="A433" s="257"/>
      <c r="B433" s="43"/>
      <c r="G433" s="233"/>
      <c r="H433" s="43"/>
      <c r="M433" s="233"/>
    </row>
    <row r="434" spans="1:13" ht="15" x14ac:dyDescent="0.2">
      <c r="A434" s="257"/>
      <c r="B434" s="43"/>
      <c r="G434" s="233"/>
      <c r="H434" s="43"/>
      <c r="M434" s="233"/>
    </row>
    <row r="435" spans="1:13" ht="15" x14ac:dyDescent="0.2">
      <c r="A435" s="257"/>
      <c r="B435" s="43"/>
      <c r="G435" s="233"/>
      <c r="H435" s="43"/>
      <c r="M435" s="233"/>
    </row>
    <row r="436" spans="1:13" ht="15" x14ac:dyDescent="0.2">
      <c r="A436" s="257"/>
      <c r="B436" s="43"/>
      <c r="G436" s="233"/>
      <c r="H436" s="43"/>
      <c r="M436" s="233"/>
    </row>
    <row r="437" spans="1:13" ht="15" x14ac:dyDescent="0.2">
      <c r="A437" s="257"/>
      <c r="B437" s="43"/>
      <c r="G437" s="233"/>
      <c r="H437" s="43"/>
      <c r="M437" s="233"/>
    </row>
    <row r="438" spans="1:13" ht="15" x14ac:dyDescent="0.2">
      <c r="A438" s="257"/>
      <c r="B438" s="43"/>
      <c r="G438" s="233"/>
      <c r="H438" s="43"/>
      <c r="M438" s="233"/>
    </row>
    <row r="439" spans="1:13" ht="15" x14ac:dyDescent="0.2">
      <c r="A439" s="257"/>
      <c r="B439" s="43"/>
      <c r="G439" s="233"/>
      <c r="H439" s="43"/>
      <c r="M439" s="233"/>
    </row>
    <row r="440" spans="1:13" ht="15" x14ac:dyDescent="0.2">
      <c r="A440" s="257"/>
      <c r="B440" s="43"/>
      <c r="G440" s="233"/>
      <c r="H440" s="43"/>
      <c r="M440" s="233"/>
    </row>
    <row r="441" spans="1:13" ht="15" x14ac:dyDescent="0.2">
      <c r="A441" s="257"/>
      <c r="B441" s="43"/>
      <c r="G441" s="233"/>
      <c r="H441" s="43"/>
      <c r="M441" s="233"/>
    </row>
    <row r="442" spans="1:13" ht="15" x14ac:dyDescent="0.2">
      <c r="A442" s="257"/>
      <c r="B442" s="43"/>
      <c r="G442" s="233"/>
      <c r="H442" s="43"/>
      <c r="M442" s="233"/>
    </row>
    <row r="443" spans="1:13" ht="15" x14ac:dyDescent="0.2">
      <c r="A443" s="257"/>
      <c r="B443" s="43"/>
      <c r="G443" s="233"/>
      <c r="H443" s="43"/>
      <c r="M443" s="233"/>
    </row>
    <row r="444" spans="1:13" ht="15" x14ac:dyDescent="0.2">
      <c r="A444" s="257"/>
      <c r="B444" s="43"/>
      <c r="G444" s="233"/>
      <c r="H444" s="43"/>
      <c r="M444" s="233"/>
    </row>
    <row r="445" spans="1:13" ht="15" x14ac:dyDescent="0.2">
      <c r="A445" s="257"/>
      <c r="B445" s="43"/>
      <c r="G445" s="233"/>
      <c r="H445" s="43"/>
      <c r="M445" s="233"/>
    </row>
    <row r="446" spans="1:13" ht="15" x14ac:dyDescent="0.2">
      <c r="A446" s="257"/>
      <c r="B446" s="43"/>
      <c r="G446" s="233"/>
      <c r="H446" s="43"/>
      <c r="M446" s="233"/>
    </row>
    <row r="447" spans="1:13" ht="15" x14ac:dyDescent="0.2">
      <c r="A447" s="257"/>
      <c r="B447" s="43"/>
      <c r="G447" s="233"/>
      <c r="H447" s="43"/>
      <c r="M447" s="233"/>
    </row>
    <row r="448" spans="1:13" ht="15" x14ac:dyDescent="0.2">
      <c r="A448" s="257"/>
      <c r="B448" s="43"/>
      <c r="G448" s="233"/>
      <c r="H448" s="43"/>
      <c r="M448" s="233"/>
    </row>
    <row r="449" spans="1:13" ht="15" x14ac:dyDescent="0.2">
      <c r="A449" s="257"/>
      <c r="B449" s="43"/>
      <c r="G449" s="233"/>
      <c r="H449" s="43"/>
      <c r="M449" s="233"/>
    </row>
    <row r="450" spans="1:13" ht="15" x14ac:dyDescent="0.2">
      <c r="A450" s="257"/>
      <c r="B450" s="43"/>
      <c r="G450" s="233"/>
      <c r="H450" s="43"/>
      <c r="M450" s="233"/>
    </row>
    <row r="451" spans="1:13" ht="15" x14ac:dyDescent="0.2">
      <c r="A451" s="257"/>
      <c r="B451" s="43"/>
      <c r="G451" s="233"/>
      <c r="H451" s="43"/>
      <c r="M451" s="233"/>
    </row>
    <row r="452" spans="1:13" ht="15" x14ac:dyDescent="0.2">
      <c r="A452" s="257"/>
      <c r="B452" s="43"/>
      <c r="G452" s="233"/>
      <c r="H452" s="43"/>
      <c r="M452" s="233"/>
    </row>
    <row r="453" spans="1:13" ht="15" x14ac:dyDescent="0.2">
      <c r="A453" s="257"/>
      <c r="B453" s="43"/>
      <c r="G453" s="233"/>
      <c r="H453" s="43"/>
      <c r="M453" s="233"/>
    </row>
    <row r="454" spans="1:13" ht="15" x14ac:dyDescent="0.2">
      <c r="A454" s="257"/>
      <c r="B454" s="43"/>
      <c r="G454" s="233"/>
      <c r="H454" s="43"/>
      <c r="M454" s="233"/>
    </row>
    <row r="455" spans="1:13" ht="15" x14ac:dyDescent="0.2">
      <c r="A455" s="257"/>
      <c r="B455" s="43"/>
      <c r="G455" s="233"/>
      <c r="H455" s="43"/>
      <c r="M455" s="233"/>
    </row>
    <row r="456" spans="1:13" ht="15" x14ac:dyDescent="0.2">
      <c r="A456" s="257"/>
      <c r="B456" s="43"/>
      <c r="G456" s="233"/>
      <c r="H456" s="43"/>
      <c r="M456" s="233"/>
    </row>
    <row r="457" spans="1:13" ht="15" x14ac:dyDescent="0.2">
      <c r="A457" s="257"/>
      <c r="B457" s="43"/>
      <c r="G457" s="233"/>
      <c r="H457" s="43"/>
      <c r="M457" s="233"/>
    </row>
    <row r="458" spans="1:13" ht="15" x14ac:dyDescent="0.2">
      <c r="A458" s="257"/>
      <c r="B458" s="43"/>
      <c r="G458" s="233"/>
      <c r="H458" s="43"/>
      <c r="M458" s="233"/>
    </row>
    <row r="459" spans="1:13" ht="15" x14ac:dyDescent="0.2">
      <c r="A459" s="257"/>
      <c r="B459" s="43"/>
      <c r="G459" s="233"/>
      <c r="H459" s="43"/>
      <c r="M459" s="233"/>
    </row>
    <row r="460" spans="1:13" ht="15" x14ac:dyDescent="0.2">
      <c r="A460" s="257"/>
      <c r="B460" s="43"/>
      <c r="G460" s="233"/>
      <c r="H460" s="43"/>
      <c r="M460" s="233"/>
    </row>
    <row r="461" spans="1:13" ht="15" x14ac:dyDescent="0.2">
      <c r="A461" s="257"/>
      <c r="B461" s="43"/>
      <c r="G461" s="233"/>
      <c r="H461" s="43"/>
      <c r="M461" s="233"/>
    </row>
    <row r="462" spans="1:13" ht="15" x14ac:dyDescent="0.2">
      <c r="A462" s="257"/>
      <c r="B462" s="43"/>
      <c r="G462" s="233"/>
      <c r="H462" s="43"/>
      <c r="M462" s="233"/>
    </row>
    <row r="463" spans="1:13" ht="15" x14ac:dyDescent="0.2">
      <c r="A463" s="257"/>
      <c r="B463" s="43"/>
      <c r="G463" s="233"/>
      <c r="H463" s="43"/>
      <c r="M463" s="233"/>
    </row>
    <row r="464" spans="1:13" ht="15" x14ac:dyDescent="0.2">
      <c r="A464" s="257"/>
      <c r="B464" s="43"/>
      <c r="G464" s="233"/>
      <c r="H464" s="43"/>
      <c r="M464" s="233"/>
    </row>
    <row r="465" spans="1:13" ht="15" x14ac:dyDescent="0.2">
      <c r="A465" s="257"/>
      <c r="B465" s="43"/>
      <c r="G465" s="233"/>
      <c r="H465" s="43"/>
      <c r="M465" s="233"/>
    </row>
    <row r="466" spans="1:13" ht="15" x14ac:dyDescent="0.2">
      <c r="A466" s="257"/>
      <c r="B466" s="43"/>
      <c r="G466" s="233"/>
      <c r="H466" s="43"/>
      <c r="M466" s="233"/>
    </row>
    <row r="467" spans="1:13" ht="15" x14ac:dyDescent="0.2">
      <c r="A467" s="257"/>
      <c r="B467" s="43"/>
      <c r="G467" s="233"/>
      <c r="H467" s="43"/>
      <c r="M467" s="233"/>
    </row>
    <row r="468" spans="1:13" ht="15" x14ac:dyDescent="0.2">
      <c r="A468" s="257"/>
      <c r="B468" s="43"/>
      <c r="G468" s="233"/>
      <c r="H468" s="43"/>
      <c r="M468" s="233"/>
    </row>
    <row r="469" spans="1:13" ht="15" x14ac:dyDescent="0.2">
      <c r="A469" s="257"/>
      <c r="B469" s="43"/>
      <c r="G469" s="233"/>
      <c r="H469" s="43"/>
      <c r="M469" s="233"/>
    </row>
    <row r="470" spans="1:13" ht="15" x14ac:dyDescent="0.2">
      <c r="A470" s="257"/>
      <c r="B470" s="43"/>
      <c r="G470" s="233"/>
      <c r="H470" s="43"/>
      <c r="M470" s="233"/>
    </row>
    <row r="471" spans="1:13" ht="15" x14ac:dyDescent="0.2">
      <c r="A471" s="257"/>
      <c r="B471" s="43"/>
      <c r="G471" s="233"/>
      <c r="H471" s="43"/>
      <c r="M471" s="233"/>
    </row>
    <row r="472" spans="1:13" ht="15" x14ac:dyDescent="0.2">
      <c r="A472" s="257"/>
      <c r="B472" s="43"/>
      <c r="G472" s="233"/>
      <c r="H472" s="43"/>
      <c r="M472" s="233"/>
    </row>
    <row r="473" spans="1:13" ht="15" x14ac:dyDescent="0.2">
      <c r="A473" s="257"/>
      <c r="B473" s="43"/>
      <c r="G473" s="233"/>
      <c r="H473" s="43"/>
      <c r="M473" s="233"/>
    </row>
    <row r="474" spans="1:13" ht="15" x14ac:dyDescent="0.2">
      <c r="A474" s="257"/>
      <c r="B474" s="43"/>
      <c r="G474" s="233"/>
      <c r="H474" s="43"/>
      <c r="M474" s="233"/>
    </row>
    <row r="475" spans="1:13" ht="15" x14ac:dyDescent="0.2">
      <c r="A475" s="257"/>
      <c r="B475" s="43"/>
      <c r="G475" s="233"/>
      <c r="H475" s="43"/>
      <c r="M475" s="233"/>
    </row>
    <row r="476" spans="1:13" ht="15" x14ac:dyDescent="0.2">
      <c r="A476" s="257"/>
      <c r="B476" s="43"/>
      <c r="G476" s="233"/>
      <c r="H476" s="43"/>
      <c r="M476" s="233"/>
    </row>
    <row r="477" spans="1:13" ht="15" x14ac:dyDescent="0.2">
      <c r="A477" s="257"/>
      <c r="B477" s="43"/>
      <c r="G477" s="233"/>
      <c r="H477" s="43"/>
      <c r="M477" s="233"/>
    </row>
    <row r="478" spans="1:13" ht="15" x14ac:dyDescent="0.2">
      <c r="A478" s="257"/>
      <c r="B478" s="43"/>
      <c r="G478" s="233"/>
      <c r="H478" s="43"/>
      <c r="M478" s="233"/>
    </row>
    <row r="479" spans="1:13" ht="15" x14ac:dyDescent="0.2">
      <c r="A479" s="257"/>
      <c r="B479" s="43"/>
      <c r="G479" s="233"/>
      <c r="H479" s="43"/>
      <c r="M479" s="233"/>
    </row>
    <row r="480" spans="1:13" ht="15" x14ac:dyDescent="0.2">
      <c r="A480" s="257"/>
      <c r="B480" s="43"/>
      <c r="G480" s="233"/>
      <c r="H480" s="43"/>
      <c r="M480" s="233"/>
    </row>
    <row r="481" spans="1:13" ht="15" x14ac:dyDescent="0.2">
      <c r="A481" s="257"/>
      <c r="B481" s="43"/>
      <c r="G481" s="233"/>
      <c r="H481" s="43"/>
      <c r="M481" s="233"/>
    </row>
    <row r="482" spans="1:13" ht="15" x14ac:dyDescent="0.2">
      <c r="A482" s="257"/>
      <c r="B482" s="43"/>
      <c r="G482" s="233"/>
      <c r="H482" s="43"/>
      <c r="M482" s="233"/>
    </row>
    <row r="483" spans="1:13" ht="15" x14ac:dyDescent="0.2">
      <c r="A483" s="257"/>
      <c r="B483" s="43"/>
      <c r="G483" s="233"/>
      <c r="H483" s="43"/>
      <c r="M483" s="233"/>
    </row>
    <row r="484" spans="1:13" ht="15" x14ac:dyDescent="0.2">
      <c r="A484" s="257"/>
      <c r="B484" s="43"/>
      <c r="G484" s="233"/>
      <c r="H484" s="43"/>
      <c r="M484" s="233"/>
    </row>
    <row r="485" spans="1:13" ht="15" x14ac:dyDescent="0.2">
      <c r="A485" s="257"/>
      <c r="B485" s="43"/>
      <c r="G485" s="233"/>
      <c r="H485" s="43"/>
      <c r="M485" s="233"/>
    </row>
    <row r="486" spans="1:13" ht="15" x14ac:dyDescent="0.2">
      <c r="A486" s="257"/>
      <c r="B486" s="43"/>
      <c r="G486" s="233"/>
      <c r="H486" s="43"/>
      <c r="M486" s="233"/>
    </row>
    <row r="487" spans="1:13" ht="15" x14ac:dyDescent="0.2">
      <c r="A487" s="257"/>
      <c r="B487" s="43"/>
      <c r="G487" s="233"/>
      <c r="H487" s="43"/>
      <c r="M487" s="233"/>
    </row>
    <row r="488" spans="1:13" ht="15" x14ac:dyDescent="0.2">
      <c r="A488" s="257"/>
      <c r="B488" s="43"/>
      <c r="G488" s="233"/>
      <c r="H488" s="43"/>
      <c r="M488" s="233"/>
    </row>
    <row r="489" spans="1:13" ht="15" x14ac:dyDescent="0.2">
      <c r="A489" s="257"/>
      <c r="B489" s="43"/>
      <c r="G489" s="233"/>
      <c r="H489" s="43"/>
      <c r="M489" s="233"/>
    </row>
    <row r="490" spans="1:13" ht="15" x14ac:dyDescent="0.2">
      <c r="A490" s="257"/>
      <c r="B490" s="43"/>
      <c r="G490" s="233"/>
      <c r="H490" s="43"/>
      <c r="M490" s="233"/>
    </row>
    <row r="491" spans="1:13" ht="15" x14ac:dyDescent="0.2">
      <c r="A491" s="257"/>
      <c r="B491" s="43"/>
      <c r="G491" s="233"/>
      <c r="H491" s="43"/>
      <c r="M491" s="233"/>
    </row>
    <row r="492" spans="1:13" ht="15" x14ac:dyDescent="0.2">
      <c r="A492" s="257"/>
      <c r="B492" s="43"/>
      <c r="G492" s="233"/>
      <c r="H492" s="43"/>
      <c r="M492" s="233"/>
    </row>
    <row r="493" spans="1:13" ht="15" x14ac:dyDescent="0.2">
      <c r="A493" s="257"/>
      <c r="B493" s="43"/>
      <c r="G493" s="233"/>
      <c r="H493" s="43"/>
      <c r="M493" s="233"/>
    </row>
    <row r="494" spans="1:13" ht="15" x14ac:dyDescent="0.2">
      <c r="A494" s="257"/>
      <c r="B494" s="43"/>
      <c r="G494" s="233"/>
      <c r="H494" s="43"/>
      <c r="M494" s="233"/>
    </row>
    <row r="495" spans="1:13" ht="15" x14ac:dyDescent="0.2">
      <c r="A495" s="257"/>
      <c r="B495" s="43"/>
      <c r="G495" s="233"/>
      <c r="H495" s="43"/>
      <c r="M495" s="233"/>
    </row>
    <row r="496" spans="1:13" ht="15" x14ac:dyDescent="0.2">
      <c r="A496" s="257"/>
      <c r="B496" s="43"/>
      <c r="G496" s="233"/>
      <c r="H496" s="43"/>
      <c r="M496" s="233"/>
    </row>
    <row r="497" spans="1:13" ht="15" x14ac:dyDescent="0.2">
      <c r="A497" s="257"/>
      <c r="B497" s="43"/>
      <c r="G497" s="233"/>
      <c r="H497" s="43"/>
      <c r="M497" s="233"/>
    </row>
    <row r="498" spans="1:13" ht="15" x14ac:dyDescent="0.2">
      <c r="A498" s="257"/>
      <c r="B498" s="43"/>
      <c r="G498" s="233"/>
      <c r="H498" s="43"/>
      <c r="M498" s="233"/>
    </row>
    <row r="499" spans="1:13" ht="15" x14ac:dyDescent="0.2">
      <c r="A499" s="257"/>
      <c r="B499" s="43"/>
      <c r="G499" s="233"/>
      <c r="H499" s="43"/>
      <c r="M499" s="233"/>
    </row>
    <row r="500" spans="1:13" ht="15" x14ac:dyDescent="0.2">
      <c r="A500" s="257"/>
      <c r="B500" s="43"/>
      <c r="G500" s="233"/>
      <c r="H500" s="43"/>
      <c r="M500" s="233"/>
    </row>
    <row r="501" spans="1:13" ht="15" x14ac:dyDescent="0.2">
      <c r="A501" s="257"/>
      <c r="B501" s="43"/>
      <c r="G501" s="233"/>
      <c r="H501" s="43"/>
      <c r="M501" s="233"/>
    </row>
    <row r="502" spans="1:13" ht="15" x14ac:dyDescent="0.2">
      <c r="A502" s="257"/>
      <c r="B502" s="43"/>
      <c r="G502" s="233"/>
      <c r="H502" s="43"/>
      <c r="M502" s="233"/>
    </row>
    <row r="503" spans="1:13" ht="15" x14ac:dyDescent="0.2">
      <c r="A503" s="257"/>
      <c r="B503" s="43"/>
      <c r="G503" s="233"/>
      <c r="H503" s="43"/>
      <c r="M503" s="233"/>
    </row>
    <row r="504" spans="1:13" ht="15" x14ac:dyDescent="0.2">
      <c r="A504" s="257"/>
      <c r="B504" s="43"/>
      <c r="G504" s="233"/>
      <c r="H504" s="43"/>
      <c r="M504" s="233"/>
    </row>
    <row r="505" spans="1:13" ht="15" x14ac:dyDescent="0.2">
      <c r="A505" s="257"/>
      <c r="B505" s="43"/>
      <c r="G505" s="233"/>
      <c r="H505" s="43"/>
      <c r="M505" s="233"/>
    </row>
    <row r="506" spans="1:13" ht="15" x14ac:dyDescent="0.2">
      <c r="A506" s="257"/>
      <c r="B506" s="43"/>
      <c r="G506" s="233"/>
      <c r="H506" s="43"/>
      <c r="M506" s="233"/>
    </row>
    <row r="507" spans="1:13" ht="15" x14ac:dyDescent="0.2">
      <c r="A507" s="257"/>
      <c r="B507" s="43"/>
      <c r="G507" s="233"/>
      <c r="H507" s="43"/>
      <c r="M507" s="233"/>
    </row>
    <row r="508" spans="1:13" ht="15" x14ac:dyDescent="0.2">
      <c r="A508" s="257"/>
      <c r="B508" s="43"/>
      <c r="G508" s="233"/>
      <c r="H508" s="43"/>
      <c r="M508" s="233"/>
    </row>
    <row r="509" spans="1:13" ht="15" x14ac:dyDescent="0.2">
      <c r="A509" s="257"/>
      <c r="B509" s="43"/>
      <c r="G509" s="233"/>
      <c r="H509" s="43"/>
      <c r="M509" s="233"/>
    </row>
    <row r="510" spans="1:13" ht="15" x14ac:dyDescent="0.2">
      <c r="A510" s="257"/>
      <c r="B510" s="43"/>
      <c r="G510" s="233"/>
      <c r="H510" s="43"/>
      <c r="M510" s="233"/>
    </row>
    <row r="511" spans="1:13" ht="15" x14ac:dyDescent="0.2">
      <c r="A511" s="257"/>
      <c r="B511" s="43"/>
      <c r="G511" s="233"/>
      <c r="H511" s="43"/>
      <c r="M511" s="233"/>
    </row>
    <row r="512" spans="1:13" ht="15" x14ac:dyDescent="0.2">
      <c r="A512" s="257"/>
      <c r="B512" s="43"/>
      <c r="G512" s="233"/>
      <c r="H512" s="43"/>
      <c r="M512" s="233"/>
    </row>
    <row r="513" spans="1:13" ht="15" x14ac:dyDescent="0.2">
      <c r="A513" s="257"/>
      <c r="B513" s="43"/>
      <c r="G513" s="233"/>
      <c r="H513" s="43"/>
      <c r="M513" s="233"/>
    </row>
    <row r="514" spans="1:13" ht="15" x14ac:dyDescent="0.2">
      <c r="A514" s="257"/>
      <c r="B514" s="43"/>
      <c r="G514" s="233"/>
      <c r="H514" s="43"/>
      <c r="M514" s="233"/>
    </row>
    <row r="515" spans="1:13" ht="15" x14ac:dyDescent="0.2">
      <c r="A515" s="257"/>
      <c r="B515" s="43"/>
      <c r="G515" s="233"/>
      <c r="H515" s="43"/>
      <c r="M515" s="233"/>
    </row>
    <row r="516" spans="1:13" ht="15" x14ac:dyDescent="0.2">
      <c r="A516" s="257"/>
      <c r="B516" s="43"/>
      <c r="G516" s="233"/>
      <c r="H516" s="43"/>
      <c r="M516" s="233"/>
    </row>
    <row r="517" spans="1:13" ht="15" x14ac:dyDescent="0.2">
      <c r="A517" s="257"/>
      <c r="B517" s="43"/>
      <c r="G517" s="233"/>
      <c r="H517" s="43"/>
      <c r="M517" s="233"/>
    </row>
    <row r="518" spans="1:13" ht="15" x14ac:dyDescent="0.2">
      <c r="A518" s="257"/>
      <c r="B518" s="43"/>
      <c r="G518" s="233"/>
      <c r="H518" s="43"/>
      <c r="M518" s="233"/>
    </row>
    <row r="519" spans="1:13" ht="15" x14ac:dyDescent="0.2">
      <c r="A519" s="257"/>
      <c r="B519" s="43"/>
      <c r="G519" s="233"/>
      <c r="H519" s="43"/>
      <c r="M519" s="233"/>
    </row>
    <row r="520" spans="1:13" ht="15" x14ac:dyDescent="0.2">
      <c r="A520" s="257"/>
      <c r="B520" s="43"/>
      <c r="G520" s="233"/>
      <c r="H520" s="43"/>
      <c r="M520" s="233"/>
    </row>
    <row r="521" spans="1:13" ht="15" x14ac:dyDescent="0.2">
      <c r="A521" s="257"/>
      <c r="B521" s="43"/>
      <c r="G521" s="233"/>
      <c r="H521" s="43"/>
      <c r="M521" s="233"/>
    </row>
    <row r="522" spans="1:13" ht="15" x14ac:dyDescent="0.2">
      <c r="A522" s="257"/>
      <c r="B522" s="43"/>
      <c r="G522" s="233"/>
      <c r="H522" s="43"/>
      <c r="M522" s="233"/>
    </row>
    <row r="523" spans="1:13" ht="15" x14ac:dyDescent="0.2">
      <c r="A523" s="257"/>
      <c r="B523" s="43"/>
      <c r="G523" s="233"/>
      <c r="H523" s="43"/>
      <c r="M523" s="233"/>
    </row>
    <row r="524" spans="1:13" ht="15" x14ac:dyDescent="0.2">
      <c r="A524" s="257"/>
      <c r="B524" s="43"/>
      <c r="G524" s="233"/>
      <c r="H524" s="43"/>
      <c r="M524" s="233"/>
    </row>
    <row r="525" spans="1:13" ht="15" x14ac:dyDescent="0.2">
      <c r="A525" s="257"/>
      <c r="B525" s="43"/>
      <c r="G525" s="233"/>
      <c r="H525" s="43"/>
      <c r="M525" s="233"/>
    </row>
    <row r="526" spans="1:13" ht="15" x14ac:dyDescent="0.2">
      <c r="A526" s="257"/>
      <c r="B526" s="43"/>
      <c r="G526" s="233"/>
      <c r="H526" s="43"/>
      <c r="M526" s="233"/>
    </row>
    <row r="527" spans="1:13" ht="15" x14ac:dyDescent="0.2">
      <c r="A527" s="257"/>
      <c r="B527" s="43"/>
      <c r="G527" s="233"/>
      <c r="H527" s="43"/>
      <c r="M527" s="233"/>
    </row>
    <row r="528" spans="1:13" ht="15" x14ac:dyDescent="0.2">
      <c r="A528" s="257"/>
      <c r="B528" s="43"/>
      <c r="G528" s="233"/>
      <c r="H528" s="43"/>
      <c r="M528" s="233"/>
    </row>
    <row r="529" spans="1:13" ht="15" x14ac:dyDescent="0.2">
      <c r="A529" s="257"/>
      <c r="B529" s="43"/>
      <c r="G529" s="233"/>
      <c r="H529" s="43"/>
      <c r="M529" s="233"/>
    </row>
    <row r="530" spans="1:13" ht="15" x14ac:dyDescent="0.2">
      <c r="A530" s="257"/>
      <c r="B530" s="43"/>
      <c r="G530" s="233"/>
      <c r="H530" s="43"/>
      <c r="M530" s="233"/>
    </row>
    <row r="531" spans="1:13" ht="15" x14ac:dyDescent="0.2">
      <c r="A531" s="257"/>
      <c r="B531" s="43"/>
      <c r="G531" s="233"/>
      <c r="H531" s="43"/>
      <c r="M531" s="233"/>
    </row>
    <row r="532" spans="1:13" ht="15" x14ac:dyDescent="0.2">
      <c r="A532" s="257"/>
      <c r="B532" s="43"/>
      <c r="G532" s="233"/>
      <c r="H532" s="43"/>
      <c r="M532" s="233"/>
    </row>
    <row r="533" spans="1:13" ht="15" x14ac:dyDescent="0.2">
      <c r="A533" s="257"/>
      <c r="B533" s="43"/>
      <c r="G533" s="233"/>
      <c r="H533" s="43"/>
      <c r="M533" s="233"/>
    </row>
    <row r="534" spans="1:13" ht="15" x14ac:dyDescent="0.2">
      <c r="A534" s="257"/>
      <c r="B534" s="43"/>
      <c r="G534" s="233"/>
      <c r="H534" s="43"/>
      <c r="M534" s="233"/>
    </row>
    <row r="535" spans="1:13" ht="15" x14ac:dyDescent="0.2">
      <c r="A535" s="257"/>
      <c r="B535" s="43"/>
      <c r="G535" s="233"/>
      <c r="H535" s="43"/>
      <c r="M535" s="233"/>
    </row>
    <row r="536" spans="1:13" ht="15" x14ac:dyDescent="0.2">
      <c r="A536" s="257"/>
      <c r="B536" s="43"/>
      <c r="G536" s="233"/>
      <c r="H536" s="43"/>
      <c r="M536" s="233"/>
    </row>
    <row r="537" spans="1:13" ht="15" x14ac:dyDescent="0.2">
      <c r="A537" s="257"/>
      <c r="B537" s="43"/>
      <c r="G537" s="233"/>
      <c r="H537" s="43"/>
      <c r="M537" s="233"/>
    </row>
    <row r="538" spans="1:13" ht="15" x14ac:dyDescent="0.2">
      <c r="A538" s="257"/>
      <c r="B538" s="43"/>
      <c r="G538" s="233"/>
      <c r="H538" s="43"/>
      <c r="M538" s="233"/>
    </row>
    <row r="539" spans="1:13" ht="15" x14ac:dyDescent="0.2">
      <c r="A539" s="257"/>
      <c r="B539" s="43"/>
      <c r="G539" s="233"/>
      <c r="H539" s="43"/>
      <c r="M539" s="233"/>
    </row>
    <row r="540" spans="1:13" ht="15" x14ac:dyDescent="0.2">
      <c r="A540" s="257"/>
      <c r="B540" s="43"/>
      <c r="G540" s="233"/>
      <c r="H540" s="43"/>
      <c r="M540" s="233"/>
    </row>
    <row r="541" spans="1:13" ht="15" x14ac:dyDescent="0.2">
      <c r="A541" s="257"/>
      <c r="B541" s="43"/>
      <c r="G541" s="233"/>
      <c r="H541" s="43"/>
      <c r="M541" s="233"/>
    </row>
    <row r="542" spans="1:13" ht="15" x14ac:dyDescent="0.2">
      <c r="A542" s="257"/>
      <c r="B542" s="43"/>
      <c r="G542" s="233"/>
      <c r="H542" s="43"/>
      <c r="M542" s="233"/>
    </row>
    <row r="543" spans="1:13" ht="15" x14ac:dyDescent="0.2">
      <c r="A543" s="257"/>
      <c r="B543" s="43"/>
      <c r="G543" s="233"/>
      <c r="H543" s="43"/>
      <c r="M543" s="233"/>
    </row>
    <row r="544" spans="1:13" ht="15" x14ac:dyDescent="0.2">
      <c r="A544" s="257"/>
      <c r="B544" s="43"/>
      <c r="G544" s="233"/>
      <c r="H544" s="43"/>
      <c r="M544" s="233"/>
    </row>
    <row r="545" spans="1:13" ht="15" x14ac:dyDescent="0.2">
      <c r="A545" s="257"/>
      <c r="B545" s="43"/>
      <c r="G545" s="233"/>
      <c r="H545" s="43"/>
      <c r="M545" s="233"/>
    </row>
    <row r="546" spans="1:13" ht="15" x14ac:dyDescent="0.2">
      <c r="A546" s="257"/>
      <c r="B546" s="43"/>
      <c r="G546" s="233"/>
      <c r="H546" s="43"/>
      <c r="M546" s="233"/>
    </row>
    <row r="547" spans="1:13" ht="15" x14ac:dyDescent="0.2">
      <c r="A547" s="257"/>
      <c r="B547" s="43"/>
      <c r="G547" s="233"/>
      <c r="H547" s="43"/>
      <c r="M547" s="233"/>
    </row>
    <row r="548" spans="1:13" ht="15" x14ac:dyDescent="0.2">
      <c r="A548" s="257"/>
      <c r="B548" s="43"/>
      <c r="G548" s="233"/>
      <c r="H548" s="43"/>
      <c r="M548" s="233"/>
    </row>
    <row r="549" spans="1:13" ht="15" x14ac:dyDescent="0.2">
      <c r="A549" s="257"/>
      <c r="B549" s="43"/>
      <c r="G549" s="233"/>
      <c r="H549" s="43"/>
      <c r="M549" s="233"/>
    </row>
    <row r="550" spans="1:13" ht="15" x14ac:dyDescent="0.2">
      <c r="A550" s="257"/>
      <c r="B550" s="43"/>
      <c r="G550" s="233"/>
      <c r="H550" s="43"/>
      <c r="M550" s="233"/>
    </row>
    <row r="551" spans="1:13" ht="15" x14ac:dyDescent="0.2">
      <c r="A551" s="257"/>
      <c r="B551" s="43"/>
      <c r="G551" s="233"/>
      <c r="H551" s="43"/>
      <c r="M551" s="233"/>
    </row>
    <row r="552" spans="1:13" ht="15" x14ac:dyDescent="0.2">
      <c r="A552" s="257"/>
      <c r="B552" s="43"/>
      <c r="G552" s="233"/>
      <c r="H552" s="43"/>
      <c r="M552" s="233"/>
    </row>
    <row r="553" spans="1:13" ht="15" x14ac:dyDescent="0.2">
      <c r="A553" s="257"/>
      <c r="B553" s="43"/>
      <c r="G553" s="233"/>
      <c r="H553" s="43"/>
      <c r="M553" s="233"/>
    </row>
    <row r="554" spans="1:13" ht="15" x14ac:dyDescent="0.2">
      <c r="A554" s="257"/>
      <c r="B554" s="43"/>
      <c r="G554" s="233"/>
      <c r="H554" s="43"/>
      <c r="M554" s="233"/>
    </row>
    <row r="555" spans="1:13" ht="15" x14ac:dyDescent="0.2">
      <c r="A555" s="257"/>
      <c r="B555" s="43"/>
      <c r="G555" s="233"/>
      <c r="H555" s="43"/>
      <c r="M555" s="233"/>
    </row>
    <row r="556" spans="1:13" ht="15" x14ac:dyDescent="0.2">
      <c r="A556" s="257"/>
      <c r="B556" s="43"/>
      <c r="G556" s="233"/>
      <c r="H556" s="43"/>
      <c r="M556" s="233"/>
    </row>
    <row r="557" spans="1:13" ht="15" x14ac:dyDescent="0.2">
      <c r="A557" s="257"/>
      <c r="B557" s="43"/>
      <c r="G557" s="233"/>
      <c r="H557" s="43"/>
      <c r="M557" s="233"/>
    </row>
    <row r="558" spans="1:13" ht="15" x14ac:dyDescent="0.2">
      <c r="A558" s="257"/>
      <c r="B558" s="43"/>
      <c r="G558" s="233"/>
      <c r="H558" s="43"/>
      <c r="M558" s="233"/>
    </row>
    <row r="559" spans="1:13" ht="15" x14ac:dyDescent="0.2">
      <c r="A559" s="257"/>
      <c r="B559" s="43"/>
      <c r="G559" s="233"/>
      <c r="H559" s="43"/>
      <c r="M559" s="233"/>
    </row>
    <row r="560" spans="1:13" ht="15" x14ac:dyDescent="0.2">
      <c r="A560" s="257"/>
      <c r="B560" s="43"/>
      <c r="G560" s="233"/>
      <c r="H560" s="43"/>
      <c r="M560" s="233"/>
    </row>
    <row r="561" spans="1:13" ht="15" x14ac:dyDescent="0.2">
      <c r="A561" s="257"/>
      <c r="B561" s="43"/>
      <c r="G561" s="233"/>
      <c r="H561" s="43"/>
      <c r="M561" s="233"/>
    </row>
    <row r="562" spans="1:13" ht="15" x14ac:dyDescent="0.2">
      <c r="A562" s="257"/>
      <c r="B562" s="43"/>
      <c r="G562" s="233"/>
      <c r="H562" s="43"/>
      <c r="M562" s="233"/>
    </row>
    <row r="563" spans="1:13" ht="15" x14ac:dyDescent="0.2">
      <c r="A563" s="257"/>
      <c r="B563" s="43"/>
      <c r="G563" s="233"/>
      <c r="H563" s="43"/>
      <c r="M563" s="233"/>
    </row>
    <row r="564" spans="1:13" ht="15" x14ac:dyDescent="0.2">
      <c r="A564" s="257"/>
      <c r="B564" s="43"/>
      <c r="G564" s="233"/>
      <c r="H564" s="43"/>
      <c r="M564" s="233"/>
    </row>
    <row r="565" spans="1:13" ht="15" x14ac:dyDescent="0.2">
      <c r="A565" s="257"/>
      <c r="B565" s="43"/>
      <c r="G565" s="233"/>
      <c r="H565" s="43"/>
      <c r="M565" s="233"/>
    </row>
    <row r="566" spans="1:13" ht="15" x14ac:dyDescent="0.2">
      <c r="A566" s="257"/>
      <c r="B566" s="43"/>
      <c r="G566" s="233"/>
      <c r="H566" s="43"/>
      <c r="M566" s="233"/>
    </row>
    <row r="567" spans="1:13" ht="15" x14ac:dyDescent="0.2">
      <c r="A567" s="257"/>
      <c r="B567" s="43"/>
      <c r="G567" s="233"/>
      <c r="H567" s="43"/>
      <c r="M567" s="233"/>
    </row>
    <row r="568" spans="1:13" ht="15" x14ac:dyDescent="0.2">
      <c r="A568" s="257"/>
      <c r="B568" s="43"/>
      <c r="G568" s="233"/>
      <c r="H568" s="43"/>
      <c r="M568" s="233"/>
    </row>
    <row r="569" spans="1:13" ht="15" x14ac:dyDescent="0.2">
      <c r="A569" s="257"/>
      <c r="B569" s="43"/>
      <c r="G569" s="233"/>
      <c r="H569" s="43"/>
      <c r="M569" s="233"/>
    </row>
    <row r="570" spans="1:13" ht="15" x14ac:dyDescent="0.2">
      <c r="A570" s="257"/>
      <c r="B570" s="43"/>
      <c r="G570" s="233"/>
      <c r="H570" s="43"/>
      <c r="M570" s="233"/>
    </row>
    <row r="571" spans="1:13" ht="15" x14ac:dyDescent="0.2">
      <c r="A571" s="257"/>
      <c r="B571" s="43"/>
      <c r="G571" s="233"/>
      <c r="H571" s="43"/>
      <c r="M571" s="233"/>
    </row>
    <row r="572" spans="1:13" ht="15" x14ac:dyDescent="0.2">
      <c r="A572" s="257"/>
      <c r="B572" s="43"/>
      <c r="G572" s="233"/>
      <c r="H572" s="43"/>
      <c r="M572" s="233"/>
    </row>
    <row r="573" spans="1:13" ht="15" x14ac:dyDescent="0.2">
      <c r="A573" s="257"/>
      <c r="B573" s="43"/>
      <c r="G573" s="233"/>
      <c r="H573" s="43"/>
      <c r="M573" s="233"/>
    </row>
    <row r="574" spans="1:13" ht="15" x14ac:dyDescent="0.2">
      <c r="A574" s="257"/>
      <c r="B574" s="43"/>
      <c r="G574" s="233"/>
      <c r="H574" s="43"/>
      <c r="M574" s="233"/>
    </row>
    <row r="575" spans="1:13" ht="15" x14ac:dyDescent="0.2">
      <c r="A575" s="257"/>
      <c r="B575" s="43"/>
      <c r="G575" s="233"/>
      <c r="H575" s="43"/>
      <c r="M575" s="233"/>
    </row>
    <row r="576" spans="1:13" ht="15" x14ac:dyDescent="0.2">
      <c r="A576" s="257"/>
      <c r="B576" s="43"/>
      <c r="G576" s="233"/>
      <c r="H576" s="43"/>
      <c r="M576" s="233"/>
    </row>
    <row r="577" spans="1:13" ht="15" x14ac:dyDescent="0.2">
      <c r="A577" s="257"/>
      <c r="B577" s="43"/>
      <c r="G577" s="233"/>
      <c r="H577" s="43"/>
      <c r="M577" s="233"/>
    </row>
    <row r="578" spans="1:13" ht="15" x14ac:dyDescent="0.2">
      <c r="A578" s="257"/>
      <c r="B578" s="43"/>
      <c r="G578" s="233"/>
      <c r="H578" s="43"/>
      <c r="M578" s="233"/>
    </row>
    <row r="579" spans="1:13" ht="15" x14ac:dyDescent="0.2">
      <c r="A579" s="257"/>
      <c r="B579" s="43"/>
      <c r="G579" s="233"/>
      <c r="H579" s="43"/>
      <c r="M579" s="233"/>
    </row>
    <row r="580" spans="1:13" ht="15" x14ac:dyDescent="0.2">
      <c r="A580" s="257"/>
      <c r="B580" s="43"/>
      <c r="G580" s="233"/>
      <c r="H580" s="43"/>
      <c r="M580" s="233"/>
    </row>
    <row r="581" spans="1:13" ht="15" x14ac:dyDescent="0.2">
      <c r="A581" s="257"/>
      <c r="B581" s="43"/>
      <c r="G581" s="233"/>
      <c r="H581" s="43"/>
      <c r="M581" s="233"/>
    </row>
    <row r="582" spans="1:13" ht="15" x14ac:dyDescent="0.2">
      <c r="A582" s="257"/>
      <c r="B582" s="43"/>
      <c r="G582" s="233"/>
      <c r="H582" s="43"/>
      <c r="M582" s="233"/>
    </row>
    <row r="583" spans="1:13" ht="15" x14ac:dyDescent="0.2">
      <c r="A583" s="257"/>
      <c r="B583" s="43"/>
      <c r="G583" s="233"/>
      <c r="H583" s="43"/>
      <c r="M583" s="233"/>
    </row>
    <row r="584" spans="1:13" ht="15" x14ac:dyDescent="0.2">
      <c r="A584" s="257"/>
      <c r="B584" s="43"/>
      <c r="G584" s="233"/>
      <c r="H584" s="43"/>
      <c r="M584" s="233"/>
    </row>
    <row r="585" spans="1:13" ht="15" x14ac:dyDescent="0.2">
      <c r="A585" s="257"/>
      <c r="B585" s="43"/>
      <c r="G585" s="233"/>
      <c r="H585" s="43"/>
      <c r="M585" s="233"/>
    </row>
    <row r="586" spans="1:13" ht="15" x14ac:dyDescent="0.2">
      <c r="A586" s="257"/>
      <c r="B586" s="43"/>
      <c r="G586" s="233"/>
      <c r="H586" s="43"/>
      <c r="M586" s="233"/>
    </row>
    <row r="587" spans="1:13" ht="15" x14ac:dyDescent="0.2">
      <c r="A587" s="257"/>
      <c r="B587" s="43"/>
      <c r="G587" s="233"/>
      <c r="H587" s="43"/>
      <c r="M587" s="233"/>
    </row>
    <row r="588" spans="1:13" ht="15" x14ac:dyDescent="0.2">
      <c r="A588" s="257"/>
      <c r="B588" s="43"/>
      <c r="G588" s="233"/>
      <c r="H588" s="43"/>
      <c r="M588" s="233"/>
    </row>
    <row r="589" spans="1:13" ht="15" x14ac:dyDescent="0.2">
      <c r="A589" s="257"/>
      <c r="B589" s="43"/>
      <c r="G589" s="233"/>
      <c r="H589" s="43"/>
      <c r="M589" s="233"/>
    </row>
    <row r="590" spans="1:13" ht="15" x14ac:dyDescent="0.2">
      <c r="A590" s="257"/>
      <c r="B590" s="43"/>
      <c r="G590" s="233"/>
      <c r="H590" s="43"/>
      <c r="M590" s="233"/>
    </row>
    <row r="591" spans="1:13" ht="15" x14ac:dyDescent="0.2">
      <c r="A591" s="257"/>
      <c r="B591" s="43"/>
      <c r="G591" s="233"/>
      <c r="H591" s="43"/>
      <c r="M591" s="233"/>
    </row>
    <row r="592" spans="1:13" ht="15" x14ac:dyDescent="0.2">
      <c r="A592" s="257"/>
      <c r="B592" s="43"/>
      <c r="G592" s="233"/>
      <c r="H592" s="43"/>
      <c r="M592" s="233"/>
    </row>
    <row r="593" spans="1:13" ht="15" x14ac:dyDescent="0.2">
      <c r="A593" s="257"/>
      <c r="B593" s="43"/>
      <c r="G593" s="233"/>
      <c r="H593" s="43"/>
      <c r="M593" s="233"/>
    </row>
    <row r="594" spans="1:13" ht="15" x14ac:dyDescent="0.2">
      <c r="A594" s="257"/>
      <c r="B594" s="43"/>
      <c r="G594" s="233"/>
      <c r="H594" s="43"/>
      <c r="M594" s="233"/>
    </row>
    <row r="595" spans="1:13" ht="15" x14ac:dyDescent="0.2">
      <c r="A595" s="257"/>
      <c r="B595" s="43"/>
      <c r="G595" s="233"/>
      <c r="H595" s="43"/>
      <c r="M595" s="233"/>
    </row>
    <row r="596" spans="1:13" ht="15" x14ac:dyDescent="0.2">
      <c r="A596" s="257"/>
      <c r="B596" s="43"/>
      <c r="G596" s="233"/>
      <c r="H596" s="43"/>
      <c r="M596" s="233"/>
    </row>
    <row r="597" spans="1:13" ht="15" x14ac:dyDescent="0.2">
      <c r="A597" s="257"/>
      <c r="B597" s="43"/>
      <c r="G597" s="233"/>
      <c r="H597" s="43"/>
      <c r="M597" s="233"/>
    </row>
    <row r="598" spans="1:13" ht="15" x14ac:dyDescent="0.2">
      <c r="A598" s="257"/>
      <c r="B598" s="43"/>
      <c r="G598" s="233"/>
      <c r="H598" s="43"/>
      <c r="M598" s="233"/>
    </row>
    <row r="599" spans="1:13" ht="15" x14ac:dyDescent="0.2">
      <c r="A599" s="257"/>
      <c r="B599" s="43"/>
      <c r="G599" s="233"/>
      <c r="H599" s="43"/>
      <c r="M599" s="233"/>
    </row>
    <row r="600" spans="1:13" ht="15" x14ac:dyDescent="0.2">
      <c r="A600" s="257"/>
      <c r="B600" s="43"/>
      <c r="G600" s="233"/>
      <c r="H600" s="43"/>
      <c r="M600" s="233"/>
    </row>
    <row r="601" spans="1:13" ht="15" x14ac:dyDescent="0.2">
      <c r="A601" s="257"/>
      <c r="B601" s="43"/>
      <c r="G601" s="233"/>
      <c r="H601" s="43"/>
      <c r="M601" s="233"/>
    </row>
    <row r="602" spans="1:13" ht="15" x14ac:dyDescent="0.2">
      <c r="A602" s="257"/>
      <c r="B602" s="43"/>
      <c r="G602" s="233"/>
      <c r="H602" s="43"/>
      <c r="M602" s="233"/>
    </row>
    <row r="603" spans="1:13" ht="15" x14ac:dyDescent="0.2">
      <c r="A603" s="257"/>
      <c r="B603" s="43"/>
      <c r="G603" s="233"/>
      <c r="H603" s="43"/>
      <c r="M603" s="233"/>
    </row>
    <row r="604" spans="1:13" ht="15" x14ac:dyDescent="0.2">
      <c r="A604" s="257"/>
      <c r="B604" s="43"/>
      <c r="G604" s="233"/>
      <c r="H604" s="43"/>
      <c r="M604" s="233"/>
    </row>
    <row r="605" spans="1:13" ht="15" x14ac:dyDescent="0.2">
      <c r="A605" s="257"/>
      <c r="B605" s="43"/>
      <c r="G605" s="233"/>
      <c r="H605" s="43"/>
      <c r="M605" s="233"/>
    </row>
    <row r="606" spans="1:13" ht="15" x14ac:dyDescent="0.2">
      <c r="A606" s="257"/>
      <c r="B606" s="43"/>
      <c r="G606" s="233"/>
      <c r="H606" s="43"/>
      <c r="M606" s="233"/>
    </row>
    <row r="607" spans="1:13" ht="15" x14ac:dyDescent="0.2">
      <c r="A607" s="257"/>
      <c r="B607" s="43"/>
      <c r="G607" s="233"/>
      <c r="H607" s="43"/>
      <c r="M607" s="233"/>
    </row>
    <row r="608" spans="1:13" ht="15" x14ac:dyDescent="0.2">
      <c r="A608" s="257"/>
      <c r="B608" s="43"/>
      <c r="G608" s="233"/>
      <c r="H608" s="43"/>
      <c r="M608" s="233"/>
    </row>
    <row r="609" spans="1:13" ht="15" x14ac:dyDescent="0.2">
      <c r="A609" s="257"/>
      <c r="B609" s="43"/>
      <c r="G609" s="233"/>
      <c r="H609" s="43"/>
      <c r="M609" s="233"/>
    </row>
    <row r="610" spans="1:13" ht="15" x14ac:dyDescent="0.2">
      <c r="A610" s="257"/>
      <c r="B610" s="43"/>
      <c r="G610" s="233"/>
      <c r="H610" s="43"/>
      <c r="M610" s="233"/>
    </row>
    <row r="611" spans="1:13" ht="15" x14ac:dyDescent="0.2">
      <c r="A611" s="257"/>
      <c r="B611" s="43"/>
      <c r="G611" s="233"/>
      <c r="H611" s="43"/>
      <c r="M611" s="233"/>
    </row>
    <row r="612" spans="1:13" ht="15" x14ac:dyDescent="0.2">
      <c r="A612" s="257"/>
      <c r="B612" s="43"/>
      <c r="G612" s="233"/>
      <c r="H612" s="43"/>
      <c r="M612" s="233"/>
    </row>
    <row r="613" spans="1:13" ht="15" x14ac:dyDescent="0.2">
      <c r="A613" s="257"/>
      <c r="B613" s="43"/>
      <c r="G613" s="233"/>
      <c r="H613" s="43"/>
      <c r="M613" s="233"/>
    </row>
    <row r="614" spans="1:13" ht="15" x14ac:dyDescent="0.2">
      <c r="A614" s="257"/>
      <c r="B614" s="43"/>
      <c r="G614" s="233"/>
      <c r="H614" s="43"/>
      <c r="M614" s="233"/>
    </row>
    <row r="615" spans="1:13" ht="15" x14ac:dyDescent="0.2">
      <c r="A615" s="257"/>
      <c r="B615" s="43"/>
      <c r="G615" s="233"/>
      <c r="H615" s="43"/>
      <c r="M615" s="233"/>
    </row>
    <row r="616" spans="1:13" ht="15" x14ac:dyDescent="0.2">
      <c r="A616" s="257"/>
      <c r="B616" s="43"/>
      <c r="G616" s="233"/>
      <c r="H616" s="43"/>
      <c r="M616" s="233"/>
    </row>
    <row r="617" spans="1:13" ht="15" x14ac:dyDescent="0.2">
      <c r="A617" s="257"/>
      <c r="B617" s="43"/>
      <c r="G617" s="233"/>
      <c r="H617" s="43"/>
      <c r="M617" s="233"/>
    </row>
    <row r="618" spans="1:13" ht="15" x14ac:dyDescent="0.2">
      <c r="A618" s="257"/>
      <c r="B618" s="43"/>
      <c r="G618" s="233"/>
      <c r="H618" s="43"/>
      <c r="M618" s="233"/>
    </row>
    <row r="619" spans="1:13" ht="15" x14ac:dyDescent="0.2">
      <c r="A619" s="257"/>
      <c r="B619" s="43"/>
      <c r="G619" s="233"/>
      <c r="H619" s="43"/>
      <c r="M619" s="233"/>
    </row>
    <row r="620" spans="1:13" ht="15" x14ac:dyDescent="0.2">
      <c r="A620" s="257"/>
      <c r="B620" s="43"/>
      <c r="G620" s="233"/>
      <c r="H620" s="43"/>
      <c r="M620" s="233"/>
    </row>
    <row r="621" spans="1:13" ht="15" x14ac:dyDescent="0.2">
      <c r="A621" s="257"/>
      <c r="B621" s="43"/>
      <c r="G621" s="233"/>
      <c r="H621" s="43"/>
      <c r="M621" s="233"/>
    </row>
    <row r="622" spans="1:13" ht="15" x14ac:dyDescent="0.2">
      <c r="A622" s="257"/>
      <c r="B622" s="43"/>
      <c r="G622" s="233"/>
      <c r="H622" s="43"/>
      <c r="M622" s="233"/>
    </row>
    <row r="623" spans="1:13" ht="15" x14ac:dyDescent="0.2">
      <c r="A623" s="257"/>
      <c r="B623" s="43"/>
      <c r="G623" s="233"/>
      <c r="H623" s="43"/>
      <c r="M623" s="233"/>
    </row>
    <row r="624" spans="1:13" ht="15" x14ac:dyDescent="0.2">
      <c r="A624" s="257"/>
      <c r="B624" s="43"/>
      <c r="G624" s="233"/>
      <c r="H624" s="43"/>
      <c r="M624" s="233"/>
    </row>
    <row r="625" spans="1:13" ht="15" x14ac:dyDescent="0.2">
      <c r="A625" s="257"/>
      <c r="B625" s="43"/>
      <c r="G625" s="233"/>
      <c r="H625" s="43"/>
      <c r="M625" s="233"/>
    </row>
    <row r="626" spans="1:13" ht="15" x14ac:dyDescent="0.2">
      <c r="A626" s="257"/>
      <c r="B626" s="43"/>
      <c r="G626" s="233"/>
      <c r="H626" s="43"/>
      <c r="M626" s="233"/>
    </row>
    <row r="627" spans="1:13" ht="15" x14ac:dyDescent="0.2">
      <c r="A627" s="257"/>
      <c r="B627" s="43"/>
      <c r="G627" s="233"/>
      <c r="H627" s="43"/>
      <c r="M627" s="233"/>
    </row>
    <row r="628" spans="1:13" ht="15" x14ac:dyDescent="0.2">
      <c r="A628" s="257"/>
      <c r="B628" s="43"/>
      <c r="G628" s="233"/>
      <c r="H628" s="43"/>
      <c r="M628" s="233"/>
    </row>
    <row r="629" spans="1:13" ht="15" x14ac:dyDescent="0.2">
      <c r="A629" s="257"/>
      <c r="B629" s="43"/>
      <c r="G629" s="233"/>
      <c r="H629" s="43"/>
      <c r="M629" s="233"/>
    </row>
    <row r="630" spans="1:13" ht="15" x14ac:dyDescent="0.2">
      <c r="A630" s="257"/>
      <c r="B630" s="43"/>
      <c r="G630" s="233"/>
      <c r="H630" s="43"/>
      <c r="M630" s="233"/>
    </row>
    <row r="631" spans="1:13" ht="15" x14ac:dyDescent="0.2">
      <c r="A631" s="257"/>
      <c r="B631" s="43"/>
      <c r="G631" s="233"/>
      <c r="H631" s="43"/>
      <c r="M631" s="233"/>
    </row>
    <row r="632" spans="1:13" ht="15" x14ac:dyDescent="0.2">
      <c r="A632" s="257"/>
      <c r="B632" s="43"/>
      <c r="G632" s="233"/>
      <c r="H632" s="43"/>
      <c r="M632" s="233"/>
    </row>
    <row r="633" spans="1:13" ht="15" x14ac:dyDescent="0.2">
      <c r="A633" s="257"/>
      <c r="B633" s="43"/>
      <c r="G633" s="233"/>
      <c r="H633" s="43"/>
      <c r="M633" s="233"/>
    </row>
    <row r="634" spans="1:13" ht="15" x14ac:dyDescent="0.2">
      <c r="A634" s="257"/>
      <c r="B634" s="43"/>
      <c r="G634" s="233"/>
      <c r="H634" s="43"/>
      <c r="M634" s="233"/>
    </row>
    <row r="635" spans="1:13" ht="15" x14ac:dyDescent="0.2">
      <c r="A635" s="257"/>
      <c r="B635" s="43"/>
      <c r="G635" s="233"/>
      <c r="H635" s="43"/>
      <c r="M635" s="233"/>
    </row>
    <row r="636" spans="1:13" ht="15" x14ac:dyDescent="0.2">
      <c r="A636" s="257"/>
      <c r="B636" s="43"/>
      <c r="G636" s="233"/>
      <c r="H636" s="43"/>
      <c r="M636" s="233"/>
    </row>
    <row r="637" spans="1:13" ht="15" x14ac:dyDescent="0.2">
      <c r="A637" s="257"/>
      <c r="B637" s="43"/>
      <c r="G637" s="233"/>
      <c r="H637" s="43"/>
      <c r="M637" s="233"/>
    </row>
    <row r="638" spans="1:13" ht="15" x14ac:dyDescent="0.2">
      <c r="A638" s="257"/>
      <c r="B638" s="43"/>
      <c r="G638" s="233"/>
      <c r="H638" s="43"/>
      <c r="M638" s="233"/>
    </row>
    <row r="639" spans="1:13" ht="15" x14ac:dyDescent="0.2">
      <c r="A639" s="257"/>
      <c r="B639" s="43"/>
      <c r="G639" s="233"/>
      <c r="H639" s="43"/>
      <c r="M639" s="233"/>
    </row>
    <row r="640" spans="1:13" ht="15" x14ac:dyDescent="0.2">
      <c r="A640" s="257"/>
      <c r="B640" s="43"/>
      <c r="G640" s="233"/>
      <c r="H640" s="43"/>
      <c r="M640" s="233"/>
    </row>
    <row r="641" spans="1:13" ht="15" x14ac:dyDescent="0.2">
      <c r="A641" s="257"/>
      <c r="B641" s="43"/>
      <c r="G641" s="233"/>
      <c r="H641" s="43"/>
      <c r="M641" s="233"/>
    </row>
    <row r="642" spans="1:13" ht="15" x14ac:dyDescent="0.2">
      <c r="A642" s="257"/>
      <c r="B642" s="43"/>
      <c r="G642" s="233"/>
      <c r="H642" s="43"/>
      <c r="M642" s="233"/>
    </row>
    <row r="643" spans="1:13" ht="15" x14ac:dyDescent="0.2">
      <c r="A643" s="257"/>
      <c r="B643" s="43"/>
      <c r="G643" s="233"/>
      <c r="H643" s="43"/>
      <c r="M643" s="233"/>
    </row>
    <row r="644" spans="1:13" ht="15" x14ac:dyDescent="0.2">
      <c r="A644" s="257"/>
      <c r="B644" s="43"/>
      <c r="G644" s="233"/>
      <c r="H644" s="43"/>
      <c r="M644" s="233"/>
    </row>
    <row r="645" spans="1:13" ht="15" x14ac:dyDescent="0.2">
      <c r="A645" s="257"/>
      <c r="B645" s="43"/>
      <c r="G645" s="233"/>
      <c r="H645" s="43"/>
      <c r="M645" s="233"/>
    </row>
    <row r="646" spans="1:13" ht="15" x14ac:dyDescent="0.2">
      <c r="A646" s="257"/>
      <c r="B646" s="43"/>
      <c r="G646" s="233"/>
      <c r="H646" s="43"/>
      <c r="M646" s="233"/>
    </row>
    <row r="647" spans="1:13" ht="15" x14ac:dyDescent="0.2">
      <c r="A647" s="257"/>
      <c r="B647" s="43"/>
      <c r="G647" s="233"/>
      <c r="H647" s="43"/>
      <c r="M647" s="233"/>
    </row>
    <row r="648" spans="1:13" ht="15" x14ac:dyDescent="0.2">
      <c r="A648" s="257"/>
      <c r="B648" s="43"/>
      <c r="G648" s="233"/>
      <c r="H648" s="43"/>
      <c r="M648" s="233"/>
    </row>
    <row r="649" spans="1:13" ht="15" x14ac:dyDescent="0.2">
      <c r="A649" s="257"/>
      <c r="B649" s="43"/>
      <c r="G649" s="233"/>
      <c r="H649" s="43"/>
      <c r="M649" s="233"/>
    </row>
    <row r="650" spans="1:13" ht="15" x14ac:dyDescent="0.2">
      <c r="A650" s="257"/>
      <c r="B650" s="43"/>
      <c r="G650" s="233"/>
      <c r="H650" s="43"/>
      <c r="M650" s="233"/>
    </row>
    <row r="651" spans="1:13" ht="15" x14ac:dyDescent="0.2">
      <c r="A651" s="257"/>
      <c r="B651" s="43"/>
      <c r="G651" s="233"/>
      <c r="H651" s="43"/>
      <c r="M651" s="233"/>
    </row>
    <row r="652" spans="1:13" ht="15" x14ac:dyDescent="0.2">
      <c r="A652" s="257"/>
      <c r="B652" s="43"/>
      <c r="G652" s="233"/>
      <c r="H652" s="43"/>
      <c r="M652" s="233"/>
    </row>
    <row r="653" spans="1:13" ht="15" x14ac:dyDescent="0.2">
      <c r="A653" s="257"/>
      <c r="B653" s="43"/>
      <c r="G653" s="233"/>
      <c r="H653" s="43"/>
      <c r="M653" s="233"/>
    </row>
    <row r="654" spans="1:13" ht="15" x14ac:dyDescent="0.2">
      <c r="A654" s="257"/>
      <c r="B654" s="43"/>
      <c r="G654" s="233"/>
      <c r="H654" s="43"/>
      <c r="M654" s="233"/>
    </row>
    <row r="655" spans="1:13" ht="15" x14ac:dyDescent="0.2">
      <c r="A655" s="257"/>
      <c r="B655" s="43"/>
      <c r="G655" s="233"/>
      <c r="H655" s="43"/>
      <c r="M655" s="233"/>
    </row>
    <row r="656" spans="1:13" ht="15" x14ac:dyDescent="0.2">
      <c r="A656" s="257"/>
      <c r="B656" s="43"/>
      <c r="G656" s="233"/>
      <c r="H656" s="43"/>
      <c r="M656" s="233"/>
    </row>
    <row r="657" spans="1:13" ht="15" x14ac:dyDescent="0.2">
      <c r="A657" s="257"/>
      <c r="B657" s="43"/>
      <c r="G657" s="233"/>
      <c r="H657" s="43"/>
      <c r="M657" s="233"/>
    </row>
    <row r="658" spans="1:13" ht="15" x14ac:dyDescent="0.2">
      <c r="A658" s="257"/>
      <c r="B658" s="43"/>
      <c r="G658" s="233"/>
      <c r="H658" s="43"/>
      <c r="M658" s="233"/>
    </row>
    <row r="659" spans="1:13" ht="15" x14ac:dyDescent="0.2">
      <c r="A659" s="257"/>
      <c r="B659" s="43"/>
      <c r="G659" s="233"/>
      <c r="H659" s="43"/>
      <c r="M659" s="233"/>
    </row>
    <row r="660" spans="1:13" ht="15" x14ac:dyDescent="0.2">
      <c r="A660" s="257"/>
      <c r="B660" s="43"/>
      <c r="G660" s="233"/>
      <c r="H660" s="43"/>
      <c r="M660" s="233"/>
    </row>
    <row r="661" spans="1:13" ht="15" x14ac:dyDescent="0.2">
      <c r="A661" s="257"/>
      <c r="B661" s="43"/>
      <c r="G661" s="233"/>
      <c r="H661" s="43"/>
      <c r="M661" s="233"/>
    </row>
    <row r="662" spans="1:13" ht="15" x14ac:dyDescent="0.2">
      <c r="A662" s="257"/>
      <c r="B662" s="43"/>
      <c r="G662" s="233"/>
      <c r="H662" s="43"/>
      <c r="M662" s="233"/>
    </row>
    <row r="663" spans="1:13" ht="15" x14ac:dyDescent="0.2">
      <c r="A663" s="257"/>
      <c r="B663" s="43"/>
      <c r="G663" s="233"/>
      <c r="H663" s="43"/>
      <c r="M663" s="233"/>
    </row>
    <row r="664" spans="1:13" ht="15" x14ac:dyDescent="0.2">
      <c r="A664" s="257"/>
      <c r="B664" s="43"/>
      <c r="G664" s="233"/>
      <c r="H664" s="43"/>
      <c r="M664" s="233"/>
    </row>
    <row r="665" spans="1:13" ht="15" x14ac:dyDescent="0.2">
      <c r="A665" s="257"/>
      <c r="B665" s="43"/>
      <c r="G665" s="233"/>
      <c r="H665" s="43"/>
      <c r="M665" s="233"/>
    </row>
    <row r="666" spans="1:13" ht="15" x14ac:dyDescent="0.2">
      <c r="A666" s="257"/>
      <c r="B666" s="43"/>
      <c r="G666" s="233"/>
      <c r="H666" s="43"/>
      <c r="M666" s="233"/>
    </row>
    <row r="667" spans="1:13" ht="15" x14ac:dyDescent="0.2">
      <c r="A667" s="257"/>
      <c r="B667" s="43"/>
      <c r="G667" s="233"/>
      <c r="H667" s="43"/>
      <c r="M667" s="233"/>
    </row>
    <row r="668" spans="1:13" ht="15" x14ac:dyDescent="0.2">
      <c r="A668" s="257"/>
      <c r="B668" s="43"/>
      <c r="G668" s="233"/>
      <c r="H668" s="43"/>
      <c r="M668" s="233"/>
    </row>
    <row r="669" spans="1:13" ht="15" x14ac:dyDescent="0.2">
      <c r="A669" s="257"/>
      <c r="B669" s="43"/>
      <c r="G669" s="233"/>
      <c r="H669" s="43"/>
      <c r="M669" s="233"/>
    </row>
    <row r="670" spans="1:13" ht="15" x14ac:dyDescent="0.2">
      <c r="A670" s="257"/>
      <c r="B670" s="43"/>
      <c r="G670" s="233"/>
      <c r="H670" s="43"/>
      <c r="M670" s="233"/>
    </row>
    <row r="671" spans="1:13" ht="15" x14ac:dyDescent="0.2">
      <c r="A671" s="257"/>
      <c r="B671" s="43"/>
      <c r="G671" s="233"/>
      <c r="H671" s="43"/>
      <c r="M671" s="233"/>
    </row>
    <row r="672" spans="1:13" ht="15" x14ac:dyDescent="0.2">
      <c r="A672" s="257"/>
      <c r="B672" s="43"/>
      <c r="G672" s="233"/>
      <c r="H672" s="43"/>
      <c r="M672" s="233"/>
    </row>
    <row r="673" spans="1:13" ht="15" x14ac:dyDescent="0.2">
      <c r="A673" s="257"/>
      <c r="B673" s="43"/>
      <c r="G673" s="233"/>
      <c r="H673" s="43"/>
      <c r="M673" s="233"/>
    </row>
    <row r="674" spans="1:13" ht="15" x14ac:dyDescent="0.2">
      <c r="A674" s="257"/>
      <c r="B674" s="43"/>
      <c r="G674" s="233"/>
      <c r="H674" s="43"/>
      <c r="M674" s="233"/>
    </row>
    <row r="675" spans="1:13" ht="15" x14ac:dyDescent="0.2">
      <c r="A675" s="257"/>
      <c r="B675" s="43"/>
      <c r="G675" s="233"/>
      <c r="H675" s="43"/>
      <c r="M675" s="233"/>
    </row>
    <row r="676" spans="1:13" ht="15" x14ac:dyDescent="0.2">
      <c r="A676" s="257"/>
      <c r="B676" s="43"/>
      <c r="G676" s="233"/>
      <c r="H676" s="43"/>
      <c r="M676" s="233"/>
    </row>
    <row r="677" spans="1:13" ht="15" x14ac:dyDescent="0.2">
      <c r="A677" s="257"/>
      <c r="B677" s="43"/>
      <c r="G677" s="233"/>
      <c r="H677" s="43"/>
      <c r="M677" s="233"/>
    </row>
    <row r="678" spans="1:13" ht="15" x14ac:dyDescent="0.2">
      <c r="A678" s="257"/>
      <c r="B678" s="43"/>
      <c r="G678" s="233"/>
      <c r="H678" s="43"/>
      <c r="M678" s="233"/>
    </row>
    <row r="679" spans="1:13" ht="15" x14ac:dyDescent="0.2">
      <c r="A679" s="257"/>
      <c r="B679" s="43"/>
      <c r="G679" s="233"/>
      <c r="H679" s="43"/>
      <c r="M679" s="233"/>
    </row>
    <row r="680" spans="1:13" ht="15" x14ac:dyDescent="0.2">
      <c r="A680" s="257"/>
      <c r="B680" s="43"/>
      <c r="G680" s="233"/>
      <c r="H680" s="43"/>
      <c r="M680" s="233"/>
    </row>
    <row r="681" spans="1:13" ht="15" x14ac:dyDescent="0.2">
      <c r="A681" s="257"/>
      <c r="B681" s="43"/>
      <c r="G681" s="233"/>
      <c r="H681" s="43"/>
      <c r="M681" s="233"/>
    </row>
    <row r="682" spans="1:13" ht="15" x14ac:dyDescent="0.2">
      <c r="A682" s="257"/>
      <c r="B682" s="43"/>
      <c r="G682" s="233"/>
      <c r="H682" s="43"/>
      <c r="M682" s="233"/>
    </row>
    <row r="683" spans="1:13" ht="15" x14ac:dyDescent="0.2">
      <c r="A683" s="257"/>
      <c r="B683" s="43"/>
      <c r="G683" s="233"/>
      <c r="H683" s="43"/>
      <c r="M683" s="233"/>
    </row>
    <row r="684" spans="1:13" ht="15" x14ac:dyDescent="0.2">
      <c r="A684" s="257"/>
      <c r="B684" s="43"/>
      <c r="G684" s="233"/>
      <c r="H684" s="43"/>
      <c r="M684" s="233"/>
    </row>
    <row r="685" spans="1:13" ht="15" x14ac:dyDescent="0.2">
      <c r="A685" s="257"/>
      <c r="B685" s="43"/>
      <c r="G685" s="233"/>
      <c r="H685" s="43"/>
      <c r="M685" s="233"/>
    </row>
    <row r="686" spans="1:13" ht="15" x14ac:dyDescent="0.2">
      <c r="A686" s="257"/>
      <c r="B686" s="43"/>
      <c r="G686" s="233"/>
      <c r="H686" s="43"/>
      <c r="M686" s="233"/>
    </row>
    <row r="687" spans="1:13" ht="15" x14ac:dyDescent="0.2">
      <c r="A687" s="257"/>
      <c r="B687" s="43"/>
      <c r="G687" s="233"/>
      <c r="H687" s="43"/>
      <c r="M687" s="233"/>
    </row>
    <row r="688" spans="1:13" ht="15" x14ac:dyDescent="0.2">
      <c r="A688" s="257"/>
      <c r="B688" s="43"/>
      <c r="G688" s="233"/>
      <c r="H688" s="43"/>
      <c r="M688" s="233"/>
    </row>
    <row r="689" spans="1:13" ht="15" x14ac:dyDescent="0.2">
      <c r="A689" s="257"/>
      <c r="B689" s="43"/>
      <c r="G689" s="233"/>
      <c r="H689" s="43"/>
      <c r="M689" s="233"/>
    </row>
    <row r="690" spans="1:13" ht="15" x14ac:dyDescent="0.2">
      <c r="A690" s="257"/>
      <c r="B690" s="43"/>
      <c r="G690" s="233"/>
      <c r="H690" s="43"/>
      <c r="M690" s="233"/>
    </row>
    <row r="691" spans="1:13" ht="15" x14ac:dyDescent="0.2">
      <c r="A691" s="257"/>
      <c r="B691" s="43"/>
      <c r="G691" s="233"/>
      <c r="H691" s="43"/>
      <c r="M691" s="233"/>
    </row>
    <row r="692" spans="1:13" ht="15" x14ac:dyDescent="0.2">
      <c r="A692" s="257"/>
      <c r="B692" s="43"/>
      <c r="G692" s="233"/>
      <c r="H692" s="43"/>
      <c r="M692" s="233"/>
    </row>
    <row r="693" spans="1:13" ht="15" x14ac:dyDescent="0.2">
      <c r="A693" s="257"/>
      <c r="B693" s="43"/>
      <c r="G693" s="233"/>
      <c r="H693" s="43"/>
      <c r="M693" s="233"/>
    </row>
    <row r="694" spans="1:13" ht="15" x14ac:dyDescent="0.2">
      <c r="A694" s="257"/>
      <c r="B694" s="43"/>
      <c r="G694" s="233"/>
      <c r="H694" s="43"/>
      <c r="M694" s="233"/>
    </row>
    <row r="695" spans="1:13" ht="15" x14ac:dyDescent="0.2">
      <c r="A695" s="257"/>
      <c r="B695" s="43"/>
      <c r="G695" s="233"/>
      <c r="H695" s="43"/>
      <c r="M695" s="233"/>
    </row>
    <row r="696" spans="1:13" ht="15" x14ac:dyDescent="0.2">
      <c r="A696" s="257"/>
      <c r="B696" s="43"/>
      <c r="G696" s="233"/>
      <c r="H696" s="43"/>
      <c r="M696" s="233"/>
    </row>
    <row r="697" spans="1:13" ht="15" x14ac:dyDescent="0.2">
      <c r="A697" s="257"/>
      <c r="B697" s="43"/>
      <c r="G697" s="233"/>
      <c r="H697" s="43"/>
      <c r="M697" s="233"/>
    </row>
    <row r="698" spans="1:13" ht="15" x14ac:dyDescent="0.2">
      <c r="A698" s="257"/>
      <c r="B698" s="43"/>
      <c r="G698" s="233"/>
      <c r="H698" s="43"/>
      <c r="M698" s="233"/>
    </row>
    <row r="699" spans="1:13" ht="15" x14ac:dyDescent="0.2">
      <c r="A699" s="257"/>
      <c r="B699" s="43"/>
      <c r="G699" s="233"/>
      <c r="H699" s="43"/>
      <c r="M699" s="233"/>
    </row>
    <row r="700" spans="1:13" ht="15" x14ac:dyDescent="0.2">
      <c r="A700" s="257"/>
      <c r="B700" s="43"/>
      <c r="G700" s="233"/>
      <c r="H700" s="43"/>
      <c r="M700" s="233"/>
    </row>
    <row r="701" spans="1:13" ht="15" x14ac:dyDescent="0.2">
      <c r="A701" s="257"/>
      <c r="B701" s="43"/>
      <c r="G701" s="233"/>
      <c r="H701" s="43"/>
      <c r="M701" s="233"/>
    </row>
    <row r="702" spans="1:13" ht="15" x14ac:dyDescent="0.2">
      <c r="A702" s="257"/>
      <c r="B702" s="43"/>
      <c r="G702" s="233"/>
      <c r="H702" s="43"/>
      <c r="M702" s="233"/>
    </row>
    <row r="703" spans="1:13" ht="15" x14ac:dyDescent="0.2">
      <c r="A703" s="257"/>
      <c r="B703" s="43"/>
      <c r="G703" s="233"/>
      <c r="H703" s="43"/>
      <c r="M703" s="233"/>
    </row>
    <row r="704" spans="1:13" ht="15" x14ac:dyDescent="0.2">
      <c r="A704" s="257"/>
      <c r="B704" s="43"/>
      <c r="G704" s="233"/>
      <c r="H704" s="43"/>
      <c r="M704" s="233"/>
    </row>
    <row r="705" spans="1:13" ht="15" x14ac:dyDescent="0.2">
      <c r="A705" s="257"/>
      <c r="B705" s="43"/>
      <c r="G705" s="233"/>
      <c r="H705" s="43"/>
      <c r="M705" s="233"/>
    </row>
    <row r="706" spans="1:13" ht="15" x14ac:dyDescent="0.2">
      <c r="A706" s="257"/>
      <c r="B706" s="43"/>
      <c r="G706" s="233"/>
      <c r="H706" s="43"/>
      <c r="M706" s="233"/>
    </row>
    <row r="707" spans="1:13" ht="15" x14ac:dyDescent="0.2">
      <c r="A707" s="257"/>
      <c r="B707" s="43"/>
      <c r="G707" s="233"/>
      <c r="H707" s="43"/>
      <c r="M707" s="233"/>
    </row>
    <row r="708" spans="1:13" ht="15" x14ac:dyDescent="0.2">
      <c r="A708" s="257"/>
      <c r="B708" s="43"/>
      <c r="G708" s="233"/>
      <c r="H708" s="43"/>
      <c r="M708" s="233"/>
    </row>
    <row r="709" spans="1:13" ht="15" x14ac:dyDescent="0.2">
      <c r="A709" s="257"/>
      <c r="B709" s="43"/>
      <c r="G709" s="233"/>
      <c r="H709" s="43"/>
      <c r="M709" s="233"/>
    </row>
    <row r="710" spans="1:13" ht="15" x14ac:dyDescent="0.2">
      <c r="A710" s="257"/>
      <c r="B710" s="43"/>
      <c r="G710" s="233"/>
      <c r="H710" s="43"/>
      <c r="M710" s="233"/>
    </row>
    <row r="711" spans="1:13" ht="15" x14ac:dyDescent="0.2">
      <c r="A711" s="257"/>
      <c r="B711" s="43"/>
      <c r="G711" s="233"/>
      <c r="H711" s="43"/>
      <c r="M711" s="233"/>
    </row>
    <row r="712" spans="1:13" ht="15" x14ac:dyDescent="0.2">
      <c r="A712" s="257"/>
      <c r="B712" s="43"/>
      <c r="G712" s="233"/>
      <c r="H712" s="43"/>
      <c r="M712" s="233"/>
    </row>
    <row r="713" spans="1:13" ht="15" x14ac:dyDescent="0.2">
      <c r="A713" s="257"/>
      <c r="B713" s="43"/>
      <c r="G713" s="233"/>
      <c r="H713" s="43"/>
      <c r="M713" s="233"/>
    </row>
    <row r="714" spans="1:13" ht="15" x14ac:dyDescent="0.2">
      <c r="A714" s="257"/>
      <c r="B714" s="43"/>
      <c r="G714" s="233"/>
      <c r="H714" s="43"/>
      <c r="M714" s="233"/>
    </row>
    <row r="715" spans="1:13" ht="15" x14ac:dyDescent="0.2">
      <c r="A715" s="257"/>
      <c r="B715" s="43"/>
      <c r="G715" s="233"/>
      <c r="H715" s="43"/>
      <c r="M715" s="233"/>
    </row>
    <row r="716" spans="1:13" ht="15" x14ac:dyDescent="0.2">
      <c r="A716" s="257"/>
      <c r="B716" s="43"/>
      <c r="G716" s="233"/>
      <c r="H716" s="43"/>
      <c r="M716" s="233"/>
    </row>
    <row r="717" spans="1:13" ht="15" x14ac:dyDescent="0.2">
      <c r="A717" s="257"/>
      <c r="B717" s="43"/>
      <c r="G717" s="233"/>
      <c r="H717" s="43"/>
      <c r="M717" s="233"/>
    </row>
    <row r="718" spans="1:13" ht="15" x14ac:dyDescent="0.2">
      <c r="A718" s="257"/>
      <c r="B718" s="43"/>
      <c r="G718" s="233"/>
      <c r="H718" s="43"/>
      <c r="M718" s="233"/>
    </row>
    <row r="719" spans="1:13" ht="15" x14ac:dyDescent="0.2">
      <c r="A719" s="257"/>
      <c r="B719" s="43"/>
      <c r="G719" s="233"/>
      <c r="H719" s="43"/>
      <c r="M719" s="233"/>
    </row>
    <row r="720" spans="1:13" ht="15" x14ac:dyDescent="0.2">
      <c r="A720" s="257"/>
      <c r="B720" s="43"/>
      <c r="G720" s="233"/>
      <c r="H720" s="43"/>
      <c r="M720" s="233"/>
    </row>
    <row r="721" spans="1:13" ht="15" x14ac:dyDescent="0.2">
      <c r="A721" s="257"/>
      <c r="B721" s="43"/>
      <c r="G721" s="233"/>
      <c r="H721" s="43"/>
      <c r="M721" s="233"/>
    </row>
    <row r="722" spans="1:13" ht="15" x14ac:dyDescent="0.2">
      <c r="A722" s="257"/>
      <c r="B722" s="43"/>
      <c r="G722" s="233"/>
      <c r="H722" s="43"/>
      <c r="M722" s="233"/>
    </row>
    <row r="723" spans="1:13" ht="15" x14ac:dyDescent="0.2">
      <c r="A723" s="257"/>
      <c r="B723" s="43"/>
      <c r="G723" s="233"/>
      <c r="H723" s="43"/>
      <c r="M723" s="233"/>
    </row>
    <row r="724" spans="1:13" ht="15" x14ac:dyDescent="0.2">
      <c r="A724" s="257"/>
      <c r="B724" s="43"/>
      <c r="G724" s="233"/>
      <c r="H724" s="43"/>
      <c r="M724" s="233"/>
    </row>
    <row r="725" spans="1:13" ht="15" x14ac:dyDescent="0.2">
      <c r="A725" s="257"/>
      <c r="B725" s="43"/>
      <c r="G725" s="233"/>
      <c r="H725" s="43"/>
      <c r="M725" s="233"/>
    </row>
    <row r="726" spans="1:13" ht="15" x14ac:dyDescent="0.2">
      <c r="A726" s="257"/>
      <c r="B726" s="43"/>
      <c r="G726" s="233"/>
      <c r="H726" s="43"/>
      <c r="M726" s="233"/>
    </row>
    <row r="727" spans="1:13" ht="15" x14ac:dyDescent="0.2">
      <c r="A727" s="257"/>
      <c r="B727" s="43"/>
      <c r="G727" s="233"/>
      <c r="H727" s="43"/>
      <c r="M727" s="233"/>
    </row>
    <row r="728" spans="1:13" ht="15" x14ac:dyDescent="0.2">
      <c r="A728" s="257"/>
      <c r="B728" s="43"/>
      <c r="G728" s="233"/>
      <c r="H728" s="43"/>
      <c r="M728" s="233"/>
    </row>
    <row r="729" spans="1:13" ht="15" x14ac:dyDescent="0.2">
      <c r="A729" s="257"/>
      <c r="B729" s="43"/>
      <c r="G729" s="233"/>
      <c r="H729" s="43"/>
      <c r="M729" s="233"/>
    </row>
    <row r="730" spans="1:13" ht="15" x14ac:dyDescent="0.2">
      <c r="A730" s="257"/>
      <c r="B730" s="43"/>
      <c r="G730" s="233"/>
      <c r="H730" s="43"/>
      <c r="M730" s="233"/>
    </row>
    <row r="731" spans="1:13" ht="15" x14ac:dyDescent="0.2">
      <c r="A731" s="257"/>
      <c r="B731" s="43"/>
      <c r="G731" s="233"/>
      <c r="H731" s="43"/>
      <c r="M731" s="233"/>
    </row>
    <row r="732" spans="1:13" ht="15" x14ac:dyDescent="0.2">
      <c r="A732" s="257"/>
      <c r="B732" s="43"/>
      <c r="G732" s="233"/>
      <c r="H732" s="43"/>
      <c r="M732" s="233"/>
    </row>
    <row r="733" spans="1:13" ht="15" x14ac:dyDescent="0.2">
      <c r="A733" s="257"/>
      <c r="B733" s="43"/>
      <c r="G733" s="233"/>
      <c r="H733" s="43"/>
      <c r="M733" s="233"/>
    </row>
    <row r="734" spans="1:13" ht="15" x14ac:dyDescent="0.2">
      <c r="A734" s="257"/>
      <c r="B734" s="43"/>
      <c r="G734" s="233"/>
      <c r="H734" s="43"/>
      <c r="M734" s="233"/>
    </row>
    <row r="735" spans="1:13" ht="15" x14ac:dyDescent="0.2">
      <c r="A735" s="257"/>
      <c r="B735" s="43"/>
      <c r="G735" s="233"/>
      <c r="H735" s="43"/>
      <c r="M735" s="233"/>
    </row>
    <row r="736" spans="1:13" ht="15" x14ac:dyDescent="0.2">
      <c r="A736" s="257"/>
      <c r="B736" s="43"/>
      <c r="G736" s="233"/>
      <c r="H736" s="43"/>
      <c r="M736" s="233"/>
    </row>
    <row r="737" spans="1:13" ht="15" x14ac:dyDescent="0.2">
      <c r="A737" s="257"/>
      <c r="B737" s="43"/>
      <c r="G737" s="233"/>
      <c r="H737" s="43"/>
      <c r="M737" s="233"/>
    </row>
    <row r="738" spans="1:13" ht="15" x14ac:dyDescent="0.2">
      <c r="A738" s="257"/>
      <c r="B738" s="43"/>
      <c r="G738" s="233"/>
      <c r="H738" s="43"/>
      <c r="M738" s="233"/>
    </row>
    <row r="739" spans="1:13" ht="15" x14ac:dyDescent="0.2">
      <c r="A739" s="257"/>
      <c r="B739" s="43"/>
      <c r="G739" s="233"/>
      <c r="H739" s="43"/>
      <c r="M739" s="233"/>
    </row>
    <row r="740" spans="1:13" ht="15" x14ac:dyDescent="0.2">
      <c r="A740" s="257"/>
      <c r="B740" s="43"/>
      <c r="G740" s="233"/>
      <c r="H740" s="43"/>
      <c r="M740" s="233"/>
    </row>
    <row r="741" spans="1:13" ht="15" x14ac:dyDescent="0.2">
      <c r="A741" s="257"/>
      <c r="B741" s="43"/>
      <c r="G741" s="233"/>
      <c r="H741" s="43"/>
      <c r="M741" s="233"/>
    </row>
    <row r="742" spans="1:13" ht="15" x14ac:dyDescent="0.2">
      <c r="A742" s="257"/>
      <c r="B742" s="43"/>
      <c r="G742" s="233"/>
      <c r="H742" s="43"/>
      <c r="M742" s="233"/>
    </row>
    <row r="743" spans="1:13" ht="15" x14ac:dyDescent="0.2">
      <c r="A743" s="257"/>
      <c r="B743" s="43"/>
      <c r="G743" s="233"/>
      <c r="H743" s="43"/>
      <c r="M743" s="233"/>
    </row>
    <row r="744" spans="1:13" ht="15" x14ac:dyDescent="0.2">
      <c r="A744" s="257"/>
      <c r="B744" s="43"/>
      <c r="G744" s="233"/>
      <c r="H744" s="43"/>
      <c r="M744" s="233"/>
    </row>
    <row r="745" spans="1:13" ht="15" x14ac:dyDescent="0.2">
      <c r="A745" s="257"/>
      <c r="B745" s="43"/>
      <c r="G745" s="233"/>
      <c r="H745" s="43"/>
      <c r="M745" s="233"/>
    </row>
    <row r="746" spans="1:13" ht="15" x14ac:dyDescent="0.2">
      <c r="A746" s="257"/>
      <c r="B746" s="43"/>
      <c r="G746" s="233"/>
      <c r="H746" s="43"/>
      <c r="M746" s="233"/>
    </row>
    <row r="747" spans="1:13" ht="15" x14ac:dyDescent="0.2">
      <c r="A747" s="257"/>
      <c r="B747" s="43"/>
      <c r="G747" s="233"/>
      <c r="H747" s="43"/>
      <c r="M747" s="233"/>
    </row>
    <row r="748" spans="1:13" ht="15" x14ac:dyDescent="0.2">
      <c r="A748" s="257"/>
      <c r="B748" s="43"/>
      <c r="G748" s="233"/>
      <c r="H748" s="43"/>
      <c r="M748" s="233"/>
    </row>
    <row r="749" spans="1:13" ht="15" x14ac:dyDescent="0.2">
      <c r="A749" s="257"/>
      <c r="B749" s="43"/>
      <c r="G749" s="233"/>
      <c r="H749" s="43"/>
      <c r="M749" s="233"/>
    </row>
    <row r="750" spans="1:13" ht="15" x14ac:dyDescent="0.2">
      <c r="A750" s="257"/>
      <c r="B750" s="43"/>
      <c r="G750" s="233"/>
      <c r="H750" s="43"/>
      <c r="M750" s="233"/>
    </row>
    <row r="751" spans="1:13" ht="15" x14ac:dyDescent="0.2">
      <c r="A751" s="257"/>
      <c r="B751" s="43"/>
      <c r="G751" s="233"/>
      <c r="H751" s="43"/>
      <c r="M751" s="233"/>
    </row>
    <row r="752" spans="1:13" ht="15" x14ac:dyDescent="0.2">
      <c r="A752" s="257"/>
      <c r="B752" s="43"/>
      <c r="G752" s="233"/>
      <c r="H752" s="43"/>
      <c r="M752" s="233"/>
    </row>
    <row r="753" spans="1:13" ht="15" x14ac:dyDescent="0.2">
      <c r="A753" s="257"/>
      <c r="B753" s="43"/>
      <c r="G753" s="233"/>
      <c r="H753" s="43"/>
      <c r="M753" s="233"/>
    </row>
    <row r="754" spans="1:13" ht="15" x14ac:dyDescent="0.2">
      <c r="A754" s="257"/>
      <c r="B754" s="43"/>
      <c r="G754" s="233"/>
      <c r="H754" s="43"/>
      <c r="M754" s="233"/>
    </row>
    <row r="755" spans="1:13" ht="15" x14ac:dyDescent="0.2">
      <c r="A755" s="257"/>
      <c r="B755" s="43"/>
      <c r="G755" s="233"/>
      <c r="H755" s="43"/>
      <c r="M755" s="233"/>
    </row>
    <row r="756" spans="1:13" ht="15" x14ac:dyDescent="0.2">
      <c r="A756" s="257"/>
      <c r="B756" s="43"/>
      <c r="G756" s="233"/>
      <c r="H756" s="43"/>
      <c r="M756" s="233"/>
    </row>
    <row r="757" spans="1:13" ht="15" x14ac:dyDescent="0.2">
      <c r="A757" s="257"/>
      <c r="B757" s="43"/>
      <c r="G757" s="233"/>
      <c r="H757" s="43"/>
      <c r="M757" s="233"/>
    </row>
    <row r="758" spans="1:13" ht="15" x14ac:dyDescent="0.2">
      <c r="A758" s="257"/>
      <c r="B758" s="43"/>
      <c r="G758" s="233"/>
      <c r="H758" s="43"/>
      <c r="M758" s="233"/>
    </row>
    <row r="759" spans="1:13" ht="15" x14ac:dyDescent="0.2">
      <c r="A759" s="257"/>
      <c r="B759" s="43"/>
      <c r="G759" s="233"/>
      <c r="H759" s="43"/>
      <c r="M759" s="233"/>
    </row>
    <row r="760" spans="1:13" ht="15" x14ac:dyDescent="0.2">
      <c r="A760" s="257"/>
      <c r="B760" s="43"/>
      <c r="G760" s="233"/>
      <c r="H760" s="43"/>
      <c r="M760" s="233"/>
    </row>
    <row r="761" spans="1:13" ht="15" x14ac:dyDescent="0.2">
      <c r="A761" s="257"/>
      <c r="B761" s="43"/>
      <c r="G761" s="233"/>
      <c r="H761" s="43"/>
      <c r="M761" s="233"/>
    </row>
    <row r="762" spans="1:13" ht="15" x14ac:dyDescent="0.2">
      <c r="A762" s="257"/>
      <c r="B762" s="43"/>
      <c r="G762" s="233"/>
      <c r="H762" s="43"/>
      <c r="M762" s="233"/>
    </row>
    <row r="763" spans="1:13" ht="15" x14ac:dyDescent="0.2">
      <c r="A763" s="257"/>
      <c r="B763" s="43"/>
      <c r="G763" s="233"/>
      <c r="H763" s="43"/>
      <c r="M763" s="233"/>
    </row>
    <row r="764" spans="1:13" ht="15" x14ac:dyDescent="0.2">
      <c r="A764" s="257"/>
      <c r="B764" s="43"/>
      <c r="G764" s="233"/>
      <c r="H764" s="43"/>
      <c r="M764" s="233"/>
    </row>
    <row r="765" spans="1:13" ht="15" x14ac:dyDescent="0.2">
      <c r="A765" s="257"/>
      <c r="B765" s="43"/>
      <c r="G765" s="233"/>
      <c r="H765" s="43"/>
      <c r="M765" s="233"/>
    </row>
    <row r="766" spans="1:13" ht="15" x14ac:dyDescent="0.2">
      <c r="A766" s="257"/>
      <c r="B766" s="43"/>
      <c r="G766" s="233"/>
      <c r="H766" s="43"/>
      <c r="M766" s="233"/>
    </row>
    <row r="767" spans="1:13" ht="15" x14ac:dyDescent="0.2">
      <c r="A767" s="257"/>
      <c r="B767" s="43"/>
      <c r="G767" s="233"/>
      <c r="H767" s="43"/>
      <c r="M767" s="233"/>
    </row>
    <row r="768" spans="1:13" ht="15" x14ac:dyDescent="0.2">
      <c r="A768" s="257"/>
      <c r="B768" s="43"/>
      <c r="G768" s="233"/>
      <c r="H768" s="43"/>
      <c r="M768" s="233"/>
    </row>
    <row r="769" spans="1:13" ht="15" x14ac:dyDescent="0.2">
      <c r="A769" s="257"/>
      <c r="B769" s="43"/>
      <c r="G769" s="233"/>
      <c r="H769" s="43"/>
      <c r="M769" s="233"/>
    </row>
    <row r="770" spans="1:13" ht="15" x14ac:dyDescent="0.2">
      <c r="A770" s="257"/>
      <c r="B770" s="43"/>
      <c r="G770" s="233"/>
      <c r="H770" s="43"/>
      <c r="M770" s="233"/>
    </row>
    <row r="771" spans="1:13" ht="15" x14ac:dyDescent="0.2">
      <c r="A771" s="257"/>
      <c r="B771" s="43"/>
      <c r="G771" s="233"/>
      <c r="H771" s="43"/>
      <c r="M771" s="233"/>
    </row>
    <row r="772" spans="1:13" ht="15" x14ac:dyDescent="0.2">
      <c r="A772" s="257"/>
      <c r="B772" s="43"/>
      <c r="G772" s="233"/>
      <c r="H772" s="43"/>
      <c r="M772" s="233"/>
    </row>
    <row r="773" spans="1:13" ht="15" x14ac:dyDescent="0.2">
      <c r="A773" s="257"/>
      <c r="B773" s="43"/>
      <c r="G773" s="233"/>
      <c r="H773" s="43"/>
      <c r="M773" s="233"/>
    </row>
    <row r="774" spans="1:13" ht="15" x14ac:dyDescent="0.2">
      <c r="A774" s="257"/>
      <c r="B774" s="43"/>
      <c r="G774" s="233"/>
      <c r="H774" s="43"/>
      <c r="M774" s="233"/>
    </row>
    <row r="775" spans="1:13" ht="15" x14ac:dyDescent="0.2">
      <c r="A775" s="257"/>
      <c r="B775" s="43"/>
      <c r="G775" s="233"/>
      <c r="H775" s="43"/>
      <c r="M775" s="233"/>
    </row>
    <row r="776" spans="1:13" ht="15" x14ac:dyDescent="0.2">
      <c r="A776" s="257"/>
      <c r="B776" s="43"/>
      <c r="G776" s="233"/>
      <c r="H776" s="43"/>
      <c r="M776" s="233"/>
    </row>
    <row r="777" spans="1:13" ht="15" x14ac:dyDescent="0.2">
      <c r="A777" s="257"/>
      <c r="B777" s="43"/>
      <c r="G777" s="233"/>
      <c r="H777" s="43"/>
      <c r="M777" s="233"/>
    </row>
    <row r="778" spans="1:13" ht="15" x14ac:dyDescent="0.2">
      <c r="A778" s="257"/>
      <c r="B778" s="43"/>
      <c r="G778" s="233"/>
      <c r="H778" s="43"/>
      <c r="M778" s="233"/>
    </row>
    <row r="779" spans="1:13" ht="15" x14ac:dyDescent="0.2">
      <c r="A779" s="257"/>
      <c r="B779" s="43"/>
      <c r="G779" s="233"/>
      <c r="H779" s="43"/>
      <c r="M779" s="233"/>
    </row>
    <row r="780" spans="1:13" ht="15" x14ac:dyDescent="0.2">
      <c r="A780" s="257"/>
      <c r="B780" s="43"/>
      <c r="G780" s="233"/>
      <c r="H780" s="43"/>
      <c r="M780" s="233"/>
    </row>
    <row r="781" spans="1:13" ht="15" x14ac:dyDescent="0.2">
      <c r="A781" s="257"/>
      <c r="B781" s="43"/>
      <c r="G781" s="233"/>
      <c r="H781" s="43"/>
      <c r="M781" s="233"/>
    </row>
    <row r="782" spans="1:13" ht="15" x14ac:dyDescent="0.2">
      <c r="A782" s="257"/>
      <c r="B782" s="43"/>
      <c r="G782" s="233"/>
      <c r="H782" s="43"/>
      <c r="M782" s="233"/>
    </row>
    <row r="783" spans="1:13" ht="15" x14ac:dyDescent="0.2">
      <c r="A783" s="257"/>
      <c r="B783" s="43"/>
      <c r="G783" s="233"/>
      <c r="H783" s="43"/>
      <c r="M783" s="233"/>
    </row>
    <row r="784" spans="1:13" ht="15" x14ac:dyDescent="0.2">
      <c r="A784" s="257"/>
      <c r="B784" s="43"/>
      <c r="G784" s="233"/>
      <c r="H784" s="43"/>
      <c r="M784" s="233"/>
    </row>
    <row r="785" spans="1:13" ht="15" x14ac:dyDescent="0.2">
      <c r="A785" s="257"/>
      <c r="B785" s="43"/>
      <c r="G785" s="233"/>
      <c r="H785" s="43"/>
      <c r="M785" s="233"/>
    </row>
    <row r="786" spans="1:13" ht="15" x14ac:dyDescent="0.2">
      <c r="A786" s="257"/>
      <c r="B786" s="43"/>
      <c r="G786" s="233"/>
      <c r="H786" s="43"/>
      <c r="M786" s="233"/>
    </row>
    <row r="787" spans="1:13" ht="15" x14ac:dyDescent="0.2">
      <c r="A787" s="257"/>
      <c r="B787" s="43"/>
      <c r="G787" s="233"/>
      <c r="H787" s="43"/>
      <c r="M787" s="233"/>
    </row>
    <row r="788" spans="1:13" ht="15" x14ac:dyDescent="0.2">
      <c r="A788" s="257"/>
      <c r="B788" s="43"/>
      <c r="G788" s="233"/>
      <c r="H788" s="43"/>
      <c r="M788" s="233"/>
    </row>
    <row r="789" spans="1:13" ht="15" x14ac:dyDescent="0.2">
      <c r="A789" s="257"/>
      <c r="B789" s="43"/>
      <c r="G789" s="233"/>
      <c r="H789" s="43"/>
      <c r="M789" s="233"/>
    </row>
    <row r="790" spans="1:13" ht="15" x14ac:dyDescent="0.2">
      <c r="A790" s="257"/>
      <c r="B790" s="43"/>
      <c r="G790" s="233"/>
      <c r="H790" s="43"/>
      <c r="M790" s="233"/>
    </row>
    <row r="791" spans="1:13" ht="15" x14ac:dyDescent="0.2">
      <c r="A791" s="257"/>
      <c r="B791" s="43"/>
      <c r="G791" s="233"/>
      <c r="H791" s="43"/>
      <c r="M791" s="233"/>
    </row>
    <row r="792" spans="1:13" ht="15" x14ac:dyDescent="0.2">
      <c r="A792" s="257"/>
      <c r="B792" s="43"/>
      <c r="G792" s="233"/>
      <c r="H792" s="43"/>
      <c r="M792" s="233"/>
    </row>
    <row r="793" spans="1:13" ht="15" x14ac:dyDescent="0.2">
      <c r="A793" s="257"/>
      <c r="B793" s="43"/>
      <c r="G793" s="233"/>
      <c r="H793" s="43"/>
      <c r="M793" s="233"/>
    </row>
    <row r="794" spans="1:13" ht="15" x14ac:dyDescent="0.2">
      <c r="A794" s="257"/>
      <c r="B794" s="43"/>
      <c r="G794" s="233"/>
      <c r="H794" s="43"/>
      <c r="M794" s="233"/>
    </row>
    <row r="795" spans="1:13" ht="15" x14ac:dyDescent="0.2">
      <c r="A795" s="257"/>
      <c r="B795" s="43"/>
      <c r="G795" s="233"/>
      <c r="H795" s="43"/>
      <c r="M795" s="233"/>
    </row>
    <row r="796" spans="1:13" ht="15" x14ac:dyDescent="0.2">
      <c r="A796" s="257"/>
      <c r="B796" s="43"/>
      <c r="G796" s="233"/>
      <c r="H796" s="43"/>
      <c r="M796" s="233"/>
    </row>
    <row r="797" spans="1:13" ht="15" x14ac:dyDescent="0.2">
      <c r="A797" s="257"/>
      <c r="B797" s="43"/>
      <c r="G797" s="233"/>
      <c r="H797" s="43"/>
      <c r="M797" s="233"/>
    </row>
    <row r="798" spans="1:13" ht="15" x14ac:dyDescent="0.2">
      <c r="A798" s="257"/>
      <c r="B798" s="43"/>
      <c r="G798" s="233"/>
      <c r="H798" s="43"/>
      <c r="M798" s="233"/>
    </row>
    <row r="799" spans="1:13" ht="15" x14ac:dyDescent="0.2">
      <c r="A799" s="257"/>
      <c r="B799" s="43"/>
      <c r="G799" s="233"/>
      <c r="H799" s="43"/>
      <c r="M799" s="233"/>
    </row>
    <row r="800" spans="1:13" ht="15" x14ac:dyDescent="0.2">
      <c r="A800" s="257"/>
      <c r="B800" s="43"/>
      <c r="G800" s="233"/>
      <c r="H800" s="43"/>
      <c r="M800" s="233"/>
    </row>
    <row r="801" spans="1:13" ht="15" x14ac:dyDescent="0.2">
      <c r="A801" s="257"/>
      <c r="B801" s="43"/>
      <c r="G801" s="233"/>
      <c r="H801" s="43"/>
      <c r="M801" s="233"/>
    </row>
    <row r="802" spans="1:13" ht="15" x14ac:dyDescent="0.2">
      <c r="A802" s="257"/>
      <c r="B802" s="43"/>
      <c r="G802" s="233"/>
      <c r="H802" s="43"/>
      <c r="M802" s="233"/>
    </row>
    <row r="803" spans="1:13" ht="15" x14ac:dyDescent="0.2">
      <c r="A803" s="257"/>
      <c r="B803" s="43"/>
      <c r="G803" s="233"/>
      <c r="H803" s="43"/>
      <c r="M803" s="233"/>
    </row>
    <row r="804" spans="1:13" ht="15" x14ac:dyDescent="0.2">
      <c r="A804" s="257"/>
      <c r="B804" s="43"/>
      <c r="G804" s="233"/>
      <c r="H804" s="43"/>
      <c r="M804" s="233"/>
    </row>
    <row r="805" spans="1:13" ht="15" x14ac:dyDescent="0.2">
      <c r="A805" s="257"/>
      <c r="B805" s="43"/>
      <c r="G805" s="233"/>
      <c r="H805" s="43"/>
      <c r="M805" s="233"/>
    </row>
    <row r="806" spans="1:13" ht="15" x14ac:dyDescent="0.2">
      <c r="A806" s="257"/>
      <c r="B806" s="43"/>
      <c r="G806" s="233"/>
      <c r="H806" s="43"/>
      <c r="M806" s="233"/>
    </row>
    <row r="807" spans="1:13" ht="15" x14ac:dyDescent="0.2">
      <c r="A807" s="257"/>
      <c r="B807" s="43"/>
      <c r="G807" s="233"/>
      <c r="H807" s="43"/>
      <c r="M807" s="233"/>
    </row>
    <row r="808" spans="1:13" ht="15" x14ac:dyDescent="0.2">
      <c r="A808" s="257"/>
      <c r="B808" s="43"/>
      <c r="G808" s="233"/>
      <c r="H808" s="43"/>
      <c r="M808" s="233"/>
    </row>
    <row r="809" spans="1:13" ht="15" x14ac:dyDescent="0.2">
      <c r="A809" s="257"/>
      <c r="B809" s="43"/>
      <c r="G809" s="233"/>
      <c r="H809" s="43"/>
      <c r="M809" s="233"/>
    </row>
    <row r="810" spans="1:13" ht="15" x14ac:dyDescent="0.2">
      <c r="A810" s="257"/>
      <c r="B810" s="43"/>
      <c r="G810" s="233"/>
      <c r="H810" s="43"/>
      <c r="M810" s="233"/>
    </row>
    <row r="811" spans="1:13" ht="15" x14ac:dyDescent="0.2">
      <c r="A811" s="257"/>
      <c r="B811" s="43"/>
      <c r="G811" s="233"/>
      <c r="H811" s="43"/>
      <c r="M811" s="233"/>
    </row>
    <row r="812" spans="1:13" ht="15" x14ac:dyDescent="0.2">
      <c r="A812" s="257"/>
      <c r="B812" s="43"/>
      <c r="G812" s="233"/>
      <c r="H812" s="43"/>
      <c r="M812" s="233"/>
    </row>
    <row r="813" spans="1:13" ht="15" x14ac:dyDescent="0.2">
      <c r="A813" s="257"/>
      <c r="B813" s="43"/>
      <c r="G813" s="233"/>
      <c r="H813" s="43"/>
      <c r="M813" s="233"/>
    </row>
    <row r="814" spans="1:13" ht="15" x14ac:dyDescent="0.2">
      <c r="A814" s="257"/>
      <c r="B814" s="43"/>
      <c r="G814" s="233"/>
      <c r="H814" s="43"/>
      <c r="M814" s="233"/>
    </row>
    <row r="815" spans="1:13" ht="15" x14ac:dyDescent="0.2">
      <c r="A815" s="257"/>
      <c r="B815" s="43"/>
      <c r="G815" s="233"/>
      <c r="H815" s="43"/>
      <c r="M815" s="233"/>
    </row>
    <row r="816" spans="1:13" ht="15" x14ac:dyDescent="0.2">
      <c r="A816" s="257"/>
      <c r="B816" s="43"/>
      <c r="G816" s="233"/>
      <c r="H816" s="43"/>
      <c r="M816" s="233"/>
    </row>
    <row r="817" spans="1:13" ht="15" x14ac:dyDescent="0.2">
      <c r="A817" s="257"/>
      <c r="B817" s="43"/>
      <c r="G817" s="233"/>
      <c r="H817" s="43"/>
      <c r="M817" s="233"/>
    </row>
    <row r="818" spans="1:13" ht="15" x14ac:dyDescent="0.2">
      <c r="A818" s="257"/>
      <c r="B818" s="43"/>
      <c r="G818" s="233"/>
      <c r="H818" s="43"/>
      <c r="M818" s="233"/>
    </row>
    <row r="819" spans="1:13" ht="15" x14ac:dyDescent="0.2">
      <c r="A819" s="257"/>
      <c r="B819" s="43"/>
      <c r="G819" s="233"/>
      <c r="H819" s="43"/>
      <c r="M819" s="233"/>
    </row>
    <row r="820" spans="1:13" ht="15" x14ac:dyDescent="0.2">
      <c r="A820" s="257"/>
      <c r="B820" s="43"/>
      <c r="G820" s="233"/>
      <c r="H820" s="43"/>
      <c r="M820" s="233"/>
    </row>
    <row r="821" spans="1:13" ht="15" x14ac:dyDescent="0.2">
      <c r="A821" s="257"/>
      <c r="B821" s="43"/>
      <c r="G821" s="233"/>
      <c r="H821" s="43"/>
      <c r="M821" s="233"/>
    </row>
    <row r="822" spans="1:13" ht="15" x14ac:dyDescent="0.2">
      <c r="A822" s="257"/>
      <c r="B822" s="43"/>
      <c r="G822" s="233"/>
      <c r="H822" s="43"/>
      <c r="M822" s="233"/>
    </row>
    <row r="823" spans="1:13" ht="15" x14ac:dyDescent="0.2">
      <c r="A823" s="257"/>
      <c r="B823" s="43"/>
      <c r="G823" s="233"/>
      <c r="H823" s="43"/>
      <c r="M823" s="233"/>
    </row>
    <row r="824" spans="1:13" ht="15" x14ac:dyDescent="0.2">
      <c r="A824" s="257"/>
      <c r="B824" s="43"/>
      <c r="G824" s="233"/>
      <c r="H824" s="43"/>
      <c r="M824" s="233"/>
    </row>
    <row r="825" spans="1:13" ht="15" x14ac:dyDescent="0.2">
      <c r="A825" s="257"/>
      <c r="B825" s="43"/>
      <c r="G825" s="233"/>
      <c r="H825" s="43"/>
      <c r="M825" s="233"/>
    </row>
    <row r="826" spans="1:13" ht="15" x14ac:dyDescent="0.2">
      <c r="A826" s="257"/>
      <c r="B826" s="43"/>
      <c r="G826" s="233"/>
      <c r="H826" s="43"/>
      <c r="M826" s="233"/>
    </row>
    <row r="827" spans="1:13" ht="15" x14ac:dyDescent="0.2">
      <c r="A827" s="257"/>
      <c r="B827" s="43"/>
      <c r="G827" s="233"/>
      <c r="H827" s="43"/>
      <c r="M827" s="233"/>
    </row>
    <row r="828" spans="1:13" ht="15" x14ac:dyDescent="0.2">
      <c r="A828" s="257"/>
      <c r="B828" s="43"/>
      <c r="G828" s="233"/>
      <c r="H828" s="43"/>
      <c r="M828" s="233"/>
    </row>
    <row r="829" spans="1:13" ht="15" x14ac:dyDescent="0.2">
      <c r="A829" s="257"/>
      <c r="B829" s="43"/>
      <c r="G829" s="233"/>
      <c r="H829" s="43"/>
      <c r="M829" s="233"/>
    </row>
    <row r="830" spans="1:13" ht="15" x14ac:dyDescent="0.2">
      <c r="A830" s="257"/>
      <c r="B830" s="43"/>
      <c r="G830" s="233"/>
      <c r="H830" s="43"/>
      <c r="M830" s="233"/>
    </row>
    <row r="831" spans="1:13" ht="15" x14ac:dyDescent="0.2">
      <c r="A831" s="257"/>
      <c r="B831" s="43"/>
      <c r="G831" s="233"/>
      <c r="H831" s="43"/>
      <c r="M831" s="233"/>
    </row>
    <row r="832" spans="1:13" ht="15" x14ac:dyDescent="0.2">
      <c r="A832" s="257"/>
      <c r="B832" s="43"/>
      <c r="G832" s="233"/>
      <c r="H832" s="43"/>
      <c r="M832" s="233"/>
    </row>
    <row r="833" spans="1:13" ht="15" x14ac:dyDescent="0.2">
      <c r="A833" s="257"/>
      <c r="B833" s="43"/>
      <c r="G833" s="233"/>
      <c r="H833" s="43"/>
      <c r="M833" s="233"/>
    </row>
    <row r="834" spans="1:13" ht="15" x14ac:dyDescent="0.2">
      <c r="A834" s="257"/>
      <c r="B834" s="43"/>
      <c r="G834" s="233"/>
      <c r="H834" s="43"/>
      <c r="M834" s="233"/>
    </row>
    <row r="835" spans="1:13" ht="15" x14ac:dyDescent="0.2">
      <c r="A835" s="257"/>
      <c r="B835" s="43"/>
      <c r="G835" s="233"/>
      <c r="H835" s="43"/>
      <c r="M835" s="233"/>
    </row>
    <row r="836" spans="1:13" ht="15" x14ac:dyDescent="0.2">
      <c r="A836" s="257"/>
      <c r="B836" s="43"/>
      <c r="G836" s="233"/>
      <c r="H836" s="43"/>
      <c r="M836" s="233"/>
    </row>
    <row r="837" spans="1:13" ht="15" x14ac:dyDescent="0.2">
      <c r="A837" s="257"/>
      <c r="B837" s="43"/>
      <c r="G837" s="233"/>
      <c r="H837" s="43"/>
      <c r="M837" s="233"/>
    </row>
    <row r="838" spans="1:13" ht="15" x14ac:dyDescent="0.2">
      <c r="A838" s="257"/>
      <c r="B838" s="43"/>
      <c r="G838" s="233"/>
      <c r="H838" s="43"/>
      <c r="M838" s="233"/>
    </row>
    <row r="839" spans="1:13" ht="15" x14ac:dyDescent="0.2">
      <c r="A839" s="257"/>
      <c r="B839" s="43"/>
      <c r="G839" s="233"/>
      <c r="H839" s="43"/>
      <c r="M839" s="233"/>
    </row>
    <row r="840" spans="1:13" ht="15" x14ac:dyDescent="0.2">
      <c r="A840" s="257"/>
      <c r="B840" s="43"/>
      <c r="G840" s="233"/>
      <c r="H840" s="43"/>
      <c r="M840" s="233"/>
    </row>
    <row r="841" spans="1:13" ht="15" x14ac:dyDescent="0.2">
      <c r="A841" s="257"/>
      <c r="B841" s="43"/>
      <c r="G841" s="233"/>
      <c r="H841" s="43"/>
      <c r="M841" s="233"/>
    </row>
    <row r="842" spans="1:13" ht="15" x14ac:dyDescent="0.2">
      <c r="A842" s="257"/>
      <c r="B842" s="43"/>
      <c r="G842" s="233"/>
      <c r="H842" s="43"/>
      <c r="M842" s="233"/>
    </row>
    <row r="843" spans="1:13" ht="15" x14ac:dyDescent="0.2">
      <c r="A843" s="257"/>
      <c r="B843" s="43"/>
      <c r="G843" s="233"/>
      <c r="H843" s="43"/>
      <c r="M843" s="233"/>
    </row>
    <row r="844" spans="1:13" ht="15" x14ac:dyDescent="0.2">
      <c r="A844" s="257"/>
      <c r="B844" s="43"/>
      <c r="G844" s="233"/>
      <c r="H844" s="43"/>
      <c r="M844" s="233"/>
    </row>
    <row r="845" spans="1:13" ht="15" x14ac:dyDescent="0.2">
      <c r="A845" s="257"/>
      <c r="B845" s="43"/>
      <c r="G845" s="233"/>
      <c r="H845" s="43"/>
      <c r="M845" s="233"/>
    </row>
    <row r="846" spans="1:13" ht="15" x14ac:dyDescent="0.2">
      <c r="A846" s="257"/>
      <c r="B846" s="43"/>
      <c r="G846" s="233"/>
      <c r="H846" s="43"/>
      <c r="M846" s="233"/>
    </row>
    <row r="847" spans="1:13" ht="15" x14ac:dyDescent="0.2">
      <c r="A847" s="257"/>
      <c r="B847" s="43"/>
      <c r="G847" s="233"/>
      <c r="H847" s="43"/>
      <c r="M847" s="233"/>
    </row>
    <row r="848" spans="1:13" ht="15" x14ac:dyDescent="0.2">
      <c r="A848" s="257"/>
      <c r="B848" s="43"/>
      <c r="G848" s="233"/>
      <c r="H848" s="43"/>
      <c r="M848" s="233"/>
    </row>
    <row r="849" spans="1:13" ht="15" x14ac:dyDescent="0.2">
      <c r="A849" s="257"/>
      <c r="B849" s="43"/>
      <c r="G849" s="233"/>
      <c r="H849" s="43"/>
      <c r="M849" s="233"/>
    </row>
    <row r="850" spans="1:13" ht="15" x14ac:dyDescent="0.2">
      <c r="A850" s="257"/>
      <c r="B850" s="43"/>
      <c r="G850" s="233"/>
      <c r="H850" s="43"/>
      <c r="M850" s="233"/>
    </row>
    <row r="851" spans="1:13" ht="15" x14ac:dyDescent="0.2">
      <c r="A851" s="257"/>
      <c r="B851" s="43"/>
      <c r="G851" s="233"/>
      <c r="H851" s="43"/>
      <c r="M851" s="233"/>
    </row>
    <row r="852" spans="1:13" ht="15" x14ac:dyDescent="0.2">
      <c r="A852" s="257"/>
      <c r="B852" s="43"/>
      <c r="G852" s="233"/>
      <c r="H852" s="43"/>
      <c r="M852" s="233"/>
    </row>
    <row r="853" spans="1:13" ht="15" x14ac:dyDescent="0.2">
      <c r="A853" s="257"/>
      <c r="B853" s="43"/>
      <c r="G853" s="233"/>
      <c r="H853" s="43"/>
      <c r="M853" s="233"/>
    </row>
    <row r="854" spans="1:13" ht="15" x14ac:dyDescent="0.2">
      <c r="A854" s="257"/>
      <c r="B854" s="43"/>
      <c r="G854" s="233"/>
      <c r="H854" s="43"/>
      <c r="M854" s="233"/>
    </row>
    <row r="855" spans="1:13" ht="15" x14ac:dyDescent="0.2">
      <c r="A855" s="257"/>
      <c r="B855" s="43"/>
      <c r="G855" s="233"/>
      <c r="H855" s="43"/>
      <c r="M855" s="233"/>
    </row>
    <row r="856" spans="1:13" ht="15" x14ac:dyDescent="0.2">
      <c r="A856" s="257"/>
      <c r="B856" s="43"/>
      <c r="G856" s="233"/>
      <c r="H856" s="43"/>
      <c r="M856" s="233"/>
    </row>
    <row r="857" spans="1:13" ht="15" x14ac:dyDescent="0.2">
      <c r="A857" s="257"/>
      <c r="B857" s="43"/>
      <c r="G857" s="233"/>
      <c r="H857" s="43"/>
      <c r="M857" s="233"/>
    </row>
    <row r="858" spans="1:13" ht="15" x14ac:dyDescent="0.2">
      <c r="A858" s="257"/>
      <c r="B858" s="43"/>
      <c r="G858" s="233"/>
      <c r="H858" s="43"/>
      <c r="M858" s="233"/>
    </row>
    <row r="859" spans="1:13" ht="15" x14ac:dyDescent="0.2">
      <c r="A859" s="257"/>
      <c r="B859" s="43"/>
      <c r="G859" s="233"/>
      <c r="H859" s="43"/>
      <c r="M859" s="233"/>
    </row>
    <row r="860" spans="1:13" ht="15" x14ac:dyDescent="0.2">
      <c r="A860" s="257"/>
      <c r="B860" s="43"/>
      <c r="G860" s="233"/>
      <c r="H860" s="43"/>
      <c r="M860" s="233"/>
    </row>
    <row r="861" spans="1:13" ht="15" x14ac:dyDescent="0.2">
      <c r="A861" s="257"/>
      <c r="B861" s="43"/>
      <c r="G861" s="233"/>
      <c r="H861" s="43"/>
      <c r="M861" s="233"/>
    </row>
    <row r="862" spans="1:13" ht="15" x14ac:dyDescent="0.2">
      <c r="A862" s="257"/>
      <c r="B862" s="43"/>
      <c r="G862" s="233"/>
      <c r="H862" s="43"/>
      <c r="M862" s="233"/>
    </row>
    <row r="863" spans="1:13" ht="15" x14ac:dyDescent="0.2">
      <c r="A863" s="257"/>
      <c r="B863" s="43"/>
      <c r="G863" s="233"/>
      <c r="H863" s="43"/>
      <c r="M863" s="233"/>
    </row>
    <row r="864" spans="1:13" ht="15" x14ac:dyDescent="0.2">
      <c r="A864" s="257"/>
      <c r="B864" s="43"/>
      <c r="G864" s="233"/>
      <c r="H864" s="43"/>
      <c r="M864" s="233"/>
    </row>
    <row r="865" spans="1:13" ht="15" x14ac:dyDescent="0.2">
      <c r="A865" s="257"/>
      <c r="B865" s="43"/>
      <c r="G865" s="233"/>
      <c r="H865" s="43"/>
      <c r="M865" s="233"/>
    </row>
    <row r="866" spans="1:13" ht="15" x14ac:dyDescent="0.2">
      <c r="A866" s="257"/>
      <c r="B866" s="43"/>
      <c r="G866" s="233"/>
      <c r="H866" s="43"/>
      <c r="M866" s="233"/>
    </row>
    <row r="867" spans="1:13" ht="15" x14ac:dyDescent="0.2">
      <c r="A867" s="257"/>
      <c r="B867" s="43"/>
      <c r="G867" s="233"/>
      <c r="H867" s="43"/>
      <c r="M867" s="233"/>
    </row>
    <row r="868" spans="1:13" ht="15" x14ac:dyDescent="0.2">
      <c r="A868" s="257"/>
      <c r="B868" s="43"/>
      <c r="G868" s="233"/>
      <c r="H868" s="43"/>
      <c r="M868" s="233"/>
    </row>
    <row r="869" spans="1:13" ht="15" x14ac:dyDescent="0.2">
      <c r="A869" s="257"/>
      <c r="B869" s="43"/>
      <c r="G869" s="233"/>
      <c r="H869" s="43"/>
      <c r="M869" s="233"/>
    </row>
    <row r="870" spans="1:13" ht="15" x14ac:dyDescent="0.2">
      <c r="A870" s="257"/>
      <c r="B870" s="43"/>
      <c r="G870" s="233"/>
      <c r="H870" s="43"/>
      <c r="M870" s="233"/>
    </row>
    <row r="871" spans="1:13" ht="15" x14ac:dyDescent="0.2">
      <c r="A871" s="257"/>
      <c r="B871" s="43"/>
      <c r="G871" s="233"/>
      <c r="H871" s="43"/>
      <c r="M871" s="233"/>
    </row>
    <row r="872" spans="1:13" ht="15" x14ac:dyDescent="0.2">
      <c r="A872" s="257"/>
      <c r="B872" s="43"/>
      <c r="G872" s="233"/>
      <c r="H872" s="43"/>
      <c r="M872" s="233"/>
    </row>
    <row r="873" spans="1:13" ht="15" x14ac:dyDescent="0.2">
      <c r="A873" s="257"/>
      <c r="B873" s="43"/>
      <c r="G873" s="233"/>
      <c r="H873" s="43"/>
      <c r="M873" s="233"/>
    </row>
    <row r="874" spans="1:13" ht="15" x14ac:dyDescent="0.2">
      <c r="A874" s="257"/>
      <c r="B874" s="43"/>
      <c r="G874" s="233"/>
      <c r="H874" s="43"/>
      <c r="M874" s="233"/>
    </row>
    <row r="875" spans="1:13" ht="15" x14ac:dyDescent="0.2">
      <c r="A875" s="257"/>
      <c r="B875" s="43"/>
      <c r="G875" s="233"/>
      <c r="H875" s="43"/>
      <c r="M875" s="233"/>
    </row>
    <row r="876" spans="1:13" ht="15" x14ac:dyDescent="0.2">
      <c r="A876" s="257"/>
      <c r="B876" s="43"/>
      <c r="G876" s="233"/>
      <c r="H876" s="43"/>
      <c r="M876" s="233"/>
    </row>
    <row r="877" spans="1:13" ht="15" x14ac:dyDescent="0.2">
      <c r="A877" s="257"/>
      <c r="B877" s="43"/>
      <c r="G877" s="233"/>
      <c r="H877" s="43"/>
      <c r="M877" s="233"/>
    </row>
    <row r="878" spans="1:13" ht="15" x14ac:dyDescent="0.2">
      <c r="A878" s="257"/>
      <c r="B878" s="43"/>
      <c r="G878" s="233"/>
      <c r="H878" s="43"/>
      <c r="M878" s="233"/>
    </row>
    <row r="879" spans="1:13" ht="15" x14ac:dyDescent="0.2">
      <c r="A879" s="257"/>
      <c r="B879" s="43"/>
      <c r="G879" s="233"/>
      <c r="H879" s="43"/>
      <c r="M879" s="233"/>
    </row>
    <row r="880" spans="1:13" ht="15" x14ac:dyDescent="0.2">
      <c r="A880" s="257"/>
      <c r="B880" s="43"/>
      <c r="G880" s="233"/>
      <c r="H880" s="43"/>
      <c r="M880" s="233"/>
    </row>
    <row r="881" spans="1:13" ht="15" x14ac:dyDescent="0.2">
      <c r="A881" s="257"/>
      <c r="B881" s="43"/>
      <c r="G881" s="233"/>
      <c r="H881" s="43"/>
      <c r="M881" s="233"/>
    </row>
    <row r="882" spans="1:13" ht="15" x14ac:dyDescent="0.2">
      <c r="A882" s="257"/>
      <c r="B882" s="43"/>
      <c r="G882" s="233"/>
      <c r="H882" s="43"/>
      <c r="M882" s="233"/>
    </row>
    <row r="883" spans="1:13" ht="15" x14ac:dyDescent="0.2">
      <c r="A883" s="257"/>
      <c r="B883" s="43"/>
      <c r="G883" s="233"/>
      <c r="H883" s="43"/>
      <c r="M883" s="233"/>
    </row>
    <row r="884" spans="1:13" ht="15" x14ac:dyDescent="0.2">
      <c r="A884" s="257"/>
      <c r="B884" s="43"/>
      <c r="G884" s="233"/>
      <c r="H884" s="43"/>
      <c r="M884" s="233"/>
    </row>
    <row r="885" spans="1:13" ht="15" x14ac:dyDescent="0.2">
      <c r="A885" s="257"/>
      <c r="B885" s="43"/>
      <c r="G885" s="233"/>
      <c r="H885" s="43"/>
      <c r="M885" s="233"/>
    </row>
    <row r="886" spans="1:13" ht="15" x14ac:dyDescent="0.2">
      <c r="A886" s="257"/>
      <c r="B886" s="43"/>
      <c r="G886" s="233"/>
      <c r="H886" s="43"/>
      <c r="M886" s="233"/>
    </row>
    <row r="887" spans="1:13" ht="15" x14ac:dyDescent="0.2">
      <c r="A887" s="257"/>
      <c r="B887" s="43"/>
      <c r="G887" s="233"/>
      <c r="H887" s="43"/>
      <c r="M887" s="233"/>
    </row>
    <row r="888" spans="1:13" ht="15" x14ac:dyDescent="0.2">
      <c r="A888" s="257"/>
      <c r="B888" s="43"/>
      <c r="G888" s="233"/>
      <c r="H888" s="43"/>
      <c r="M888" s="233"/>
    </row>
    <row r="889" spans="1:13" ht="15" x14ac:dyDescent="0.2">
      <c r="A889" s="257"/>
      <c r="B889" s="43"/>
      <c r="G889" s="233"/>
      <c r="H889" s="43"/>
      <c r="M889" s="233"/>
    </row>
    <row r="890" spans="1:13" ht="15" x14ac:dyDescent="0.2">
      <c r="A890" s="257"/>
      <c r="B890" s="43"/>
      <c r="G890" s="233"/>
      <c r="H890" s="43"/>
      <c r="M890" s="233"/>
    </row>
    <row r="891" spans="1:13" ht="15" x14ac:dyDescent="0.2">
      <c r="A891" s="257"/>
      <c r="B891" s="43"/>
      <c r="G891" s="233"/>
      <c r="H891" s="43"/>
      <c r="M891" s="233"/>
    </row>
    <row r="892" spans="1:13" ht="15" x14ac:dyDescent="0.2">
      <c r="A892" s="257"/>
      <c r="B892" s="43"/>
      <c r="G892" s="233"/>
      <c r="H892" s="43"/>
      <c r="M892" s="233"/>
    </row>
    <row r="893" spans="1:13" ht="15" x14ac:dyDescent="0.2">
      <c r="A893" s="257"/>
      <c r="B893" s="43"/>
      <c r="G893" s="233"/>
      <c r="H893" s="43"/>
      <c r="M893" s="233"/>
    </row>
    <row r="894" spans="1:13" ht="15" x14ac:dyDescent="0.2">
      <c r="A894" s="257"/>
      <c r="B894" s="43"/>
      <c r="G894" s="233"/>
      <c r="H894" s="43"/>
      <c r="M894" s="233"/>
    </row>
    <row r="895" spans="1:13" ht="15" x14ac:dyDescent="0.2">
      <c r="A895" s="257"/>
      <c r="B895" s="43"/>
      <c r="G895" s="233"/>
      <c r="H895" s="43"/>
      <c r="M895" s="233"/>
    </row>
    <row r="896" spans="1:13" ht="15" x14ac:dyDescent="0.2">
      <c r="A896" s="257"/>
      <c r="B896" s="43"/>
      <c r="G896" s="233"/>
      <c r="H896" s="43"/>
      <c r="M896" s="233"/>
    </row>
    <row r="897" spans="1:13" ht="15" x14ac:dyDescent="0.2">
      <c r="A897" s="257"/>
      <c r="B897" s="43"/>
      <c r="G897" s="233"/>
      <c r="H897" s="43"/>
      <c r="M897" s="233"/>
    </row>
    <row r="898" spans="1:13" ht="15" x14ac:dyDescent="0.2">
      <c r="A898" s="257"/>
      <c r="B898" s="43"/>
      <c r="G898" s="233"/>
      <c r="H898" s="43"/>
      <c r="M898" s="233"/>
    </row>
    <row r="899" spans="1:13" ht="15" x14ac:dyDescent="0.2">
      <c r="A899" s="257"/>
      <c r="B899" s="43"/>
      <c r="G899" s="233"/>
      <c r="H899" s="43"/>
      <c r="M899" s="233"/>
    </row>
    <row r="900" spans="1:13" ht="15" x14ac:dyDescent="0.2">
      <c r="A900" s="257"/>
      <c r="B900" s="43"/>
      <c r="G900" s="233"/>
      <c r="H900" s="43"/>
      <c r="M900" s="233"/>
    </row>
    <row r="901" spans="1:13" ht="15" x14ac:dyDescent="0.2">
      <c r="A901" s="257"/>
      <c r="B901" s="43"/>
      <c r="G901" s="233"/>
      <c r="H901" s="43"/>
      <c r="M901" s="233"/>
    </row>
    <row r="902" spans="1:13" ht="15" x14ac:dyDescent="0.2">
      <c r="A902" s="257"/>
      <c r="B902" s="43"/>
      <c r="G902" s="233"/>
      <c r="H902" s="43"/>
      <c r="M902" s="233"/>
    </row>
    <row r="903" spans="1:13" ht="15" x14ac:dyDescent="0.2">
      <c r="A903" s="257"/>
      <c r="B903" s="43"/>
      <c r="G903" s="233"/>
      <c r="H903" s="43"/>
      <c r="M903" s="233"/>
    </row>
    <row r="904" spans="1:13" ht="15" x14ac:dyDescent="0.2">
      <c r="A904" s="257"/>
      <c r="B904" s="43"/>
      <c r="G904" s="233"/>
      <c r="H904" s="43"/>
      <c r="M904" s="233"/>
    </row>
    <row r="905" spans="1:13" ht="15" x14ac:dyDescent="0.2">
      <c r="A905" s="257"/>
      <c r="B905" s="43"/>
      <c r="G905" s="233"/>
      <c r="H905" s="43"/>
      <c r="M905" s="233"/>
    </row>
    <row r="906" spans="1:13" ht="15" x14ac:dyDescent="0.2">
      <c r="A906" s="257"/>
      <c r="B906" s="43"/>
      <c r="G906" s="233"/>
      <c r="H906" s="43"/>
      <c r="M906" s="233"/>
    </row>
    <row r="907" spans="1:13" ht="15" x14ac:dyDescent="0.2">
      <c r="A907" s="257"/>
      <c r="B907" s="43"/>
      <c r="G907" s="233"/>
      <c r="H907" s="43"/>
      <c r="M907" s="233"/>
    </row>
    <row r="908" spans="1:13" ht="15" x14ac:dyDescent="0.2">
      <c r="A908" s="257"/>
      <c r="B908" s="43"/>
      <c r="G908" s="233"/>
      <c r="H908" s="43"/>
      <c r="M908" s="233"/>
    </row>
    <row r="909" spans="1:13" ht="15" x14ac:dyDescent="0.2">
      <c r="A909" s="257"/>
      <c r="B909" s="43"/>
      <c r="G909" s="233"/>
      <c r="H909" s="43"/>
      <c r="M909" s="233"/>
    </row>
    <row r="910" spans="1:13" ht="15" x14ac:dyDescent="0.2">
      <c r="A910" s="257"/>
      <c r="B910" s="43"/>
      <c r="G910" s="233"/>
      <c r="H910" s="43"/>
      <c r="M910" s="233"/>
    </row>
    <row r="911" spans="1:13" ht="15" x14ac:dyDescent="0.2">
      <c r="A911" s="257"/>
      <c r="B911" s="43"/>
      <c r="G911" s="233"/>
      <c r="H911" s="43"/>
      <c r="M911" s="233"/>
    </row>
    <row r="912" spans="1:13" ht="15" x14ac:dyDescent="0.2">
      <c r="A912" s="257"/>
      <c r="B912" s="43"/>
      <c r="G912" s="233"/>
      <c r="H912" s="43"/>
      <c r="M912" s="233"/>
    </row>
    <row r="913" spans="1:13" ht="15" x14ac:dyDescent="0.2">
      <c r="A913" s="257"/>
      <c r="B913" s="43"/>
      <c r="G913" s="233"/>
      <c r="H913" s="43"/>
      <c r="M913" s="233"/>
    </row>
    <row r="914" spans="1:13" ht="15" x14ac:dyDescent="0.2">
      <c r="A914" s="257"/>
      <c r="B914" s="43"/>
      <c r="G914" s="233"/>
      <c r="H914" s="43"/>
      <c r="M914" s="233"/>
    </row>
    <row r="915" spans="1:13" ht="15" x14ac:dyDescent="0.2">
      <c r="A915" s="257"/>
      <c r="B915" s="43"/>
      <c r="G915" s="233"/>
      <c r="H915" s="43"/>
      <c r="M915" s="233"/>
    </row>
    <row r="916" spans="1:13" ht="15" x14ac:dyDescent="0.2">
      <c r="A916" s="257"/>
      <c r="B916" s="43"/>
      <c r="G916" s="233"/>
      <c r="H916" s="43"/>
      <c r="M916" s="233"/>
    </row>
    <row r="917" spans="1:13" ht="15" x14ac:dyDescent="0.2">
      <c r="A917" s="257"/>
      <c r="B917" s="43"/>
      <c r="G917" s="233"/>
      <c r="H917" s="43"/>
      <c r="M917" s="233"/>
    </row>
    <row r="918" spans="1:13" ht="15" x14ac:dyDescent="0.2">
      <c r="A918" s="257"/>
      <c r="B918" s="43"/>
      <c r="G918" s="233"/>
      <c r="H918" s="43"/>
      <c r="M918" s="233"/>
    </row>
    <row r="919" spans="1:13" ht="15" x14ac:dyDescent="0.2">
      <c r="A919" s="257"/>
      <c r="B919" s="43"/>
      <c r="G919" s="233"/>
      <c r="H919" s="43"/>
      <c r="M919" s="233"/>
    </row>
    <row r="920" spans="1:13" ht="15" x14ac:dyDescent="0.2">
      <c r="A920" s="257"/>
      <c r="B920" s="43"/>
      <c r="G920" s="233"/>
      <c r="H920" s="43"/>
      <c r="M920" s="233"/>
    </row>
    <row r="921" spans="1:13" ht="15" x14ac:dyDescent="0.2">
      <c r="A921" s="257"/>
      <c r="B921" s="43"/>
      <c r="G921" s="233"/>
      <c r="H921" s="43"/>
      <c r="M921" s="233"/>
    </row>
    <row r="922" spans="1:13" ht="15" x14ac:dyDescent="0.2">
      <c r="A922" s="257"/>
      <c r="B922" s="43"/>
      <c r="G922" s="233"/>
      <c r="H922" s="43"/>
      <c r="M922" s="233"/>
    </row>
    <row r="923" spans="1:13" ht="15" x14ac:dyDescent="0.2">
      <c r="A923" s="257"/>
      <c r="B923" s="43"/>
      <c r="G923" s="233"/>
      <c r="H923" s="43"/>
      <c r="M923" s="233"/>
    </row>
    <row r="924" spans="1:13" ht="15" x14ac:dyDescent="0.2">
      <c r="A924" s="257"/>
      <c r="B924" s="43"/>
      <c r="G924" s="233"/>
      <c r="H924" s="43"/>
      <c r="M924" s="233"/>
    </row>
    <row r="925" spans="1:13" ht="15" x14ac:dyDescent="0.2">
      <c r="A925" s="257"/>
      <c r="B925" s="43"/>
      <c r="G925" s="233"/>
      <c r="H925" s="43"/>
      <c r="M925" s="233"/>
    </row>
    <row r="926" spans="1:13" ht="15" x14ac:dyDescent="0.2">
      <c r="A926" s="257"/>
      <c r="B926" s="43"/>
      <c r="G926" s="233"/>
      <c r="H926" s="43"/>
      <c r="M926" s="233"/>
    </row>
    <row r="927" spans="1:13" ht="15" x14ac:dyDescent="0.2">
      <c r="A927" s="257"/>
      <c r="B927" s="43"/>
      <c r="G927" s="233"/>
      <c r="H927" s="43"/>
      <c r="M927" s="233"/>
    </row>
    <row r="928" spans="1:13" ht="15" x14ac:dyDescent="0.2">
      <c r="A928" s="257"/>
      <c r="B928" s="43"/>
      <c r="G928" s="233"/>
      <c r="H928" s="43"/>
      <c r="M928" s="233"/>
    </row>
    <row r="929" spans="1:13" ht="15" x14ac:dyDescent="0.2">
      <c r="A929" s="257"/>
      <c r="B929" s="43"/>
      <c r="G929" s="233"/>
      <c r="H929" s="43"/>
      <c r="M929" s="233"/>
    </row>
    <row r="930" spans="1:13" ht="15" x14ac:dyDescent="0.2">
      <c r="A930" s="257"/>
      <c r="B930" s="43"/>
      <c r="G930" s="233"/>
      <c r="H930" s="43"/>
      <c r="M930" s="233"/>
    </row>
    <row r="931" spans="1:13" ht="15" x14ac:dyDescent="0.2">
      <c r="A931" s="257"/>
      <c r="B931" s="43"/>
      <c r="G931" s="233"/>
      <c r="H931" s="43"/>
      <c r="M931" s="233"/>
    </row>
    <row r="932" spans="1:13" ht="15" x14ac:dyDescent="0.2">
      <c r="A932" s="257"/>
      <c r="B932" s="43"/>
      <c r="G932" s="233"/>
      <c r="H932" s="43"/>
      <c r="M932" s="233"/>
    </row>
    <row r="933" spans="1:13" ht="15" x14ac:dyDescent="0.2">
      <c r="A933" s="257"/>
      <c r="B933" s="43"/>
      <c r="G933" s="233"/>
      <c r="H933" s="43"/>
      <c r="M933" s="233"/>
    </row>
    <row r="934" spans="1:13" ht="15" x14ac:dyDescent="0.2">
      <c r="A934" s="257"/>
      <c r="B934" s="43"/>
      <c r="G934" s="233"/>
      <c r="H934" s="43"/>
      <c r="M934" s="233"/>
    </row>
    <row r="935" spans="1:13" ht="15" x14ac:dyDescent="0.2">
      <c r="A935" s="257"/>
      <c r="B935" s="43"/>
      <c r="G935" s="233"/>
      <c r="H935" s="43"/>
      <c r="M935" s="233"/>
    </row>
    <row r="936" spans="1:13" ht="15" x14ac:dyDescent="0.2">
      <c r="A936" s="257"/>
      <c r="B936" s="43"/>
      <c r="G936" s="233"/>
      <c r="H936" s="43"/>
      <c r="M936" s="233"/>
    </row>
    <row r="937" spans="1:13" ht="15" x14ac:dyDescent="0.2">
      <c r="A937" s="257"/>
      <c r="B937" s="43"/>
      <c r="G937" s="233"/>
      <c r="H937" s="43"/>
      <c r="M937" s="233"/>
    </row>
    <row r="938" spans="1:13" ht="15" x14ac:dyDescent="0.2">
      <c r="A938" s="257"/>
      <c r="B938" s="43"/>
      <c r="G938" s="233"/>
      <c r="H938" s="43"/>
      <c r="M938" s="233"/>
    </row>
    <row r="939" spans="1:13" ht="15" x14ac:dyDescent="0.2">
      <c r="A939" s="257"/>
      <c r="B939" s="43"/>
      <c r="G939" s="233"/>
      <c r="H939" s="43"/>
      <c r="M939" s="233"/>
    </row>
    <row r="940" spans="1:13" ht="15" x14ac:dyDescent="0.2">
      <c r="A940" s="257"/>
      <c r="B940" s="43"/>
      <c r="G940" s="233"/>
      <c r="H940" s="43"/>
      <c r="M940" s="233"/>
    </row>
    <row r="941" spans="1:13" ht="15" x14ac:dyDescent="0.2">
      <c r="A941" s="257"/>
      <c r="B941" s="43"/>
      <c r="G941" s="233"/>
      <c r="H941" s="43"/>
      <c r="M941" s="233"/>
    </row>
    <row r="942" spans="1:13" ht="15" x14ac:dyDescent="0.2">
      <c r="A942" s="257"/>
      <c r="B942" s="43"/>
      <c r="G942" s="233"/>
      <c r="H942" s="43"/>
      <c r="M942" s="233"/>
    </row>
    <row r="943" spans="1:13" ht="15" x14ac:dyDescent="0.2">
      <c r="A943" s="257"/>
      <c r="B943" s="43"/>
      <c r="G943" s="233"/>
      <c r="H943" s="43"/>
      <c r="M943" s="233"/>
    </row>
    <row r="944" spans="1:13" ht="15" x14ac:dyDescent="0.2">
      <c r="A944" s="257"/>
      <c r="B944" s="43"/>
      <c r="G944" s="233"/>
      <c r="H944" s="43"/>
      <c r="M944" s="233"/>
    </row>
    <row r="945" spans="1:13" ht="15" x14ac:dyDescent="0.2">
      <c r="A945" s="257"/>
      <c r="B945" s="43"/>
      <c r="G945" s="233"/>
      <c r="H945" s="43"/>
      <c r="M945" s="233"/>
    </row>
    <row r="946" spans="1:13" ht="15" x14ac:dyDescent="0.2">
      <c r="A946" s="257"/>
      <c r="B946" s="43"/>
      <c r="G946" s="233"/>
      <c r="H946" s="43"/>
      <c r="M946" s="233"/>
    </row>
    <row r="947" spans="1:13" ht="15" x14ac:dyDescent="0.2">
      <c r="A947" s="257"/>
      <c r="B947" s="43"/>
      <c r="G947" s="233"/>
      <c r="H947" s="43"/>
      <c r="M947" s="233"/>
    </row>
    <row r="948" spans="1:13" ht="15" x14ac:dyDescent="0.2">
      <c r="A948" s="257"/>
      <c r="B948" s="43"/>
      <c r="G948" s="233"/>
      <c r="H948" s="43"/>
      <c r="M948" s="233"/>
    </row>
    <row r="949" spans="1:13" ht="15" x14ac:dyDescent="0.2">
      <c r="A949" s="257"/>
      <c r="B949" s="43"/>
      <c r="G949" s="233"/>
      <c r="H949" s="43"/>
      <c r="M949" s="233"/>
    </row>
    <row r="950" spans="1:13" ht="15" x14ac:dyDescent="0.2">
      <c r="A950" s="257"/>
      <c r="B950" s="43"/>
      <c r="G950" s="233"/>
      <c r="H950" s="43"/>
      <c r="M950" s="233"/>
    </row>
    <row r="951" spans="1:13" ht="15" x14ac:dyDescent="0.2">
      <c r="A951" s="257"/>
      <c r="B951" s="43"/>
      <c r="G951" s="233"/>
      <c r="H951" s="43"/>
      <c r="M951" s="233"/>
    </row>
    <row r="952" spans="1:13" ht="15" x14ac:dyDescent="0.2">
      <c r="A952" s="257"/>
      <c r="B952" s="43"/>
      <c r="G952" s="233"/>
      <c r="H952" s="43"/>
      <c r="M952" s="233"/>
    </row>
    <row r="953" spans="1:13" ht="15" x14ac:dyDescent="0.2">
      <c r="A953" s="257"/>
      <c r="B953" s="43"/>
      <c r="G953" s="233"/>
      <c r="H953" s="43"/>
      <c r="M953" s="233"/>
    </row>
    <row r="954" spans="1:13" ht="15" x14ac:dyDescent="0.2">
      <c r="A954" s="257"/>
      <c r="B954" s="43"/>
      <c r="G954" s="233"/>
      <c r="H954" s="43"/>
      <c r="M954" s="233"/>
    </row>
    <row r="955" spans="1:13" ht="15" x14ac:dyDescent="0.2">
      <c r="A955" s="257"/>
      <c r="B955" s="43"/>
      <c r="G955" s="233"/>
      <c r="H955" s="43"/>
      <c r="M955" s="233"/>
    </row>
    <row r="956" spans="1:13" ht="15" x14ac:dyDescent="0.2">
      <c r="A956" s="257"/>
      <c r="B956" s="43"/>
      <c r="G956" s="233"/>
      <c r="H956" s="43"/>
      <c r="M956" s="233"/>
    </row>
    <row r="957" spans="1:13" ht="15" x14ac:dyDescent="0.2">
      <c r="A957" s="257"/>
      <c r="B957" s="43"/>
      <c r="G957" s="233"/>
      <c r="H957" s="43"/>
      <c r="M957" s="233"/>
    </row>
    <row r="958" spans="1:13" ht="15" x14ac:dyDescent="0.2">
      <c r="A958" s="257"/>
      <c r="B958" s="43"/>
      <c r="G958" s="233"/>
      <c r="H958" s="43"/>
      <c r="M958" s="233"/>
    </row>
    <row r="959" spans="1:13" ht="15" x14ac:dyDescent="0.2">
      <c r="A959" s="257"/>
      <c r="B959" s="43"/>
      <c r="G959" s="233"/>
      <c r="H959" s="43"/>
      <c r="M959" s="233"/>
    </row>
    <row r="960" spans="1:13" ht="15" x14ac:dyDescent="0.2">
      <c r="A960" s="257"/>
      <c r="B960" s="43"/>
      <c r="G960" s="233"/>
      <c r="H960" s="43"/>
      <c r="M960" s="233"/>
    </row>
    <row r="961" spans="1:13" ht="15" x14ac:dyDescent="0.2">
      <c r="A961" s="257"/>
      <c r="B961" s="43"/>
      <c r="G961" s="233"/>
      <c r="H961" s="43"/>
      <c r="M961" s="233"/>
    </row>
    <row r="962" spans="1:13" ht="15" x14ac:dyDescent="0.2">
      <c r="A962" s="257"/>
      <c r="B962" s="43"/>
      <c r="G962" s="233"/>
      <c r="H962" s="43"/>
      <c r="M962" s="233"/>
    </row>
    <row r="963" spans="1:13" ht="15" x14ac:dyDescent="0.2">
      <c r="A963" s="257"/>
      <c r="B963" s="43"/>
      <c r="G963" s="233"/>
      <c r="H963" s="43"/>
      <c r="M963" s="233"/>
    </row>
    <row r="964" spans="1:13" ht="15" x14ac:dyDescent="0.2">
      <c r="A964" s="257"/>
      <c r="B964" s="43"/>
      <c r="G964" s="233"/>
      <c r="H964" s="43"/>
      <c r="M964" s="233"/>
    </row>
    <row r="965" spans="1:13" ht="15" x14ac:dyDescent="0.2">
      <c r="A965" s="257"/>
      <c r="B965" s="43"/>
      <c r="G965" s="233"/>
      <c r="H965" s="43"/>
      <c r="M965" s="233"/>
    </row>
    <row r="966" spans="1:13" ht="15" x14ac:dyDescent="0.2">
      <c r="A966" s="257"/>
      <c r="B966" s="43"/>
      <c r="G966" s="233"/>
      <c r="H966" s="43"/>
      <c r="M966" s="233"/>
    </row>
    <row r="967" spans="1:13" ht="15" x14ac:dyDescent="0.2">
      <c r="A967" s="257"/>
      <c r="B967" s="43"/>
      <c r="G967" s="233"/>
      <c r="H967" s="43"/>
      <c r="M967" s="233"/>
    </row>
    <row r="968" spans="1:13" ht="15" x14ac:dyDescent="0.2">
      <c r="A968" s="257"/>
      <c r="B968" s="43"/>
      <c r="G968" s="233"/>
      <c r="H968" s="43"/>
      <c r="M968" s="233"/>
    </row>
    <row r="969" spans="1:13" ht="15" x14ac:dyDescent="0.2">
      <c r="A969" s="257"/>
      <c r="B969" s="43"/>
      <c r="G969" s="233"/>
      <c r="H969" s="43"/>
      <c r="M969" s="233"/>
    </row>
    <row r="970" spans="1:13" ht="15" x14ac:dyDescent="0.2">
      <c r="A970" s="257"/>
      <c r="B970" s="43"/>
      <c r="G970" s="233"/>
      <c r="H970" s="43"/>
      <c r="M970" s="233"/>
    </row>
    <row r="971" spans="1:13" ht="15" x14ac:dyDescent="0.2">
      <c r="A971" s="257"/>
      <c r="B971" s="43"/>
      <c r="G971" s="233"/>
      <c r="H971" s="43"/>
      <c r="M971" s="233"/>
    </row>
    <row r="972" spans="1:13" ht="15" x14ac:dyDescent="0.2">
      <c r="A972" s="257"/>
      <c r="B972" s="43"/>
      <c r="G972" s="233"/>
      <c r="H972" s="43"/>
      <c r="M972" s="233"/>
    </row>
    <row r="973" spans="1:13" ht="15" x14ac:dyDescent="0.2">
      <c r="A973" s="257"/>
      <c r="B973" s="43"/>
      <c r="G973" s="233"/>
      <c r="H973" s="43"/>
      <c r="M973" s="233"/>
    </row>
    <row r="974" spans="1:13" ht="15" x14ac:dyDescent="0.2">
      <c r="A974" s="257"/>
      <c r="B974" s="43"/>
      <c r="G974" s="233"/>
      <c r="H974" s="43"/>
      <c r="M974" s="233"/>
    </row>
    <row r="975" spans="1:13" ht="15" x14ac:dyDescent="0.2">
      <c r="A975" s="257"/>
      <c r="B975" s="43"/>
      <c r="G975" s="233"/>
      <c r="H975" s="43"/>
      <c r="M975" s="233"/>
    </row>
    <row r="976" spans="1:13" ht="15" x14ac:dyDescent="0.2">
      <c r="A976" s="257"/>
      <c r="B976" s="43"/>
      <c r="G976" s="233"/>
      <c r="H976" s="43"/>
      <c r="M976" s="233"/>
    </row>
    <row r="977" spans="1:13" ht="15" x14ac:dyDescent="0.2">
      <c r="A977" s="257"/>
      <c r="B977" s="43"/>
      <c r="G977" s="233"/>
      <c r="H977" s="43"/>
      <c r="M977" s="233"/>
    </row>
    <row r="978" spans="1:13" ht="15" x14ac:dyDescent="0.2">
      <c r="A978" s="257"/>
      <c r="B978" s="43"/>
      <c r="G978" s="233"/>
      <c r="H978" s="43"/>
      <c r="M978" s="233"/>
    </row>
    <row r="979" spans="1:13" ht="15" x14ac:dyDescent="0.2">
      <c r="A979" s="257"/>
      <c r="B979" s="43"/>
      <c r="G979" s="233"/>
      <c r="H979" s="43"/>
      <c r="M979" s="233"/>
    </row>
    <row r="980" spans="1:13" ht="15" x14ac:dyDescent="0.2">
      <c r="A980" s="257"/>
      <c r="B980" s="43"/>
      <c r="G980" s="233"/>
      <c r="H980" s="43"/>
      <c r="M980" s="233"/>
    </row>
    <row r="981" spans="1:13" ht="15" x14ac:dyDescent="0.2">
      <c r="A981" s="257"/>
      <c r="B981" s="43"/>
      <c r="G981" s="233"/>
      <c r="H981" s="43"/>
      <c r="M981" s="233"/>
    </row>
    <row r="982" spans="1:13" ht="15" x14ac:dyDescent="0.2">
      <c r="A982" s="257"/>
      <c r="B982" s="43"/>
      <c r="G982" s="233"/>
      <c r="H982" s="43"/>
      <c r="M982" s="233"/>
    </row>
    <row r="983" spans="1:13" ht="15" x14ac:dyDescent="0.2">
      <c r="A983" s="257"/>
      <c r="B983" s="43"/>
      <c r="G983" s="233"/>
      <c r="H983" s="43"/>
      <c r="M983" s="233"/>
    </row>
    <row r="984" spans="1:13" ht="15" x14ac:dyDescent="0.2">
      <c r="A984" s="257"/>
      <c r="B984" s="43"/>
      <c r="G984" s="233"/>
      <c r="H984" s="43"/>
      <c r="M984" s="233"/>
    </row>
    <row r="985" spans="1:13" ht="15" x14ac:dyDescent="0.2">
      <c r="A985" s="257"/>
      <c r="B985" s="43"/>
      <c r="G985" s="233"/>
      <c r="H985" s="43"/>
      <c r="M985" s="233"/>
    </row>
    <row r="986" spans="1:13" ht="15" x14ac:dyDescent="0.2">
      <c r="A986" s="257"/>
      <c r="B986" s="43"/>
      <c r="G986" s="233"/>
      <c r="H986" s="43"/>
      <c r="M986" s="233"/>
    </row>
    <row r="987" spans="1:13" ht="15" x14ac:dyDescent="0.2">
      <c r="A987" s="257"/>
      <c r="B987" s="43"/>
      <c r="G987" s="233"/>
      <c r="H987" s="43"/>
      <c r="M987" s="233"/>
    </row>
    <row r="988" spans="1:13" ht="15" x14ac:dyDescent="0.2">
      <c r="A988" s="257"/>
      <c r="B988" s="43"/>
      <c r="G988" s="233"/>
      <c r="H988" s="43"/>
      <c r="M988" s="233"/>
    </row>
    <row r="989" spans="1:13" ht="15" x14ac:dyDescent="0.2">
      <c r="A989" s="257"/>
      <c r="B989" s="43"/>
      <c r="G989" s="233"/>
      <c r="H989" s="43"/>
      <c r="M989" s="233"/>
    </row>
    <row r="990" spans="1:13" ht="15" x14ac:dyDescent="0.2">
      <c r="A990" s="257"/>
      <c r="B990" s="43"/>
      <c r="G990" s="233"/>
      <c r="H990" s="43"/>
      <c r="M990" s="233"/>
    </row>
    <row r="991" spans="1:13" ht="15" x14ac:dyDescent="0.2">
      <c r="A991" s="257"/>
      <c r="B991" s="43"/>
      <c r="G991" s="233"/>
      <c r="H991" s="43"/>
      <c r="M991" s="233"/>
    </row>
    <row r="992" spans="1:13" ht="15" x14ac:dyDescent="0.2">
      <c r="A992" s="257"/>
      <c r="B992" s="43"/>
      <c r="G992" s="233"/>
      <c r="H992" s="43"/>
      <c r="M992" s="233"/>
    </row>
    <row r="993" spans="1:13" ht="15" x14ac:dyDescent="0.2">
      <c r="A993" s="257"/>
      <c r="B993" s="43"/>
      <c r="G993" s="233"/>
      <c r="H993" s="43"/>
      <c r="M993" s="233"/>
    </row>
    <row r="994" spans="1:13" ht="15" x14ac:dyDescent="0.2">
      <c r="A994" s="257"/>
      <c r="B994" s="43"/>
      <c r="G994" s="233"/>
      <c r="H994" s="43"/>
      <c r="M994" s="233"/>
    </row>
    <row r="995" spans="1:13" ht="15" x14ac:dyDescent="0.2">
      <c r="A995" s="257"/>
      <c r="B995" s="43"/>
      <c r="G995" s="233"/>
      <c r="H995" s="43"/>
      <c r="M995" s="233"/>
    </row>
    <row r="996" spans="1:13" ht="15" x14ac:dyDescent="0.2">
      <c r="A996" s="257"/>
      <c r="B996" s="43"/>
      <c r="G996" s="233"/>
      <c r="H996" s="43"/>
      <c r="M996" s="233"/>
    </row>
    <row r="997" spans="1:13" ht="15" x14ac:dyDescent="0.2">
      <c r="A997" s="257"/>
      <c r="B997" s="43"/>
      <c r="G997" s="233"/>
      <c r="H997" s="43"/>
      <c r="M997" s="233"/>
    </row>
    <row r="998" spans="1:13" ht="15" x14ac:dyDescent="0.2">
      <c r="A998" s="257"/>
      <c r="B998" s="43"/>
      <c r="G998" s="233"/>
      <c r="H998" s="43"/>
      <c r="M998" s="233"/>
    </row>
    <row r="999" spans="1:13" ht="15" x14ac:dyDescent="0.2">
      <c r="A999" s="257"/>
      <c r="B999" s="43"/>
      <c r="G999" s="233"/>
      <c r="H999" s="43"/>
      <c r="M999" s="233"/>
    </row>
    <row r="1000" spans="1:13" ht="15" x14ac:dyDescent="0.2">
      <c r="A1000" s="257"/>
      <c r="B1000" s="43"/>
      <c r="G1000" s="233"/>
      <c r="H1000" s="43"/>
      <c r="M1000" s="233"/>
    </row>
  </sheetData>
  <mergeCells count="3">
    <mergeCell ref="B5:F5"/>
    <mergeCell ref="H5:L5"/>
    <mergeCell ref="N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44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cols>
    <col min="1" max="1" width="16" style="18" bestFit="1" customWidth="1"/>
    <col min="2" max="2" width="13.7109375" style="18" bestFit="1" customWidth="1"/>
    <col min="3" max="3" width="13.42578125" style="18" customWidth="1"/>
    <col min="4" max="4" width="12.5703125" style="18"/>
    <col min="5" max="5" width="15.5703125" style="18" customWidth="1"/>
    <col min="6" max="6" width="13.140625" style="18" customWidth="1"/>
    <col min="7" max="8" width="12.5703125" style="18"/>
    <col min="9" max="9" width="12.5703125" style="221"/>
    <col min="10" max="10" width="14.85546875" style="18" customWidth="1"/>
    <col min="11" max="16384" width="12.5703125" style="18"/>
  </cols>
  <sheetData>
    <row r="1" spans="1:26" ht="63" x14ac:dyDescent="0.25">
      <c r="A1" s="1" t="s">
        <v>28</v>
      </c>
      <c r="B1" s="2" t="s">
        <v>29</v>
      </c>
      <c r="C1" s="3" t="s">
        <v>6</v>
      </c>
      <c r="D1" s="3" t="s">
        <v>2</v>
      </c>
      <c r="E1" s="3" t="s">
        <v>7</v>
      </c>
      <c r="F1" s="3" t="s">
        <v>30</v>
      </c>
      <c r="G1" s="4" t="s">
        <v>31</v>
      </c>
      <c r="H1" s="5" t="s">
        <v>32</v>
      </c>
      <c r="I1" s="6" t="s">
        <v>33</v>
      </c>
      <c r="J1" s="7" t="s">
        <v>34</v>
      </c>
      <c r="K1" s="8" t="s">
        <v>35</v>
      </c>
      <c r="L1" s="9" t="s">
        <v>36</v>
      </c>
      <c r="M1" s="10" t="s">
        <v>37</v>
      </c>
      <c r="N1" s="11" t="s">
        <v>38</v>
      </c>
      <c r="O1" s="12" t="s">
        <v>39</v>
      </c>
      <c r="P1" s="13"/>
      <c r="Q1" s="14" t="s">
        <v>40</v>
      </c>
      <c r="R1" s="13"/>
      <c r="S1" s="15"/>
      <c r="T1" s="15"/>
      <c r="U1" s="16">
        <v>0.5</v>
      </c>
      <c r="V1" s="17"/>
      <c r="W1" s="17"/>
      <c r="X1" s="17"/>
      <c r="Y1" s="17"/>
      <c r="Z1" s="17"/>
    </row>
    <row r="2" spans="1:26" ht="63" x14ac:dyDescent="0.25">
      <c r="A2" s="19"/>
      <c r="B2" s="12" t="s">
        <v>39</v>
      </c>
      <c r="C2" s="20" t="s">
        <v>41</v>
      </c>
      <c r="D2" s="21" t="s">
        <v>42</v>
      </c>
      <c r="E2" s="21" t="s">
        <v>43</v>
      </c>
      <c r="F2" s="22" t="s">
        <v>44</v>
      </c>
      <c r="G2" s="21" t="s">
        <v>45</v>
      </c>
      <c r="H2" s="23" t="s">
        <v>46</v>
      </c>
      <c r="I2" s="24" t="s">
        <v>47</v>
      </c>
      <c r="J2" s="25" t="s">
        <v>34</v>
      </c>
      <c r="K2" s="26" t="s">
        <v>48</v>
      </c>
      <c r="L2" s="27" t="s">
        <v>49</v>
      </c>
      <c r="M2" s="28" t="s">
        <v>50</v>
      </c>
      <c r="N2" s="29"/>
      <c r="O2" s="16" t="s">
        <v>51</v>
      </c>
      <c r="P2" s="30" t="s">
        <v>52</v>
      </c>
      <c r="Q2" s="31" t="s">
        <v>53</v>
      </c>
      <c r="R2" s="32"/>
      <c r="S2" s="32"/>
      <c r="T2" s="32"/>
      <c r="U2" s="32"/>
      <c r="V2" s="17"/>
      <c r="W2" s="17"/>
      <c r="X2" s="17"/>
      <c r="Y2" s="17"/>
      <c r="Z2" s="17"/>
    </row>
    <row r="3" spans="1:26" x14ac:dyDescent="0.25">
      <c r="A3" s="33">
        <v>44561</v>
      </c>
      <c r="B3" s="34" t="s">
        <v>54</v>
      </c>
      <c r="C3" s="35"/>
      <c r="D3" s="36" t="s">
        <v>55</v>
      </c>
      <c r="E3" s="37"/>
      <c r="F3" s="37"/>
      <c r="G3" s="38"/>
      <c r="H3" s="38"/>
      <c r="I3" s="218"/>
      <c r="J3" s="32"/>
      <c r="K3" s="39"/>
      <c r="L3" s="40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1" t="s">
        <v>56</v>
      </c>
      <c r="B4" s="42" t="s">
        <v>57</v>
      </c>
      <c r="C4" s="35"/>
      <c r="D4" s="37"/>
      <c r="E4" s="37"/>
      <c r="F4" s="37"/>
      <c r="G4" s="38"/>
      <c r="H4" s="38"/>
      <c r="I4" s="218"/>
      <c r="J4" s="32"/>
      <c r="K4" s="39"/>
      <c r="L4" s="40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35"/>
      <c r="B5" s="42" t="s">
        <v>58</v>
      </c>
      <c r="C5" s="35"/>
      <c r="D5" s="37"/>
      <c r="E5" s="37"/>
      <c r="F5" s="37"/>
      <c r="G5" s="38"/>
      <c r="H5" s="38"/>
      <c r="I5" s="218"/>
      <c r="J5" s="32"/>
      <c r="K5" s="39"/>
      <c r="L5" s="40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35"/>
      <c r="B6" s="42" t="s">
        <v>59</v>
      </c>
      <c r="C6" s="35"/>
      <c r="D6" s="36" t="s">
        <v>55</v>
      </c>
      <c r="E6" s="37"/>
      <c r="F6" s="37"/>
      <c r="G6" s="38"/>
      <c r="H6" s="38"/>
      <c r="I6" s="218"/>
      <c r="J6" s="32"/>
      <c r="K6" s="39"/>
      <c r="L6" s="40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3"/>
      <c r="B7" s="42" t="s">
        <v>60</v>
      </c>
      <c r="C7" s="35"/>
      <c r="D7" s="37"/>
      <c r="E7" s="37"/>
      <c r="F7" s="37"/>
      <c r="G7" s="38"/>
      <c r="H7" s="38"/>
      <c r="I7" s="218"/>
      <c r="J7" s="32"/>
      <c r="K7" s="39"/>
      <c r="L7" s="40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35"/>
      <c r="B8" s="42" t="s">
        <v>61</v>
      </c>
      <c r="C8" s="35"/>
      <c r="D8" s="37"/>
      <c r="E8" s="37"/>
      <c r="F8" s="37"/>
      <c r="G8" s="38"/>
      <c r="H8" s="38"/>
      <c r="I8" s="218"/>
      <c r="J8" s="32"/>
      <c r="K8" s="39"/>
      <c r="L8" s="40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35"/>
      <c r="B9" s="42" t="s">
        <v>62</v>
      </c>
      <c r="C9" s="35"/>
      <c r="D9" s="36" t="s">
        <v>55</v>
      </c>
      <c r="E9" s="37"/>
      <c r="F9" s="37"/>
      <c r="G9" s="38"/>
      <c r="H9" s="38"/>
      <c r="I9" s="218"/>
      <c r="J9" s="32"/>
      <c r="K9" s="39"/>
      <c r="L9" s="40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35"/>
      <c r="B10" s="42" t="s">
        <v>63</v>
      </c>
      <c r="C10" s="35"/>
      <c r="D10" s="37"/>
      <c r="E10" s="37"/>
      <c r="F10" s="37"/>
      <c r="G10" s="38"/>
      <c r="H10" s="38"/>
      <c r="I10" s="218"/>
      <c r="J10" s="32"/>
      <c r="K10" s="39"/>
      <c r="L10" s="40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35"/>
      <c r="B11" s="42" t="s">
        <v>64</v>
      </c>
      <c r="C11" s="35"/>
      <c r="D11" s="36"/>
      <c r="E11" s="37"/>
      <c r="F11" s="37"/>
      <c r="G11" s="38"/>
      <c r="H11" s="38"/>
      <c r="I11" s="218"/>
      <c r="J11" s="32"/>
      <c r="K11" s="39"/>
      <c r="L11" s="40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35"/>
      <c r="B12" s="42" t="s">
        <v>65</v>
      </c>
      <c r="C12" s="35"/>
      <c r="D12" s="36" t="s">
        <v>55</v>
      </c>
      <c r="E12" s="37"/>
      <c r="F12" s="37"/>
      <c r="G12" s="38"/>
      <c r="H12" s="38"/>
      <c r="I12" s="218"/>
      <c r="J12" s="32"/>
      <c r="K12" s="39"/>
      <c r="L12" s="40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35"/>
      <c r="B13" s="42" t="s">
        <v>66</v>
      </c>
      <c r="C13" s="35"/>
      <c r="D13" s="37"/>
      <c r="E13" s="37"/>
      <c r="F13" s="37"/>
      <c r="G13" s="38"/>
      <c r="H13" s="38"/>
      <c r="I13" s="218"/>
      <c r="J13" s="32"/>
      <c r="K13" s="39"/>
      <c r="L13" s="40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35"/>
      <c r="B14" s="42" t="s">
        <v>67</v>
      </c>
      <c r="C14" s="35"/>
      <c r="D14" s="36"/>
      <c r="E14" s="37"/>
      <c r="F14" s="37"/>
      <c r="G14" s="38"/>
      <c r="H14" s="38"/>
      <c r="I14" s="218"/>
      <c r="J14" s="32"/>
      <c r="K14" s="39"/>
      <c r="L14" s="40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35"/>
      <c r="B15" s="42" t="s">
        <v>68</v>
      </c>
      <c r="C15" s="35"/>
      <c r="D15" s="36" t="s">
        <v>55</v>
      </c>
      <c r="E15" s="37"/>
      <c r="F15" s="37"/>
      <c r="G15" s="38"/>
      <c r="H15" s="38"/>
      <c r="I15" s="218"/>
      <c r="J15" s="32"/>
      <c r="K15" s="39"/>
      <c r="L15" s="4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35"/>
      <c r="B16" s="44">
        <v>0.79166666666666663</v>
      </c>
      <c r="C16" s="35"/>
      <c r="D16" s="37"/>
      <c r="E16" s="37"/>
      <c r="F16" s="37"/>
      <c r="G16" s="38"/>
      <c r="H16" s="38"/>
      <c r="I16" s="218"/>
      <c r="J16" s="32"/>
      <c r="K16" s="39"/>
      <c r="L16" s="40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35"/>
      <c r="B17" s="44">
        <v>0.83333333333333337</v>
      </c>
      <c r="C17" s="35"/>
      <c r="D17" s="36"/>
      <c r="E17" s="37"/>
      <c r="F17" s="37"/>
      <c r="G17" s="38"/>
      <c r="H17" s="38"/>
      <c r="I17" s="218"/>
      <c r="J17" s="32"/>
      <c r="K17" s="39"/>
      <c r="L17" s="40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35"/>
      <c r="B18" s="44">
        <v>0.875</v>
      </c>
      <c r="C18" s="35"/>
      <c r="D18" s="36" t="s">
        <v>55</v>
      </c>
      <c r="E18" s="37"/>
      <c r="F18" s="37"/>
      <c r="G18" s="38"/>
      <c r="H18" s="38"/>
      <c r="I18" s="218"/>
      <c r="J18" s="32"/>
      <c r="K18" s="39"/>
      <c r="L18" s="40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35"/>
      <c r="B19" s="44">
        <v>0.91666666666666663</v>
      </c>
      <c r="C19" s="35"/>
      <c r="D19" s="37"/>
      <c r="E19" s="37"/>
      <c r="F19" s="37"/>
      <c r="G19" s="37"/>
      <c r="H19" s="38"/>
      <c r="I19" s="218"/>
      <c r="J19" s="32"/>
      <c r="K19" s="39"/>
      <c r="L19" s="40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35"/>
      <c r="B20" s="45">
        <v>0.94791666666666663</v>
      </c>
      <c r="C20" s="35"/>
      <c r="D20" s="37"/>
      <c r="E20" s="37"/>
      <c r="F20" s="37"/>
      <c r="G20" s="37"/>
      <c r="H20" s="38"/>
      <c r="I20" s="218"/>
      <c r="J20" s="32"/>
      <c r="K20" s="39"/>
      <c r="L20" s="40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46"/>
      <c r="B21" s="47"/>
      <c r="C21" s="48"/>
      <c r="D21" s="48"/>
      <c r="E21" s="48"/>
      <c r="F21" s="48"/>
      <c r="G21" s="49"/>
      <c r="H21" s="50">
        <f t="shared" ref="H21:I21" si="0">SUM(H3:H20)</f>
        <v>0</v>
      </c>
      <c r="I21" s="51">
        <f t="shared" si="0"/>
        <v>0</v>
      </c>
      <c r="J21" s="52"/>
      <c r="K21" s="51">
        <f>SUM(K3:K20)</f>
        <v>0</v>
      </c>
      <c r="L21" s="40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78.75" x14ac:dyDescent="0.25">
      <c r="A22" s="53">
        <f>A3+3</f>
        <v>44564</v>
      </c>
      <c r="B22" s="54" t="s">
        <v>54</v>
      </c>
      <c r="C22" s="55" t="s">
        <v>69</v>
      </c>
      <c r="D22" s="56">
        <v>48</v>
      </c>
      <c r="E22" s="57" t="s">
        <v>70</v>
      </c>
      <c r="F22" s="57" t="s">
        <v>71</v>
      </c>
      <c r="G22" s="58">
        <v>44201</v>
      </c>
      <c r="H22" s="59">
        <v>2196</v>
      </c>
      <c r="I22" s="30">
        <v>0.5</v>
      </c>
      <c r="J22" s="32"/>
      <c r="K22" s="39"/>
      <c r="L22" s="40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78.75" x14ac:dyDescent="0.25">
      <c r="A23" s="41" t="s">
        <v>72</v>
      </c>
      <c r="B23" s="42" t="s">
        <v>57</v>
      </c>
      <c r="C23" s="55" t="s">
        <v>73</v>
      </c>
      <c r="D23" s="56">
        <v>72</v>
      </c>
      <c r="E23" s="57" t="s">
        <v>74</v>
      </c>
      <c r="F23" s="57" t="s">
        <v>75</v>
      </c>
      <c r="G23" s="57" t="s">
        <v>76</v>
      </c>
      <c r="H23" s="59">
        <v>2205</v>
      </c>
      <c r="I23" s="30">
        <v>1</v>
      </c>
      <c r="J23" s="32"/>
      <c r="K23" s="39"/>
      <c r="L23" s="40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78.75" x14ac:dyDescent="0.25">
      <c r="A24" s="35"/>
      <c r="B24" s="42" t="s">
        <v>58</v>
      </c>
      <c r="C24" s="55" t="s">
        <v>77</v>
      </c>
      <c r="D24" s="60">
        <v>72.099999999999994</v>
      </c>
      <c r="E24" s="60" t="s">
        <v>70</v>
      </c>
      <c r="F24" s="60" t="s">
        <v>78</v>
      </c>
      <c r="G24" s="61">
        <v>44199</v>
      </c>
      <c r="H24" s="62">
        <v>3166</v>
      </c>
      <c r="I24" s="218">
        <v>1</v>
      </c>
      <c r="J24" s="32"/>
      <c r="K24" s="39"/>
      <c r="L24" s="40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10.25" x14ac:dyDescent="0.25">
      <c r="A25" s="35"/>
      <c r="B25" s="42" t="s">
        <v>59</v>
      </c>
      <c r="C25" s="55" t="s">
        <v>79</v>
      </c>
      <c r="D25" s="56">
        <v>72</v>
      </c>
      <c r="E25" s="57" t="s">
        <v>25</v>
      </c>
      <c r="F25" s="63" t="s">
        <v>80</v>
      </c>
      <c r="G25" s="57" t="s">
        <v>81</v>
      </c>
      <c r="H25" s="59">
        <v>3578</v>
      </c>
      <c r="I25" s="30">
        <v>1</v>
      </c>
      <c r="J25" s="32"/>
      <c r="K25" s="39"/>
      <c r="L25" s="40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63" x14ac:dyDescent="0.25">
      <c r="A26" s="35"/>
      <c r="B26" s="42" t="s">
        <v>60</v>
      </c>
      <c r="C26" s="55" t="s">
        <v>82</v>
      </c>
      <c r="D26" s="56">
        <v>72</v>
      </c>
      <c r="E26" s="57" t="s">
        <v>70</v>
      </c>
      <c r="F26" s="63" t="s">
        <v>83</v>
      </c>
      <c r="G26" s="58">
        <v>44200</v>
      </c>
      <c r="H26" s="59">
        <v>3256</v>
      </c>
      <c r="I26" s="30">
        <v>1</v>
      </c>
      <c r="J26" s="32"/>
      <c r="K26" s="39"/>
      <c r="L26" s="40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63" x14ac:dyDescent="0.25">
      <c r="A27" s="35"/>
      <c r="B27" s="42" t="s">
        <v>61</v>
      </c>
      <c r="C27" s="64" t="s">
        <v>84</v>
      </c>
      <c r="D27" s="56">
        <v>72</v>
      </c>
      <c r="E27" s="57" t="s">
        <v>85</v>
      </c>
      <c r="F27" s="57" t="s">
        <v>86</v>
      </c>
      <c r="G27" s="58">
        <v>44201</v>
      </c>
      <c r="H27" s="59">
        <v>8667</v>
      </c>
      <c r="I27" s="30">
        <v>2</v>
      </c>
      <c r="J27" s="32"/>
      <c r="K27" s="39"/>
      <c r="L27" s="40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31.5" x14ac:dyDescent="0.25">
      <c r="A28" s="35"/>
      <c r="B28" s="42" t="s">
        <v>62</v>
      </c>
      <c r="C28" s="55" t="s">
        <v>87</v>
      </c>
      <c r="D28" s="65"/>
      <c r="E28" s="65"/>
      <c r="F28" s="65"/>
      <c r="G28" s="66"/>
      <c r="H28" s="65"/>
      <c r="I28" s="30"/>
      <c r="J28" s="32"/>
      <c r="K28" s="39"/>
      <c r="L28" s="40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25">
      <c r="A29" s="35"/>
      <c r="B29" s="42" t="s">
        <v>63</v>
      </c>
      <c r="C29" s="35"/>
      <c r="D29" s="67"/>
      <c r="E29" s="67"/>
      <c r="F29" s="67"/>
      <c r="G29" s="67"/>
      <c r="H29" s="67"/>
      <c r="I29" s="218"/>
      <c r="J29" s="32"/>
      <c r="K29" s="39"/>
      <c r="L29" s="40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78.75" x14ac:dyDescent="0.25">
      <c r="A30" s="35"/>
      <c r="B30" s="42" t="s">
        <v>64</v>
      </c>
      <c r="C30" s="55" t="s">
        <v>2852</v>
      </c>
      <c r="D30" s="68">
        <v>72</v>
      </c>
      <c r="E30" s="68" t="s">
        <v>85</v>
      </c>
      <c r="F30" s="68" t="s">
        <v>88</v>
      </c>
      <c r="G30" s="69">
        <v>44200</v>
      </c>
      <c r="H30" s="67">
        <v>9700</v>
      </c>
      <c r="I30" s="218">
        <v>3</v>
      </c>
      <c r="J30" s="32"/>
      <c r="K30" s="39"/>
      <c r="L30" s="40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25">
      <c r="A31" s="35"/>
      <c r="B31" s="42" t="s">
        <v>65</v>
      </c>
      <c r="C31" s="35"/>
      <c r="D31" s="67"/>
      <c r="E31" s="67"/>
      <c r="F31" s="67"/>
      <c r="G31" s="70" t="s">
        <v>89</v>
      </c>
      <c r="H31" s="67"/>
      <c r="I31" s="218"/>
      <c r="J31" s="32"/>
      <c r="K31" s="39"/>
      <c r="L31" s="40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25">
      <c r="A32" s="35"/>
      <c r="B32" s="42" t="s">
        <v>66</v>
      </c>
      <c r="C32" s="35"/>
      <c r="D32" s="67"/>
      <c r="E32" s="67"/>
      <c r="F32" s="67"/>
      <c r="G32" s="67"/>
      <c r="H32" s="67"/>
      <c r="I32" s="218"/>
      <c r="J32" s="32"/>
      <c r="K32" s="39"/>
      <c r="L32" s="40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63" x14ac:dyDescent="0.25">
      <c r="A33" s="35"/>
      <c r="B33" s="42" t="s">
        <v>67</v>
      </c>
      <c r="C33" s="71" t="s">
        <v>90</v>
      </c>
      <c r="D33" s="56">
        <v>72</v>
      </c>
      <c r="E33" s="57" t="s">
        <v>91</v>
      </c>
      <c r="F33" s="57" t="s">
        <v>92</v>
      </c>
      <c r="G33" s="58">
        <v>44202</v>
      </c>
      <c r="H33" s="72">
        <v>3100</v>
      </c>
      <c r="I33" s="30">
        <v>1</v>
      </c>
      <c r="J33" s="32"/>
      <c r="K33" s="39"/>
      <c r="L33" s="40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63" x14ac:dyDescent="0.25">
      <c r="A34" s="35"/>
      <c r="B34" s="42" t="s">
        <v>68</v>
      </c>
      <c r="C34" s="71" t="s">
        <v>93</v>
      </c>
      <c r="D34" s="56">
        <v>72</v>
      </c>
      <c r="E34" s="57" t="s">
        <v>85</v>
      </c>
      <c r="F34" s="57" t="s">
        <v>94</v>
      </c>
      <c r="G34" s="58">
        <v>44202</v>
      </c>
      <c r="H34" s="72">
        <v>2278</v>
      </c>
      <c r="I34" s="30">
        <v>1</v>
      </c>
      <c r="J34" s="32"/>
      <c r="K34" s="39"/>
      <c r="L34" s="40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63" x14ac:dyDescent="0.25">
      <c r="A35" s="35"/>
      <c r="B35" s="44">
        <v>0.79166666666666663</v>
      </c>
      <c r="C35" s="71" t="s">
        <v>95</v>
      </c>
      <c r="D35" s="56">
        <v>68</v>
      </c>
      <c r="E35" s="57" t="s">
        <v>96</v>
      </c>
      <c r="F35" s="57" t="s">
        <v>97</v>
      </c>
      <c r="G35" s="58">
        <v>44200</v>
      </c>
      <c r="H35" s="59">
        <v>6881</v>
      </c>
      <c r="I35" s="30">
        <v>3</v>
      </c>
      <c r="J35" s="32"/>
      <c r="K35" s="39"/>
      <c r="L35" s="40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47.25" x14ac:dyDescent="0.25">
      <c r="A36" s="35"/>
      <c r="B36" s="44">
        <v>0.83333333333333337</v>
      </c>
      <c r="C36" s="71" t="s">
        <v>98</v>
      </c>
      <c r="D36" s="65"/>
      <c r="E36" s="65"/>
      <c r="F36" s="65"/>
      <c r="G36" s="65"/>
      <c r="H36" s="65"/>
      <c r="I36" s="30"/>
      <c r="J36" s="17"/>
      <c r="K36" s="39"/>
      <c r="L36" s="40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25">
      <c r="A37" s="35"/>
      <c r="B37" s="44">
        <v>0.875</v>
      </c>
      <c r="C37" s="35"/>
      <c r="D37" s="65"/>
      <c r="E37" s="65"/>
      <c r="F37" s="65"/>
      <c r="G37" s="65"/>
      <c r="H37" s="65"/>
      <c r="I37" s="30"/>
      <c r="J37" s="17"/>
      <c r="K37" s="39"/>
      <c r="L37" s="40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25">
      <c r="A38" s="35"/>
      <c r="B38" s="44">
        <v>0.91666666666666663</v>
      </c>
      <c r="C38" s="35"/>
      <c r="D38" s="65"/>
      <c r="E38" s="65"/>
      <c r="F38" s="65"/>
      <c r="G38" s="66"/>
      <c r="H38" s="65"/>
      <c r="I38" s="30"/>
      <c r="J38" s="32"/>
      <c r="K38" s="39"/>
      <c r="L38" s="40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25">
      <c r="A39" s="35"/>
      <c r="B39" s="45">
        <v>0.94791666666666663</v>
      </c>
      <c r="C39" s="35"/>
      <c r="D39" s="65"/>
      <c r="E39" s="65"/>
      <c r="F39" s="65"/>
      <c r="G39" s="66"/>
      <c r="H39" s="65"/>
      <c r="I39" s="30"/>
      <c r="J39" s="32"/>
      <c r="K39" s="39"/>
      <c r="L39" s="40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25">
      <c r="A40" s="46"/>
      <c r="B40" s="73"/>
      <c r="C40" s="74"/>
      <c r="D40" s="74"/>
      <c r="E40" s="74"/>
      <c r="F40" s="74"/>
      <c r="G40" s="75"/>
      <c r="H40" s="51">
        <f t="shared" ref="H40:I40" si="1">SUM(H22:H39)</f>
        <v>45027</v>
      </c>
      <c r="I40" s="51">
        <f t="shared" si="1"/>
        <v>14.5</v>
      </c>
      <c r="J40" s="52"/>
      <c r="K40" s="51">
        <f>SUM(K22:K39)</f>
        <v>0</v>
      </c>
      <c r="L40" s="40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78.75" x14ac:dyDescent="0.25">
      <c r="A41" s="53">
        <f>A22+1</f>
        <v>44565</v>
      </c>
      <c r="B41" s="54" t="s">
        <v>54</v>
      </c>
      <c r="C41" s="55" t="s">
        <v>99</v>
      </c>
      <c r="D41" s="68">
        <v>48</v>
      </c>
      <c r="E41" s="68" t="s">
        <v>100</v>
      </c>
      <c r="F41" s="68" t="s">
        <v>101</v>
      </c>
      <c r="G41" s="69">
        <v>44201</v>
      </c>
      <c r="H41" s="67">
        <v>3823</v>
      </c>
      <c r="I41" s="218">
        <v>2</v>
      </c>
      <c r="J41" s="32"/>
      <c r="K41" s="39"/>
      <c r="L41" s="40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31.5" x14ac:dyDescent="0.25">
      <c r="A42" s="41" t="s">
        <v>102</v>
      </c>
      <c r="B42" s="42" t="s">
        <v>57</v>
      </c>
      <c r="C42" s="76" t="s">
        <v>103</v>
      </c>
      <c r="D42" s="65"/>
      <c r="E42" s="65"/>
      <c r="F42" s="65"/>
      <c r="G42" s="77" t="s">
        <v>104</v>
      </c>
      <c r="H42" s="65"/>
      <c r="I42" s="218"/>
      <c r="J42" s="32"/>
      <c r="K42" s="39"/>
      <c r="L42" s="40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47.25" x14ac:dyDescent="0.25">
      <c r="A43" s="41"/>
      <c r="B43" s="42" t="s">
        <v>58</v>
      </c>
      <c r="C43" s="71" t="s">
        <v>105</v>
      </c>
      <c r="D43" s="56">
        <v>51</v>
      </c>
      <c r="E43" s="57" t="s">
        <v>106</v>
      </c>
      <c r="F43" s="57" t="s">
        <v>107</v>
      </c>
      <c r="G43" s="78">
        <v>44566</v>
      </c>
      <c r="H43" s="59">
        <v>21921</v>
      </c>
      <c r="I43" s="30">
        <v>8</v>
      </c>
      <c r="J43" s="32"/>
      <c r="K43" s="39"/>
      <c r="L43" s="40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6" x14ac:dyDescent="0.25">
      <c r="A44" s="41"/>
      <c r="B44" s="42" t="s">
        <v>59</v>
      </c>
      <c r="C44" s="55" t="s">
        <v>108</v>
      </c>
      <c r="D44" s="65"/>
      <c r="E44" s="65"/>
      <c r="F44" s="59">
        <v>2</v>
      </c>
      <c r="G44" s="77" t="s">
        <v>104</v>
      </c>
      <c r="H44" s="65"/>
      <c r="I44" s="30"/>
      <c r="J44" s="32"/>
      <c r="K44" s="39"/>
      <c r="L44" s="40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25">
      <c r="A45" s="41"/>
      <c r="B45" s="42" t="s">
        <v>60</v>
      </c>
      <c r="C45" s="35"/>
      <c r="D45" s="65"/>
      <c r="E45" s="65"/>
      <c r="F45" s="59">
        <v>3</v>
      </c>
      <c r="G45" s="66"/>
      <c r="H45" s="65"/>
      <c r="I45" s="30"/>
      <c r="J45" s="32"/>
      <c r="K45" s="39"/>
      <c r="L45" s="40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25">
      <c r="A46" s="41"/>
      <c r="B46" s="42" t="s">
        <v>61</v>
      </c>
      <c r="C46" s="35"/>
      <c r="D46" s="65"/>
      <c r="E46" s="65"/>
      <c r="F46" s="59">
        <v>4</v>
      </c>
      <c r="G46" s="66"/>
      <c r="H46" s="65"/>
      <c r="I46" s="30"/>
      <c r="J46" s="32"/>
      <c r="K46" s="39"/>
      <c r="L46" s="40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25">
      <c r="A47" s="41"/>
      <c r="B47" s="42" t="s">
        <v>62</v>
      </c>
      <c r="C47" s="35"/>
      <c r="D47" s="65"/>
      <c r="E47" s="65"/>
      <c r="F47" s="59">
        <v>5</v>
      </c>
      <c r="G47" s="66"/>
      <c r="H47" s="65"/>
      <c r="I47" s="30"/>
      <c r="J47" s="32"/>
      <c r="K47" s="39"/>
      <c r="L47" s="40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25">
      <c r="A48" s="41"/>
      <c r="B48" s="42" t="s">
        <v>63</v>
      </c>
      <c r="C48" s="35"/>
      <c r="D48" s="65"/>
      <c r="E48" s="65"/>
      <c r="F48" s="59">
        <v>6</v>
      </c>
      <c r="G48" s="66"/>
      <c r="H48" s="65"/>
      <c r="I48" s="30"/>
      <c r="J48" s="32"/>
      <c r="K48" s="39"/>
      <c r="L48" s="40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25">
      <c r="A49" s="41"/>
      <c r="B49" s="42" t="s">
        <v>64</v>
      </c>
      <c r="C49" s="35"/>
      <c r="D49" s="65"/>
      <c r="E49" s="65"/>
      <c r="F49" s="59">
        <v>7</v>
      </c>
      <c r="G49" s="66"/>
      <c r="H49" s="65"/>
      <c r="I49" s="30"/>
      <c r="J49" s="32"/>
      <c r="K49" s="39"/>
      <c r="L49" s="40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25">
      <c r="A50" s="41"/>
      <c r="B50" s="42" t="s">
        <v>65</v>
      </c>
      <c r="C50" s="35"/>
      <c r="D50" s="65"/>
      <c r="E50" s="65"/>
      <c r="F50" s="65">
        <v>8</v>
      </c>
      <c r="G50" s="65"/>
      <c r="H50" s="65"/>
      <c r="I50" s="218"/>
      <c r="J50" s="32"/>
      <c r="K50" s="39"/>
      <c r="L50" s="40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78.75" x14ac:dyDescent="0.25">
      <c r="A51" s="41"/>
      <c r="B51" s="42" t="s">
        <v>66</v>
      </c>
      <c r="C51" s="71" t="s">
        <v>109</v>
      </c>
      <c r="D51" s="56">
        <v>60</v>
      </c>
      <c r="E51" s="57" t="s">
        <v>70</v>
      </c>
      <c r="F51" s="57" t="s">
        <v>110</v>
      </c>
      <c r="G51" s="58">
        <v>44201</v>
      </c>
      <c r="H51" s="59">
        <v>7895</v>
      </c>
      <c r="I51" s="30">
        <v>3</v>
      </c>
      <c r="J51" s="32"/>
      <c r="K51" s="39"/>
      <c r="L51" s="40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47.25" x14ac:dyDescent="0.25">
      <c r="A52" s="41"/>
      <c r="B52" s="42" t="s">
        <v>67</v>
      </c>
      <c r="C52" s="71" t="s">
        <v>111</v>
      </c>
      <c r="D52" s="65"/>
      <c r="E52" s="65"/>
      <c r="F52" s="65"/>
      <c r="G52" s="66"/>
      <c r="H52" s="65"/>
      <c r="I52" s="30"/>
      <c r="J52" s="32"/>
      <c r="K52" s="39"/>
      <c r="L52" s="40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25">
      <c r="A53" s="41"/>
      <c r="B53" s="42" t="s">
        <v>68</v>
      </c>
      <c r="C53" s="35"/>
      <c r="D53" s="65"/>
      <c r="E53" s="65"/>
      <c r="F53" s="65"/>
      <c r="G53" s="66"/>
      <c r="H53" s="65"/>
      <c r="I53" s="30"/>
      <c r="J53" s="32"/>
      <c r="K53" s="39"/>
      <c r="L53" s="40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63" x14ac:dyDescent="0.25">
      <c r="A54" s="41"/>
      <c r="B54" s="44">
        <v>0.79166666666666663</v>
      </c>
      <c r="C54" s="71" t="s">
        <v>112</v>
      </c>
      <c r="D54" s="56">
        <v>60</v>
      </c>
      <c r="E54" s="57" t="s">
        <v>100</v>
      </c>
      <c r="F54" s="57" t="s">
        <v>113</v>
      </c>
      <c r="G54" s="79">
        <v>44206</v>
      </c>
      <c r="H54" s="59">
        <v>2443</v>
      </c>
      <c r="I54" s="30">
        <v>1</v>
      </c>
      <c r="J54" s="32"/>
      <c r="K54" s="39"/>
      <c r="L54" s="40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25">
      <c r="A55" s="41"/>
      <c r="B55" s="44">
        <v>0.83333333333333337</v>
      </c>
      <c r="C55" s="35"/>
      <c r="D55" s="65"/>
      <c r="E55" s="65"/>
      <c r="F55" s="65"/>
      <c r="G55" s="65"/>
      <c r="H55" s="65"/>
      <c r="I55" s="30"/>
      <c r="J55" s="32"/>
      <c r="K55" s="39"/>
      <c r="L55" s="40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25">
      <c r="A56" s="41"/>
      <c r="B56" s="44">
        <v>0.875</v>
      </c>
      <c r="C56" s="35"/>
      <c r="D56" s="65"/>
      <c r="E56" s="65"/>
      <c r="F56" s="65"/>
      <c r="G56" s="65"/>
      <c r="H56" s="65"/>
      <c r="I56" s="30"/>
      <c r="J56" s="32"/>
      <c r="K56" s="39"/>
      <c r="L56" s="40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25">
      <c r="A57" s="41"/>
      <c r="B57" s="44">
        <v>0.91666666666666663</v>
      </c>
      <c r="C57" s="35"/>
      <c r="D57" s="65"/>
      <c r="E57" s="65"/>
      <c r="F57" s="65"/>
      <c r="G57" s="65"/>
      <c r="H57" s="65"/>
      <c r="I57" s="30"/>
      <c r="J57" s="32"/>
      <c r="K57" s="39"/>
      <c r="L57" s="40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25">
      <c r="A58" s="41"/>
      <c r="B58" s="45">
        <v>0.94791666666666663</v>
      </c>
      <c r="C58" s="35"/>
      <c r="D58" s="65"/>
      <c r="E58" s="65"/>
      <c r="F58" s="65"/>
      <c r="G58" s="65"/>
      <c r="H58" s="65"/>
      <c r="I58" s="30"/>
      <c r="J58" s="32"/>
      <c r="K58" s="39"/>
      <c r="L58" s="40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5">
      <c r="A59" s="80"/>
      <c r="B59" s="73"/>
      <c r="C59" s="74"/>
      <c r="D59" s="74"/>
      <c r="E59" s="74"/>
      <c r="F59" s="74"/>
      <c r="G59" s="75"/>
      <c r="H59" s="51">
        <f t="shared" ref="H59:I59" si="2">SUM(H41:H58)</f>
        <v>36082</v>
      </c>
      <c r="I59" s="51">
        <f t="shared" si="2"/>
        <v>14</v>
      </c>
      <c r="J59" s="52"/>
      <c r="K59" s="51">
        <f>SUM(K41:K58)</f>
        <v>0</v>
      </c>
      <c r="L59" s="40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63" x14ac:dyDescent="0.25">
      <c r="A60" s="33">
        <f>A41+1</f>
        <v>44566</v>
      </c>
      <c r="B60" s="34" t="s">
        <v>54</v>
      </c>
      <c r="C60" s="55" t="s">
        <v>114</v>
      </c>
      <c r="D60" s="68">
        <v>68</v>
      </c>
      <c r="E60" s="68" t="s">
        <v>115</v>
      </c>
      <c r="F60" s="68" t="s">
        <v>116</v>
      </c>
      <c r="G60" s="69">
        <v>44201</v>
      </c>
      <c r="H60" s="67">
        <v>25158</v>
      </c>
      <c r="I60" s="218">
        <v>7</v>
      </c>
      <c r="J60" s="32"/>
      <c r="K60" s="39"/>
      <c r="L60" s="40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10.25" x14ac:dyDescent="0.25">
      <c r="A61" s="41" t="s">
        <v>117</v>
      </c>
      <c r="B61" s="42" t="s">
        <v>57</v>
      </c>
      <c r="C61" s="55" t="s">
        <v>118</v>
      </c>
      <c r="D61" s="68" t="s">
        <v>119</v>
      </c>
      <c r="E61" s="68"/>
      <c r="F61" s="68">
        <v>2</v>
      </c>
      <c r="G61" s="68"/>
      <c r="H61" s="67"/>
      <c r="I61" s="218"/>
      <c r="J61" s="32"/>
      <c r="K61" s="39"/>
      <c r="L61" s="40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25">
      <c r="A62" s="43"/>
      <c r="B62" s="42" t="s">
        <v>58</v>
      </c>
      <c r="C62" s="35"/>
      <c r="D62" s="67"/>
      <c r="E62" s="67"/>
      <c r="F62" s="67">
        <v>3</v>
      </c>
      <c r="G62" s="67"/>
      <c r="H62" s="67"/>
      <c r="I62" s="218"/>
      <c r="J62" s="32"/>
      <c r="K62" s="39"/>
      <c r="L62" s="40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5">
      <c r="A63" s="35"/>
      <c r="B63" s="42" t="s">
        <v>59</v>
      </c>
      <c r="C63" s="35"/>
      <c r="D63" s="67"/>
      <c r="E63" s="67"/>
      <c r="F63" s="67">
        <v>4</v>
      </c>
      <c r="G63" s="67"/>
      <c r="H63" s="67"/>
      <c r="I63" s="218"/>
      <c r="J63" s="32"/>
      <c r="K63" s="39"/>
      <c r="L63" s="40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25">
      <c r="A64" s="35"/>
      <c r="B64" s="42" t="s">
        <v>60</v>
      </c>
      <c r="C64" s="35"/>
      <c r="D64" s="67"/>
      <c r="E64" s="67"/>
      <c r="F64" s="67">
        <v>5</v>
      </c>
      <c r="G64" s="67"/>
      <c r="H64" s="67"/>
      <c r="I64" s="218"/>
      <c r="J64" s="32"/>
      <c r="K64" s="39"/>
      <c r="L64" s="40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25">
      <c r="A65" s="35"/>
      <c r="B65" s="42" t="s">
        <v>61</v>
      </c>
      <c r="C65" s="35"/>
      <c r="D65" s="67"/>
      <c r="E65" s="67"/>
      <c r="F65" s="67">
        <v>6</v>
      </c>
      <c r="G65" s="67"/>
      <c r="H65" s="67"/>
      <c r="I65" s="218"/>
      <c r="J65" s="32"/>
      <c r="K65" s="39"/>
      <c r="L65" s="40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25">
      <c r="A66" s="35"/>
      <c r="B66" s="42" t="s">
        <v>62</v>
      </c>
      <c r="C66" s="35"/>
      <c r="D66" s="67"/>
      <c r="E66" s="67"/>
      <c r="F66" s="67">
        <v>7</v>
      </c>
      <c r="G66" s="67"/>
      <c r="H66" s="67"/>
      <c r="I66" s="218"/>
      <c r="J66" s="32"/>
      <c r="K66" s="39"/>
      <c r="L66" s="40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25">
      <c r="A67" s="35"/>
      <c r="B67" s="42" t="s">
        <v>63</v>
      </c>
      <c r="C67" s="35"/>
      <c r="D67" s="65"/>
      <c r="E67" s="65"/>
      <c r="F67" s="65"/>
      <c r="G67" s="66"/>
      <c r="H67" s="65"/>
      <c r="I67" s="30"/>
      <c r="J67" s="32"/>
      <c r="K67" s="39"/>
      <c r="L67" s="40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47.25" x14ac:dyDescent="0.25">
      <c r="A68" s="35"/>
      <c r="B68" s="42" t="s">
        <v>64</v>
      </c>
      <c r="C68" s="71" t="s">
        <v>120</v>
      </c>
      <c r="D68" s="56">
        <v>51</v>
      </c>
      <c r="E68" s="57" t="s">
        <v>121</v>
      </c>
      <c r="F68" s="57" t="s">
        <v>122</v>
      </c>
      <c r="G68" s="58">
        <v>44202</v>
      </c>
      <c r="H68" s="72">
        <v>3851</v>
      </c>
      <c r="I68" s="30">
        <v>2</v>
      </c>
      <c r="J68" s="32"/>
      <c r="K68" s="39"/>
      <c r="L68" s="40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31.5" x14ac:dyDescent="0.25">
      <c r="A69" s="35"/>
      <c r="B69" s="42" t="s">
        <v>65</v>
      </c>
      <c r="C69" s="71" t="s">
        <v>123</v>
      </c>
      <c r="D69" s="66"/>
      <c r="E69" s="66"/>
      <c r="F69" s="66"/>
      <c r="G69" s="66"/>
      <c r="H69" s="66"/>
      <c r="I69" s="30"/>
      <c r="J69" s="32"/>
      <c r="K69" s="39"/>
      <c r="L69" s="40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63" x14ac:dyDescent="0.25">
      <c r="A70" s="35"/>
      <c r="B70" s="42" t="s">
        <v>66</v>
      </c>
      <c r="C70" s="55" t="s">
        <v>124</v>
      </c>
      <c r="D70" s="68">
        <v>54</v>
      </c>
      <c r="E70" s="68" t="s">
        <v>125</v>
      </c>
      <c r="F70" s="68" t="s">
        <v>126</v>
      </c>
      <c r="G70" s="69">
        <v>44201</v>
      </c>
      <c r="H70" s="67">
        <v>2132</v>
      </c>
      <c r="I70" s="218">
        <v>1</v>
      </c>
      <c r="J70" s="32"/>
      <c r="K70" s="39"/>
      <c r="L70" s="40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47.25" x14ac:dyDescent="0.25">
      <c r="A71" s="41" t="s">
        <v>127</v>
      </c>
      <c r="B71" s="42" t="s">
        <v>67</v>
      </c>
      <c r="C71" s="55" t="s">
        <v>128</v>
      </c>
      <c r="D71" s="57">
        <v>60</v>
      </c>
      <c r="E71" s="57" t="s">
        <v>85</v>
      </c>
      <c r="F71" s="57" t="s">
        <v>129</v>
      </c>
      <c r="G71" s="63">
        <v>44201</v>
      </c>
      <c r="H71" s="65">
        <v>5086</v>
      </c>
      <c r="I71" s="30">
        <v>2</v>
      </c>
      <c r="J71" s="32"/>
      <c r="K71" s="39"/>
      <c r="L71" s="40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31.5" x14ac:dyDescent="0.25">
      <c r="A72" s="35"/>
      <c r="B72" s="42" t="s">
        <v>68</v>
      </c>
      <c r="C72" s="55" t="s">
        <v>130</v>
      </c>
      <c r="D72" s="57"/>
      <c r="E72" s="57"/>
      <c r="F72" s="57"/>
      <c r="G72" s="63"/>
      <c r="H72" s="65"/>
      <c r="I72" s="30"/>
      <c r="J72" s="32"/>
      <c r="K72" s="39"/>
      <c r="L72" s="40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1.75" x14ac:dyDescent="0.25">
      <c r="A73" s="35"/>
      <c r="B73" s="44">
        <v>0.79166666666666663</v>
      </c>
      <c r="C73" s="55" t="s">
        <v>131</v>
      </c>
      <c r="D73" s="68">
        <v>60</v>
      </c>
      <c r="E73" s="68" t="s">
        <v>91</v>
      </c>
      <c r="F73" s="68" t="s">
        <v>132</v>
      </c>
      <c r="G73" s="69">
        <v>44201</v>
      </c>
      <c r="H73" s="67">
        <v>2659</v>
      </c>
      <c r="I73" s="218">
        <v>1</v>
      </c>
      <c r="J73" s="32"/>
      <c r="K73" s="39"/>
      <c r="L73" s="40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63" x14ac:dyDescent="0.25">
      <c r="A74" s="35"/>
      <c r="B74" s="44">
        <v>0.83333333333333337</v>
      </c>
      <c r="C74" s="64" t="s">
        <v>133</v>
      </c>
      <c r="D74" s="56">
        <v>72</v>
      </c>
      <c r="E74" s="57" t="s">
        <v>18</v>
      </c>
      <c r="F74" s="57" t="s">
        <v>134</v>
      </c>
      <c r="G74" s="79">
        <v>44202</v>
      </c>
      <c r="H74" s="59">
        <v>3889</v>
      </c>
      <c r="I74" s="30">
        <v>1</v>
      </c>
      <c r="J74" s="32"/>
      <c r="K74" s="39"/>
      <c r="L74" s="40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25">
      <c r="A75" s="35"/>
      <c r="B75" s="44">
        <v>0.875</v>
      </c>
      <c r="C75" s="35"/>
      <c r="D75" s="65"/>
      <c r="E75" s="65"/>
      <c r="F75" s="65"/>
      <c r="G75" s="66"/>
      <c r="H75" s="65"/>
      <c r="I75" s="30"/>
      <c r="J75" s="32"/>
      <c r="K75" s="39"/>
      <c r="L75" s="40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25">
      <c r="A76" s="35"/>
      <c r="B76" s="44">
        <v>0.91666666666666663</v>
      </c>
      <c r="C76" s="35"/>
      <c r="D76" s="65"/>
      <c r="E76" s="65"/>
      <c r="F76" s="65"/>
      <c r="G76" s="66"/>
      <c r="H76" s="65"/>
      <c r="I76" s="30"/>
      <c r="J76" s="32"/>
      <c r="K76" s="39"/>
      <c r="L76" s="40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25">
      <c r="A77" s="35"/>
      <c r="B77" s="45">
        <v>0.94791666666666663</v>
      </c>
      <c r="C77" s="35"/>
      <c r="D77" s="65"/>
      <c r="E77" s="65"/>
      <c r="F77" s="65"/>
      <c r="G77" s="66"/>
      <c r="H77" s="65"/>
      <c r="I77" s="30"/>
      <c r="J77" s="32"/>
      <c r="K77" s="39"/>
      <c r="L77" s="40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25">
      <c r="A78" s="80"/>
      <c r="B78" s="73"/>
      <c r="C78" s="74"/>
      <c r="D78" s="74"/>
      <c r="E78" s="74"/>
      <c r="F78" s="74"/>
      <c r="G78" s="75"/>
      <c r="H78" s="51">
        <f t="shared" ref="H78:I78" si="3">SUM(H60:H77)</f>
        <v>42775</v>
      </c>
      <c r="I78" s="51">
        <f t="shared" si="3"/>
        <v>14</v>
      </c>
      <c r="J78" s="52"/>
      <c r="K78" s="51">
        <f>SUM(K60:K77)</f>
        <v>0</v>
      </c>
      <c r="L78" s="40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78.75" x14ac:dyDescent="0.25">
      <c r="A79" s="33">
        <f>A60+1</f>
        <v>44567</v>
      </c>
      <c r="B79" s="34" t="s">
        <v>54</v>
      </c>
      <c r="C79" s="55" t="s">
        <v>135</v>
      </c>
      <c r="D79" s="57">
        <v>48</v>
      </c>
      <c r="E79" s="57" t="s">
        <v>85</v>
      </c>
      <c r="F79" s="57" t="s">
        <v>136</v>
      </c>
      <c r="G79" s="63">
        <v>44202</v>
      </c>
      <c r="H79" s="65">
        <v>5471</v>
      </c>
      <c r="I79" s="30">
        <v>4</v>
      </c>
      <c r="J79" s="32"/>
      <c r="K79" s="39"/>
      <c r="L79" s="40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63" x14ac:dyDescent="0.25">
      <c r="A80" s="41" t="s">
        <v>137</v>
      </c>
      <c r="B80" s="42" t="s">
        <v>57</v>
      </c>
      <c r="C80" s="55" t="s">
        <v>138</v>
      </c>
      <c r="D80" s="57"/>
      <c r="E80" s="57"/>
      <c r="F80" s="57"/>
      <c r="G80" s="57" t="s">
        <v>139</v>
      </c>
      <c r="H80" s="65"/>
      <c r="I80" s="30"/>
      <c r="J80" s="32"/>
      <c r="K80" s="39"/>
      <c r="L80" s="40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25">
      <c r="A81" s="35"/>
      <c r="B81" s="42" t="s">
        <v>58</v>
      </c>
      <c r="C81" s="35"/>
      <c r="D81" s="65"/>
      <c r="E81" s="65"/>
      <c r="F81" s="65"/>
      <c r="G81" s="65"/>
      <c r="H81" s="65"/>
      <c r="I81" s="30"/>
      <c r="J81" s="32"/>
      <c r="K81" s="39"/>
      <c r="L81" s="40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25">
      <c r="A82" s="35"/>
      <c r="B82" s="42" t="s">
        <v>59</v>
      </c>
      <c r="C82" s="35"/>
      <c r="D82" s="65"/>
      <c r="E82" s="65"/>
      <c r="F82" s="65"/>
      <c r="G82" s="65"/>
      <c r="H82" s="65"/>
      <c r="I82" s="30"/>
      <c r="J82" s="32"/>
      <c r="K82" s="39"/>
      <c r="L82" s="40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25">
      <c r="A83" s="35"/>
      <c r="B83" s="42" t="s">
        <v>60</v>
      </c>
      <c r="C83" s="35"/>
      <c r="D83" s="65"/>
      <c r="E83" s="65"/>
      <c r="F83" s="65"/>
      <c r="G83" s="65"/>
      <c r="H83" s="65"/>
      <c r="I83" s="219"/>
      <c r="J83" s="32"/>
      <c r="K83" s="39"/>
      <c r="L83" s="40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6" x14ac:dyDescent="0.25">
      <c r="A84" s="35"/>
      <c r="B84" s="42" t="s">
        <v>61</v>
      </c>
      <c r="C84" s="55" t="s">
        <v>2853</v>
      </c>
      <c r="D84" s="57">
        <v>72</v>
      </c>
      <c r="E84" s="57" t="s">
        <v>140</v>
      </c>
      <c r="F84" s="57" t="s">
        <v>141</v>
      </c>
      <c r="G84" s="57" t="s">
        <v>142</v>
      </c>
      <c r="H84" s="65">
        <v>2202</v>
      </c>
      <c r="I84" s="220">
        <v>1</v>
      </c>
      <c r="J84" s="32"/>
      <c r="K84" s="39"/>
      <c r="L84" s="40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94.5" x14ac:dyDescent="0.25">
      <c r="A85" s="35"/>
      <c r="B85" s="42" t="s">
        <v>62</v>
      </c>
      <c r="C85" s="55" t="s">
        <v>2854</v>
      </c>
      <c r="D85" s="56">
        <v>72</v>
      </c>
      <c r="E85" s="57" t="s">
        <v>140</v>
      </c>
      <c r="F85" s="57" t="s">
        <v>143</v>
      </c>
      <c r="G85" s="79">
        <v>44208</v>
      </c>
      <c r="H85" s="59">
        <v>2288</v>
      </c>
      <c r="I85" s="220">
        <v>1</v>
      </c>
      <c r="J85" s="32"/>
      <c r="K85" s="39"/>
      <c r="L85" s="40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63" x14ac:dyDescent="0.25">
      <c r="A86" s="35"/>
      <c r="B86" s="42" t="s">
        <v>63</v>
      </c>
      <c r="C86" s="55" t="s">
        <v>144</v>
      </c>
      <c r="D86" s="57">
        <v>72</v>
      </c>
      <c r="E86" s="57" t="s">
        <v>70</v>
      </c>
      <c r="F86" s="57" t="s">
        <v>78</v>
      </c>
      <c r="G86" s="63">
        <v>44203</v>
      </c>
      <c r="H86" s="65">
        <v>3148</v>
      </c>
      <c r="I86" s="220">
        <v>1</v>
      </c>
      <c r="J86" s="32"/>
      <c r="K86" s="39"/>
      <c r="L86" s="40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25">
      <c r="A87" s="35"/>
      <c r="B87" s="42" t="s">
        <v>64</v>
      </c>
      <c r="C87" s="35"/>
      <c r="D87" s="65"/>
      <c r="E87" s="81" t="s">
        <v>40</v>
      </c>
      <c r="F87" s="65"/>
      <c r="G87" s="82"/>
      <c r="H87" s="82"/>
      <c r="I87" s="30">
        <v>0.5</v>
      </c>
      <c r="J87" s="32"/>
      <c r="K87" s="39"/>
      <c r="L87" s="40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63" x14ac:dyDescent="0.25">
      <c r="A88" s="35"/>
      <c r="B88" s="42" t="s">
        <v>65</v>
      </c>
      <c r="C88" s="71" t="s">
        <v>145</v>
      </c>
      <c r="D88" s="56">
        <v>66.667000000000002</v>
      </c>
      <c r="E88" s="57" t="s">
        <v>146</v>
      </c>
      <c r="F88" s="57" t="s">
        <v>147</v>
      </c>
      <c r="G88" s="58">
        <v>44199</v>
      </c>
      <c r="H88" s="59">
        <v>26992</v>
      </c>
      <c r="I88" s="30">
        <v>6</v>
      </c>
      <c r="J88" s="32"/>
      <c r="K88" s="39"/>
      <c r="L88" s="40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6" x14ac:dyDescent="0.25">
      <c r="A89" s="35"/>
      <c r="B89" s="42" t="s">
        <v>66</v>
      </c>
      <c r="C89" s="55" t="s">
        <v>148</v>
      </c>
      <c r="D89" s="65" t="s">
        <v>149</v>
      </c>
      <c r="E89" s="65"/>
      <c r="F89" s="56">
        <v>2</v>
      </c>
      <c r="G89" s="66"/>
      <c r="H89" s="65"/>
      <c r="I89" s="30"/>
      <c r="J89" s="32"/>
      <c r="K89" s="39"/>
      <c r="L89" s="40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25">
      <c r="A90" s="35"/>
      <c r="B90" s="42" t="s">
        <v>67</v>
      </c>
      <c r="C90" s="35"/>
      <c r="D90" s="65"/>
      <c r="E90" s="65"/>
      <c r="F90" s="59">
        <v>3</v>
      </c>
      <c r="G90" s="66"/>
      <c r="H90" s="65"/>
      <c r="I90" s="30"/>
      <c r="J90" s="32"/>
      <c r="K90" s="39"/>
      <c r="L90" s="40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25">
      <c r="A91" s="35"/>
      <c r="B91" s="42" t="s">
        <v>68</v>
      </c>
      <c r="C91" s="35"/>
      <c r="D91" s="65"/>
      <c r="E91" s="65"/>
      <c r="F91" s="59">
        <v>4</v>
      </c>
      <c r="G91" s="66"/>
      <c r="H91" s="65"/>
      <c r="I91" s="30"/>
      <c r="J91" s="32"/>
      <c r="K91" s="39"/>
      <c r="L91" s="40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25">
      <c r="A92" s="35"/>
      <c r="B92" s="44">
        <v>0.79166666666666663</v>
      </c>
      <c r="C92" s="35"/>
      <c r="D92" s="65"/>
      <c r="E92" s="65"/>
      <c r="F92" s="59">
        <v>5</v>
      </c>
      <c r="G92" s="66"/>
      <c r="H92" s="65"/>
      <c r="I92" s="30"/>
      <c r="J92" s="32"/>
      <c r="K92" s="39"/>
      <c r="L92" s="40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25">
      <c r="A93" s="35"/>
      <c r="B93" s="44">
        <v>0.83333333333333337</v>
      </c>
      <c r="C93" s="35"/>
      <c r="D93" s="65"/>
      <c r="E93" s="65"/>
      <c r="F93" s="59">
        <v>6</v>
      </c>
      <c r="G93" s="66"/>
      <c r="H93" s="65"/>
      <c r="I93" s="30"/>
      <c r="J93" s="32"/>
      <c r="K93" s="39"/>
      <c r="L93" s="40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25">
      <c r="A94" s="35"/>
      <c r="B94" s="44">
        <v>0.875</v>
      </c>
      <c r="C94" s="35"/>
      <c r="D94" s="67"/>
      <c r="E94" s="67"/>
      <c r="F94" s="67"/>
      <c r="G94" s="67"/>
      <c r="H94" s="67"/>
      <c r="I94" s="218"/>
      <c r="J94" s="32"/>
      <c r="K94" s="39"/>
      <c r="L94" s="40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25">
      <c r="A95" s="35"/>
      <c r="B95" s="44">
        <v>0.91666666666666663</v>
      </c>
      <c r="C95" s="35"/>
      <c r="D95" s="65"/>
      <c r="E95" s="65"/>
      <c r="F95" s="65"/>
      <c r="G95" s="66"/>
      <c r="H95" s="65"/>
      <c r="I95" s="30"/>
      <c r="J95" s="32"/>
      <c r="K95" s="39"/>
      <c r="L95" s="40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25">
      <c r="A96" s="35"/>
      <c r="B96" s="45">
        <v>0.94791666666666663</v>
      </c>
      <c r="C96" s="35"/>
      <c r="D96" s="65"/>
      <c r="E96" s="65"/>
      <c r="F96" s="65"/>
      <c r="G96" s="66"/>
      <c r="H96" s="65"/>
      <c r="I96" s="30"/>
      <c r="J96" s="32"/>
      <c r="K96" s="39"/>
      <c r="L96" s="40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25">
      <c r="A97" s="80"/>
      <c r="B97" s="73"/>
      <c r="C97" s="74"/>
      <c r="D97" s="74"/>
      <c r="E97" s="74"/>
      <c r="F97" s="74"/>
      <c r="G97" s="75"/>
      <c r="H97" s="83">
        <f t="shared" ref="H97:I97" si="4">SUM(H79:H96)</f>
        <v>40101</v>
      </c>
      <c r="I97" s="51">
        <f t="shared" si="4"/>
        <v>13.5</v>
      </c>
      <c r="J97" s="52"/>
      <c r="K97" s="51">
        <f>SUM(K79:K96)</f>
        <v>0</v>
      </c>
      <c r="L97" s="40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25">
      <c r="A98" s="33">
        <f>A79+1</f>
        <v>44568</v>
      </c>
      <c r="B98" s="34" t="s">
        <v>54</v>
      </c>
      <c r="C98" s="35"/>
      <c r="D98" s="65"/>
      <c r="E98" s="65"/>
      <c r="F98" s="59">
        <v>7</v>
      </c>
      <c r="G98" s="66"/>
      <c r="H98" s="65"/>
      <c r="I98" s="30">
        <v>3</v>
      </c>
      <c r="J98" s="32"/>
      <c r="K98" s="39"/>
      <c r="L98" s="40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25">
      <c r="A99" s="41" t="s">
        <v>56</v>
      </c>
      <c r="B99" s="42" t="s">
        <v>57</v>
      </c>
      <c r="C99" s="35"/>
      <c r="D99" s="65"/>
      <c r="E99" s="65"/>
      <c r="F99" s="59">
        <v>8</v>
      </c>
      <c r="G99" s="66"/>
      <c r="H99" s="65"/>
      <c r="I99" s="30"/>
      <c r="J99" s="32"/>
      <c r="K99" s="39"/>
      <c r="L99" s="40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25">
      <c r="A100" s="35"/>
      <c r="B100" s="42" t="s">
        <v>58</v>
      </c>
      <c r="C100" s="43">
        <v>50979</v>
      </c>
      <c r="D100" s="65"/>
      <c r="E100" s="65"/>
      <c r="F100" s="65">
        <v>9</v>
      </c>
      <c r="G100" s="65"/>
      <c r="H100" s="65"/>
      <c r="I100" s="218"/>
      <c r="J100" s="32"/>
      <c r="K100" s="39"/>
      <c r="L100" s="40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25">
      <c r="A101" s="35"/>
      <c r="B101" s="42" t="s">
        <v>59</v>
      </c>
      <c r="C101" s="35"/>
      <c r="D101" s="65"/>
      <c r="E101" s="81" t="s">
        <v>40</v>
      </c>
      <c r="F101" s="65"/>
      <c r="G101" s="82"/>
      <c r="H101" s="82"/>
      <c r="I101" s="30">
        <v>0.5</v>
      </c>
      <c r="J101" s="32"/>
      <c r="K101" s="39"/>
      <c r="L101" s="40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25">
      <c r="A102" s="43"/>
      <c r="B102" s="42" t="s">
        <v>60</v>
      </c>
      <c r="C102" s="35"/>
      <c r="D102" s="67"/>
      <c r="E102" s="67"/>
      <c r="F102" s="67"/>
      <c r="G102" s="67"/>
      <c r="H102" s="67"/>
      <c r="I102" s="218"/>
      <c r="J102" s="32"/>
      <c r="K102" s="39"/>
      <c r="L102" s="40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63" x14ac:dyDescent="0.25">
      <c r="A103" s="35"/>
      <c r="B103" s="42" t="s">
        <v>61</v>
      </c>
      <c r="C103" s="55" t="s">
        <v>150</v>
      </c>
      <c r="D103" s="68">
        <v>72</v>
      </c>
      <c r="E103" s="68" t="s">
        <v>151</v>
      </c>
      <c r="F103" s="68" t="s">
        <v>152</v>
      </c>
      <c r="G103" s="69">
        <v>44208</v>
      </c>
      <c r="H103" s="67">
        <v>3371</v>
      </c>
      <c r="I103" s="218">
        <v>1</v>
      </c>
      <c r="J103" s="32"/>
      <c r="K103" s="39"/>
      <c r="L103" s="40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25">
      <c r="A104" s="35"/>
      <c r="B104" s="42" t="s">
        <v>62</v>
      </c>
      <c r="C104" s="35"/>
      <c r="D104" s="67"/>
      <c r="E104" s="67"/>
      <c r="F104" s="67"/>
      <c r="G104" s="67"/>
      <c r="H104" s="67"/>
      <c r="I104" s="218"/>
      <c r="J104" s="32"/>
      <c r="K104" s="39"/>
      <c r="L104" s="40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25">
      <c r="A105" s="35"/>
      <c r="B105" s="42" t="s">
        <v>63</v>
      </c>
      <c r="C105" s="35"/>
      <c r="D105" s="67"/>
      <c r="E105" s="67"/>
      <c r="F105" s="67"/>
      <c r="G105" s="67"/>
      <c r="H105" s="67"/>
      <c r="I105" s="218"/>
      <c r="J105" s="32"/>
      <c r="K105" s="39"/>
      <c r="L105" s="40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63" x14ac:dyDescent="0.25">
      <c r="A106" s="35"/>
      <c r="B106" s="42" t="s">
        <v>64</v>
      </c>
      <c r="C106" s="55" t="s">
        <v>153</v>
      </c>
      <c r="D106" s="68">
        <v>68</v>
      </c>
      <c r="E106" s="68" t="s">
        <v>154</v>
      </c>
      <c r="F106" s="68" t="s">
        <v>155</v>
      </c>
      <c r="G106" s="69">
        <v>44206</v>
      </c>
      <c r="H106" s="67">
        <v>21517</v>
      </c>
      <c r="I106" s="218">
        <v>6</v>
      </c>
      <c r="J106" s="32"/>
      <c r="K106" s="39"/>
      <c r="L106" s="40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94.5" x14ac:dyDescent="0.25">
      <c r="A107" s="35"/>
      <c r="B107" s="42" t="s">
        <v>65</v>
      </c>
      <c r="C107" s="55" t="s">
        <v>156</v>
      </c>
      <c r="D107" s="68" t="s">
        <v>157</v>
      </c>
      <c r="E107" s="68"/>
      <c r="F107" s="68">
        <v>2</v>
      </c>
      <c r="G107" s="68"/>
      <c r="H107" s="67"/>
      <c r="I107" s="218"/>
      <c r="J107" s="32"/>
      <c r="K107" s="39"/>
      <c r="L107" s="40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25">
      <c r="A108" s="35"/>
      <c r="B108" s="42" t="s">
        <v>66</v>
      </c>
      <c r="C108" s="35"/>
      <c r="D108" s="62"/>
      <c r="E108" s="62"/>
      <c r="F108" s="62">
        <v>3</v>
      </c>
      <c r="G108" s="62"/>
      <c r="H108" s="62"/>
      <c r="I108" s="218"/>
      <c r="J108" s="32"/>
      <c r="K108" s="39"/>
      <c r="L108" s="40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25">
      <c r="A109" s="35"/>
      <c r="B109" s="42" t="s">
        <v>67</v>
      </c>
      <c r="C109" s="35"/>
      <c r="D109" s="62"/>
      <c r="E109" s="62"/>
      <c r="F109" s="62">
        <v>6</v>
      </c>
      <c r="G109" s="62"/>
      <c r="H109" s="62"/>
      <c r="I109" s="218"/>
      <c r="J109" s="32"/>
      <c r="K109" s="39"/>
      <c r="L109" s="40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47.25" x14ac:dyDescent="0.25">
      <c r="A110" s="35"/>
      <c r="B110" s="42" t="s">
        <v>68</v>
      </c>
      <c r="C110" s="55" t="s">
        <v>158</v>
      </c>
      <c r="D110" s="84">
        <v>72</v>
      </c>
      <c r="E110" s="84" t="s">
        <v>70</v>
      </c>
      <c r="F110" s="84" t="s">
        <v>159</v>
      </c>
      <c r="G110" s="85">
        <v>44571</v>
      </c>
      <c r="H110" s="86">
        <v>6324</v>
      </c>
      <c r="I110" s="218">
        <v>2</v>
      </c>
      <c r="J110" s="32"/>
      <c r="K110" s="39"/>
      <c r="L110" s="40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25">
      <c r="A111" s="35"/>
      <c r="B111" s="44">
        <v>0.79166666666666663</v>
      </c>
      <c r="C111" s="87" t="s">
        <v>160</v>
      </c>
      <c r="D111" s="62"/>
      <c r="E111" s="62"/>
      <c r="F111" s="62"/>
      <c r="G111" s="62"/>
      <c r="H111" s="62"/>
      <c r="I111" s="30"/>
      <c r="J111" s="32"/>
      <c r="K111" s="39"/>
      <c r="L111" s="40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47.25" x14ac:dyDescent="0.25">
      <c r="A112" s="35"/>
      <c r="B112" s="44">
        <v>0.83333333333333337</v>
      </c>
      <c r="C112" s="55" t="s">
        <v>161</v>
      </c>
      <c r="D112" s="56">
        <v>54</v>
      </c>
      <c r="E112" s="57" t="s">
        <v>162</v>
      </c>
      <c r="F112" s="57" t="s">
        <v>163</v>
      </c>
      <c r="G112" s="57" t="s">
        <v>164</v>
      </c>
      <c r="H112" s="67">
        <v>10607</v>
      </c>
      <c r="I112" s="218">
        <v>6</v>
      </c>
      <c r="J112" s="32"/>
      <c r="K112" s="39"/>
      <c r="L112" s="40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94.5" x14ac:dyDescent="0.25">
      <c r="A113" s="35"/>
      <c r="B113" s="44">
        <v>0.875</v>
      </c>
      <c r="C113" s="55" t="s">
        <v>165</v>
      </c>
      <c r="D113" s="67"/>
      <c r="E113" s="67"/>
      <c r="F113" s="67">
        <v>2</v>
      </c>
      <c r="G113" s="57" t="s">
        <v>166</v>
      </c>
      <c r="H113" s="67"/>
      <c r="I113" s="218"/>
      <c r="J113" s="32"/>
      <c r="K113" s="39"/>
      <c r="L113" s="40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25">
      <c r="A114" s="35"/>
      <c r="B114" s="44">
        <v>0.91666666666666663</v>
      </c>
      <c r="C114" s="35"/>
      <c r="D114" s="67"/>
      <c r="E114" s="67"/>
      <c r="F114" s="67">
        <v>3</v>
      </c>
      <c r="G114" s="67"/>
      <c r="H114" s="67"/>
      <c r="I114" s="218"/>
      <c r="J114" s="32"/>
      <c r="K114" s="39"/>
      <c r="L114" s="40"/>
      <c r="T114" s="17"/>
      <c r="U114" s="17"/>
      <c r="V114" s="17"/>
      <c r="W114" s="17"/>
      <c r="X114" s="17"/>
      <c r="Y114" s="17"/>
      <c r="Z114" s="17"/>
    </row>
    <row r="115" spans="1:26" x14ac:dyDescent="0.25">
      <c r="A115" s="35"/>
      <c r="B115" s="45">
        <v>0.94791666666666663</v>
      </c>
      <c r="C115" s="35"/>
      <c r="D115" s="67"/>
      <c r="E115" s="67"/>
      <c r="F115" s="67">
        <v>4</v>
      </c>
      <c r="G115" s="67"/>
      <c r="H115" s="67"/>
      <c r="I115" s="218"/>
      <c r="J115" s="32"/>
      <c r="K115" s="39"/>
      <c r="L115" s="40"/>
      <c r="T115" s="17"/>
      <c r="U115" s="17"/>
      <c r="V115" s="17"/>
      <c r="W115" s="17"/>
      <c r="X115" s="17"/>
      <c r="Y115" s="17"/>
      <c r="Z115" s="17"/>
    </row>
    <row r="116" spans="1:26" x14ac:dyDescent="0.25">
      <c r="A116" s="88"/>
      <c r="B116" s="47"/>
      <c r="C116" s="74"/>
      <c r="D116" s="74"/>
      <c r="E116" s="74"/>
      <c r="F116" s="74"/>
      <c r="G116" s="75"/>
      <c r="H116" s="51">
        <f t="shared" ref="H116:I116" si="5">SUM(H98:H115)</f>
        <v>41819</v>
      </c>
      <c r="I116" s="51">
        <f t="shared" si="5"/>
        <v>18.5</v>
      </c>
      <c r="J116" s="52"/>
      <c r="K116" s="51">
        <f>SUM(K98:K115)</f>
        <v>0</v>
      </c>
      <c r="L116" s="40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25">
      <c r="A117" s="33">
        <f>A98+3</f>
        <v>44571</v>
      </c>
      <c r="B117" s="89" t="s">
        <v>54</v>
      </c>
      <c r="C117" s="43" t="s">
        <v>167</v>
      </c>
      <c r="D117" s="67"/>
      <c r="E117" s="67"/>
      <c r="F117" s="67">
        <v>5</v>
      </c>
      <c r="G117" s="67"/>
      <c r="H117" s="67"/>
      <c r="I117" s="218">
        <v>2</v>
      </c>
      <c r="J117" s="32"/>
      <c r="K117" s="39"/>
      <c r="L117" s="40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25">
      <c r="A118" s="41" t="s">
        <v>72</v>
      </c>
      <c r="B118" s="90" t="s">
        <v>57</v>
      </c>
      <c r="C118" s="35"/>
      <c r="D118" s="67"/>
      <c r="E118" s="67"/>
      <c r="F118" s="67">
        <v>6</v>
      </c>
      <c r="G118" s="67"/>
      <c r="H118" s="67"/>
      <c r="J118" s="32"/>
      <c r="K118" s="39"/>
      <c r="L118" s="40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63" x14ac:dyDescent="0.25">
      <c r="A119" s="35"/>
      <c r="B119" s="90" t="s">
        <v>58</v>
      </c>
      <c r="C119" s="55" t="s">
        <v>168</v>
      </c>
      <c r="D119" s="68">
        <v>48</v>
      </c>
      <c r="E119" s="68" t="s">
        <v>85</v>
      </c>
      <c r="F119" s="68" t="s">
        <v>169</v>
      </c>
      <c r="G119" s="69">
        <v>44571</v>
      </c>
      <c r="H119" s="62">
        <v>4363</v>
      </c>
      <c r="I119" s="30">
        <v>2</v>
      </c>
      <c r="J119" s="32"/>
      <c r="K119" s="39"/>
      <c r="L119" s="40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31.5" x14ac:dyDescent="0.25">
      <c r="A120" s="35"/>
      <c r="B120" s="90" t="s">
        <v>59</v>
      </c>
      <c r="C120" s="55" t="s">
        <v>170</v>
      </c>
      <c r="D120" s="67"/>
      <c r="E120" s="67"/>
      <c r="F120" s="67"/>
      <c r="G120" s="67"/>
      <c r="H120" s="67"/>
      <c r="I120" s="218"/>
      <c r="J120" s="32"/>
      <c r="K120" s="39"/>
      <c r="L120" s="40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63" x14ac:dyDescent="0.25">
      <c r="A121" s="35"/>
      <c r="B121" s="90" t="s">
        <v>60</v>
      </c>
      <c r="C121" s="55" t="s">
        <v>171</v>
      </c>
      <c r="D121" s="68">
        <v>51</v>
      </c>
      <c r="E121" s="68" t="s">
        <v>172</v>
      </c>
      <c r="F121" s="68" t="s">
        <v>173</v>
      </c>
      <c r="G121" s="91" t="s">
        <v>174</v>
      </c>
      <c r="H121" s="67">
        <v>8093</v>
      </c>
      <c r="I121" s="218">
        <v>3</v>
      </c>
      <c r="J121" s="32"/>
      <c r="K121" s="39"/>
      <c r="L121" s="40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47.25" x14ac:dyDescent="0.25">
      <c r="A122" s="35"/>
      <c r="B122" s="90" t="s">
        <v>61</v>
      </c>
      <c r="C122" s="55" t="s">
        <v>175</v>
      </c>
      <c r="D122" s="68"/>
      <c r="E122" s="68"/>
      <c r="F122" s="68"/>
      <c r="G122" s="68"/>
      <c r="H122" s="67"/>
      <c r="I122" s="218"/>
      <c r="J122" s="32"/>
      <c r="K122" s="39"/>
      <c r="L122" s="40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94.5" x14ac:dyDescent="0.25">
      <c r="A123" s="35"/>
      <c r="B123" s="90" t="s">
        <v>62</v>
      </c>
      <c r="C123" s="55" t="s">
        <v>176</v>
      </c>
      <c r="D123" s="60">
        <v>72</v>
      </c>
      <c r="E123" s="60" t="s">
        <v>91</v>
      </c>
      <c r="F123" s="60" t="s">
        <v>177</v>
      </c>
      <c r="G123" s="61">
        <v>44210</v>
      </c>
      <c r="H123" s="62">
        <v>3104</v>
      </c>
      <c r="I123" s="218">
        <v>1</v>
      </c>
      <c r="J123" s="32"/>
      <c r="K123" s="39"/>
      <c r="L123" s="40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78.75" x14ac:dyDescent="0.25">
      <c r="A124" s="35"/>
      <c r="B124" s="90" t="s">
        <v>63</v>
      </c>
      <c r="C124" s="55" t="s">
        <v>2855</v>
      </c>
      <c r="D124" s="60">
        <v>72</v>
      </c>
      <c r="E124" s="60" t="s">
        <v>85</v>
      </c>
      <c r="F124" s="60" t="s">
        <v>88</v>
      </c>
      <c r="G124" s="61">
        <v>44207</v>
      </c>
      <c r="H124" s="62">
        <v>9700</v>
      </c>
      <c r="I124" s="218">
        <v>3</v>
      </c>
      <c r="J124" s="32"/>
      <c r="K124" s="39"/>
      <c r="L124" s="40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25">
      <c r="A125" s="35"/>
      <c r="B125" s="90" t="s">
        <v>64</v>
      </c>
      <c r="C125" s="35"/>
      <c r="D125" s="62"/>
      <c r="E125" s="62"/>
      <c r="F125" s="62"/>
      <c r="G125" s="92" t="s">
        <v>178</v>
      </c>
      <c r="H125" s="62"/>
      <c r="I125" s="218"/>
      <c r="J125" s="32"/>
      <c r="K125" s="39"/>
      <c r="L125" s="40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25">
      <c r="A126" s="35"/>
      <c r="B126" s="90" t="s">
        <v>65</v>
      </c>
      <c r="C126" s="35"/>
      <c r="D126" s="62"/>
      <c r="E126" s="62"/>
      <c r="F126" s="62"/>
      <c r="G126" s="62"/>
      <c r="H126" s="62"/>
      <c r="I126" s="218"/>
      <c r="J126" s="32"/>
      <c r="K126" s="39"/>
      <c r="L126" s="40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25">
      <c r="A127" s="35"/>
      <c r="B127" s="90" t="s">
        <v>66</v>
      </c>
      <c r="C127" s="35"/>
      <c r="D127" s="93"/>
      <c r="E127" s="93"/>
      <c r="F127" s="93"/>
      <c r="G127" s="93"/>
      <c r="H127" s="93"/>
      <c r="J127" s="32"/>
      <c r="K127" s="39"/>
      <c r="L127" s="40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25">
      <c r="A128" s="35"/>
      <c r="B128" s="90" t="s">
        <v>67</v>
      </c>
      <c r="C128" s="35"/>
      <c r="D128" s="93"/>
      <c r="E128" s="93"/>
      <c r="F128" s="93"/>
      <c r="G128" s="93"/>
      <c r="H128" s="93"/>
      <c r="J128" s="32"/>
      <c r="K128" s="39"/>
      <c r="L128" s="40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25">
      <c r="A129" s="35"/>
      <c r="B129" s="90" t="s">
        <v>68</v>
      </c>
      <c r="C129" s="35"/>
      <c r="D129" s="93"/>
      <c r="E129" s="93"/>
      <c r="F129" s="93"/>
      <c r="G129" s="93"/>
      <c r="H129" s="93"/>
      <c r="J129" s="32"/>
      <c r="K129" s="39"/>
      <c r="L129" s="40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25">
      <c r="A130" s="35"/>
      <c r="B130" s="94">
        <v>0.79166666666666663</v>
      </c>
      <c r="C130" s="35"/>
      <c r="D130" s="93"/>
      <c r="E130" s="93"/>
      <c r="F130" s="93"/>
      <c r="G130" s="93"/>
      <c r="H130" s="93"/>
      <c r="J130" s="32"/>
      <c r="K130" s="39"/>
      <c r="L130" s="40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25">
      <c r="A131" s="35"/>
      <c r="B131" s="94">
        <v>0.83333333333333337</v>
      </c>
      <c r="C131" s="35"/>
      <c r="D131" s="93"/>
      <c r="E131" s="93"/>
      <c r="F131" s="93"/>
      <c r="G131" s="93"/>
      <c r="H131" s="93"/>
      <c r="J131" s="32"/>
      <c r="K131" s="39"/>
      <c r="L131" s="40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25">
      <c r="A132" s="35"/>
      <c r="B132" s="94">
        <v>0.875</v>
      </c>
      <c r="C132" s="35"/>
      <c r="D132" s="93"/>
      <c r="E132" s="93"/>
      <c r="F132" s="93"/>
      <c r="G132" s="93"/>
      <c r="H132" s="93"/>
      <c r="I132" s="218"/>
      <c r="J132" s="32"/>
      <c r="K132" s="39"/>
      <c r="L132" s="40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25">
      <c r="A133" s="35"/>
      <c r="B133" s="94">
        <v>0.91666666666666663</v>
      </c>
      <c r="C133" s="35"/>
      <c r="D133" s="93"/>
      <c r="E133" s="93"/>
      <c r="F133" s="93"/>
      <c r="G133" s="93"/>
      <c r="H133" s="93"/>
      <c r="I133" s="218"/>
      <c r="J133" s="32"/>
      <c r="K133" s="39"/>
      <c r="L133" s="40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25">
      <c r="A134" s="35"/>
      <c r="B134" s="95">
        <v>0.94791666666666663</v>
      </c>
      <c r="C134" s="35"/>
      <c r="D134" s="93"/>
      <c r="E134" s="93"/>
      <c r="F134" s="93"/>
      <c r="G134" s="93"/>
      <c r="H134" s="93"/>
      <c r="I134" s="218"/>
      <c r="J134" s="32"/>
      <c r="K134" s="39"/>
      <c r="L134" s="40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25">
      <c r="A135" s="80"/>
      <c r="B135" s="47"/>
      <c r="C135" s="47"/>
      <c r="D135" s="47"/>
      <c r="E135" s="47"/>
      <c r="F135" s="47"/>
      <c r="G135" s="96"/>
      <c r="H135" s="51">
        <f>SUM(H109:H134)</f>
        <v>84010</v>
      </c>
      <c r="I135" s="51">
        <f>SUM(I117:I134)</f>
        <v>11</v>
      </c>
      <c r="J135" s="52"/>
      <c r="K135" s="51">
        <f>SUM(K117:K134)</f>
        <v>0</v>
      </c>
      <c r="L135" s="40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47.25" x14ac:dyDescent="0.25">
      <c r="A136" s="33">
        <f>A117+1</f>
        <v>44572</v>
      </c>
      <c r="B136" s="89" t="s">
        <v>54</v>
      </c>
      <c r="C136" s="55" t="s">
        <v>179</v>
      </c>
      <c r="D136" s="60">
        <v>72</v>
      </c>
      <c r="E136" s="60" t="s">
        <v>70</v>
      </c>
      <c r="F136" s="60" t="s">
        <v>180</v>
      </c>
      <c r="G136" s="61">
        <v>44208</v>
      </c>
      <c r="H136" s="62">
        <v>6351</v>
      </c>
      <c r="I136" s="218">
        <v>2</v>
      </c>
      <c r="J136" s="32"/>
      <c r="K136" s="39"/>
      <c r="L136" s="40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31.5" x14ac:dyDescent="0.25">
      <c r="A137" s="41" t="s">
        <v>102</v>
      </c>
      <c r="B137" s="90" t="s">
        <v>57</v>
      </c>
      <c r="C137" s="55" t="s">
        <v>181</v>
      </c>
      <c r="D137" s="62"/>
      <c r="E137" s="62"/>
      <c r="F137" s="62"/>
      <c r="G137" s="62"/>
      <c r="H137" s="62"/>
      <c r="I137" s="218"/>
      <c r="J137" s="32"/>
      <c r="K137" s="39"/>
      <c r="L137" s="40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6" x14ac:dyDescent="0.25">
      <c r="A138" s="35"/>
      <c r="B138" s="90" t="s">
        <v>58</v>
      </c>
      <c r="C138" s="97" t="s">
        <v>182</v>
      </c>
      <c r="D138" s="60">
        <v>72</v>
      </c>
      <c r="E138" s="60" t="s">
        <v>74</v>
      </c>
      <c r="F138" s="60" t="s">
        <v>183</v>
      </c>
      <c r="G138" s="60" t="s">
        <v>184</v>
      </c>
      <c r="H138" s="62">
        <v>2269</v>
      </c>
      <c r="I138" s="218">
        <v>1</v>
      </c>
      <c r="J138" s="32"/>
      <c r="K138" s="39"/>
      <c r="L138" s="40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25">
      <c r="A139" s="35"/>
      <c r="B139" s="90"/>
      <c r="C139" s="35"/>
      <c r="D139" s="62"/>
      <c r="E139" s="62"/>
      <c r="F139" s="62"/>
      <c r="G139" s="62"/>
      <c r="H139" s="62"/>
      <c r="I139" s="218"/>
      <c r="J139" s="32"/>
      <c r="K139" s="39"/>
      <c r="L139" s="40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25">
      <c r="A140" s="35"/>
      <c r="B140" s="90" t="s">
        <v>59</v>
      </c>
      <c r="C140" s="35"/>
      <c r="D140" s="62"/>
      <c r="E140" s="62"/>
      <c r="F140" s="62"/>
      <c r="G140" s="62"/>
      <c r="H140" s="62"/>
      <c r="I140" s="218"/>
      <c r="J140" s="32"/>
      <c r="K140" s="39"/>
      <c r="L140" s="40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63" x14ac:dyDescent="0.25">
      <c r="A141" s="35"/>
      <c r="B141" s="90" t="s">
        <v>60</v>
      </c>
      <c r="C141" s="97" t="s">
        <v>185</v>
      </c>
      <c r="D141" s="60">
        <v>51</v>
      </c>
      <c r="E141" s="60" t="s">
        <v>186</v>
      </c>
      <c r="F141" s="60" t="s">
        <v>187</v>
      </c>
      <c r="G141" s="60" t="s">
        <v>188</v>
      </c>
      <c r="H141" s="62">
        <v>1296</v>
      </c>
      <c r="I141" s="218">
        <v>1</v>
      </c>
      <c r="J141" s="32"/>
      <c r="K141" s="39"/>
      <c r="L141" s="40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63" x14ac:dyDescent="0.25">
      <c r="A142" s="35"/>
      <c r="B142" s="90" t="s">
        <v>61</v>
      </c>
      <c r="C142" s="97" t="s">
        <v>189</v>
      </c>
      <c r="D142" s="60">
        <v>51</v>
      </c>
      <c r="E142" s="60" t="s">
        <v>190</v>
      </c>
      <c r="F142" s="60" t="s">
        <v>191</v>
      </c>
      <c r="G142" s="60" t="s">
        <v>188</v>
      </c>
      <c r="H142" s="62">
        <v>1424</v>
      </c>
      <c r="I142" s="218">
        <v>1</v>
      </c>
      <c r="J142" s="32"/>
      <c r="K142" s="39"/>
      <c r="L142" s="40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63" x14ac:dyDescent="0.25">
      <c r="A143" s="35"/>
      <c r="B143" s="90" t="s">
        <v>62</v>
      </c>
      <c r="C143" s="98" t="s">
        <v>192</v>
      </c>
      <c r="D143" s="99">
        <v>68</v>
      </c>
      <c r="E143" s="100" t="s">
        <v>115</v>
      </c>
      <c r="F143" s="100" t="s">
        <v>193</v>
      </c>
      <c r="G143" s="101">
        <v>44208</v>
      </c>
      <c r="H143" s="102">
        <v>17016</v>
      </c>
      <c r="I143" s="30">
        <v>6</v>
      </c>
      <c r="J143" s="32"/>
      <c r="K143" s="39"/>
      <c r="L143" s="40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94.5" x14ac:dyDescent="0.25">
      <c r="A144" s="35"/>
      <c r="B144" s="90" t="s">
        <v>63</v>
      </c>
      <c r="C144" s="55" t="s">
        <v>194</v>
      </c>
      <c r="D144" s="84" t="s">
        <v>119</v>
      </c>
      <c r="E144" s="86"/>
      <c r="F144" s="86">
        <v>2</v>
      </c>
      <c r="G144" s="86"/>
      <c r="H144" s="86"/>
      <c r="I144" s="30"/>
      <c r="J144" s="32"/>
      <c r="K144" s="39"/>
      <c r="L144" s="40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25">
      <c r="A145" s="35"/>
      <c r="B145" s="90" t="s">
        <v>64</v>
      </c>
      <c r="C145" s="35"/>
      <c r="D145" s="86"/>
      <c r="E145" s="86"/>
      <c r="F145" s="86">
        <v>3</v>
      </c>
      <c r="G145" s="86"/>
      <c r="H145" s="86"/>
      <c r="I145" s="30"/>
      <c r="J145" s="32"/>
      <c r="K145" s="39"/>
      <c r="L145" s="40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25">
      <c r="A146" s="35"/>
      <c r="B146" s="90" t="s">
        <v>65</v>
      </c>
      <c r="C146" s="35"/>
      <c r="D146" s="86"/>
      <c r="E146" s="86"/>
      <c r="F146" s="86">
        <v>4</v>
      </c>
      <c r="G146" s="86"/>
      <c r="H146" s="86"/>
      <c r="I146" s="30"/>
      <c r="J146" s="32"/>
      <c r="K146" s="39"/>
      <c r="L146" s="40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25">
      <c r="A147" s="35"/>
      <c r="B147" s="90" t="s">
        <v>66</v>
      </c>
      <c r="C147" s="35"/>
      <c r="D147" s="86"/>
      <c r="E147" s="86"/>
      <c r="F147" s="86">
        <v>5</v>
      </c>
      <c r="G147" s="86"/>
      <c r="H147" s="86"/>
      <c r="I147" s="218"/>
      <c r="J147" s="32"/>
      <c r="K147" s="39"/>
      <c r="L147" s="40"/>
      <c r="S147" s="17">
        <v>3</v>
      </c>
      <c r="T147" s="17"/>
      <c r="U147" s="17"/>
      <c r="V147" s="17"/>
      <c r="W147" s="17"/>
      <c r="X147" s="17"/>
      <c r="Y147" s="17"/>
      <c r="Z147" s="17"/>
    </row>
    <row r="148" spans="1:26" x14ac:dyDescent="0.25">
      <c r="A148" s="35"/>
      <c r="B148" s="90" t="s">
        <v>67</v>
      </c>
      <c r="C148" s="35"/>
      <c r="D148" s="86"/>
      <c r="E148" s="86"/>
      <c r="F148" s="86">
        <v>6</v>
      </c>
      <c r="G148" s="86"/>
      <c r="H148" s="86"/>
      <c r="I148" s="218"/>
      <c r="J148" s="32"/>
      <c r="K148" s="39"/>
      <c r="L148" s="40"/>
      <c r="S148" s="17"/>
      <c r="T148" s="17"/>
      <c r="U148" s="17"/>
      <c r="V148" s="17"/>
      <c r="W148" s="17"/>
      <c r="X148" s="17"/>
      <c r="Y148" s="17"/>
      <c r="Z148" s="17"/>
    </row>
    <row r="149" spans="1:26" ht="47.25" x14ac:dyDescent="0.25">
      <c r="A149" s="35"/>
      <c r="B149" s="90" t="s">
        <v>68</v>
      </c>
      <c r="C149" s="55" t="s">
        <v>195</v>
      </c>
      <c r="D149" s="60">
        <v>72</v>
      </c>
      <c r="E149" s="60" t="s">
        <v>85</v>
      </c>
      <c r="F149" s="60" t="s">
        <v>196</v>
      </c>
      <c r="G149" s="61">
        <v>44208</v>
      </c>
      <c r="H149" s="62">
        <v>9687</v>
      </c>
      <c r="I149" s="218">
        <v>3</v>
      </c>
      <c r="J149" s="32"/>
      <c r="K149" s="39"/>
      <c r="L149" s="40"/>
      <c r="S149" s="17"/>
      <c r="T149" s="17"/>
      <c r="U149" s="17"/>
      <c r="V149" s="17"/>
      <c r="W149" s="17"/>
      <c r="X149" s="17"/>
      <c r="Y149" s="17"/>
      <c r="Z149" s="17"/>
    </row>
    <row r="150" spans="1:26" ht="47.25" x14ac:dyDescent="0.25">
      <c r="A150" s="35"/>
      <c r="B150" s="94">
        <v>0.79166666666666663</v>
      </c>
      <c r="C150" s="55" t="s">
        <v>197</v>
      </c>
      <c r="D150" s="60"/>
      <c r="E150" s="60"/>
      <c r="F150" s="60"/>
      <c r="G150" s="60"/>
      <c r="H150" s="62"/>
      <c r="I150" s="218"/>
      <c r="J150" s="32"/>
      <c r="K150" s="39"/>
      <c r="L150" s="40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25">
      <c r="A151" s="35"/>
      <c r="B151" s="94">
        <v>0.83333333333333337</v>
      </c>
      <c r="C151" s="35"/>
      <c r="D151" s="62"/>
      <c r="E151" s="62"/>
      <c r="F151" s="62"/>
      <c r="G151" s="62"/>
      <c r="H151" s="62"/>
      <c r="I151" s="218"/>
      <c r="J151" s="32"/>
      <c r="K151" s="39"/>
      <c r="L151" s="40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x14ac:dyDescent="0.25">
      <c r="A152" s="35"/>
      <c r="B152" s="94">
        <v>0.875</v>
      </c>
      <c r="C152" s="35"/>
      <c r="D152" s="62"/>
      <c r="E152" s="62"/>
      <c r="F152" s="62"/>
      <c r="G152" s="62"/>
      <c r="H152" s="62"/>
      <c r="I152" s="218"/>
      <c r="J152" s="32"/>
      <c r="K152" s="39"/>
      <c r="L152" s="40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x14ac:dyDescent="0.25">
      <c r="A153" s="35"/>
      <c r="B153" s="94">
        <v>0.91666666666666663</v>
      </c>
      <c r="C153" s="35"/>
      <c r="D153" s="62"/>
      <c r="E153" s="62"/>
      <c r="F153" s="62"/>
      <c r="G153" s="62"/>
      <c r="H153" s="62"/>
      <c r="I153" s="218"/>
      <c r="J153" s="32"/>
      <c r="K153" s="39"/>
      <c r="L153" s="40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x14ac:dyDescent="0.25">
      <c r="A154" s="35"/>
      <c r="B154" s="95">
        <v>0.94791666666666663</v>
      </c>
      <c r="C154" s="35"/>
      <c r="D154" s="62"/>
      <c r="E154" s="62"/>
      <c r="F154" s="62"/>
      <c r="G154" s="62"/>
      <c r="H154" s="62"/>
      <c r="I154" s="218"/>
      <c r="J154" s="32"/>
      <c r="K154" s="39"/>
      <c r="L154" s="40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x14ac:dyDescent="0.25">
      <c r="A155" s="80"/>
      <c r="B155" s="47"/>
      <c r="C155" s="47"/>
      <c r="D155" s="47"/>
      <c r="E155" s="47"/>
      <c r="F155" s="47"/>
      <c r="G155" s="96"/>
      <c r="H155" s="51">
        <f t="shared" ref="H155:I155" si="6">SUM(H136:H154)</f>
        <v>38043</v>
      </c>
      <c r="I155" s="51">
        <f t="shared" si="6"/>
        <v>14</v>
      </c>
      <c r="J155" s="52"/>
      <c r="K155" s="51">
        <f>SUM(K136:K154)</f>
        <v>0</v>
      </c>
      <c r="L155" s="40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47.25" x14ac:dyDescent="0.25">
      <c r="A156" s="33">
        <f>A136+1</f>
        <v>44573</v>
      </c>
      <c r="B156" s="89" t="s">
        <v>54</v>
      </c>
      <c r="C156" s="55" t="s">
        <v>198</v>
      </c>
      <c r="D156" s="56">
        <v>36</v>
      </c>
      <c r="E156" s="57" t="s">
        <v>199</v>
      </c>
      <c r="F156" s="57" t="s">
        <v>200</v>
      </c>
      <c r="G156" s="57" t="s">
        <v>201</v>
      </c>
      <c r="H156" s="67">
        <v>2104</v>
      </c>
      <c r="I156" s="218">
        <v>2</v>
      </c>
      <c r="J156" s="32"/>
      <c r="K156" s="39"/>
      <c r="L156" s="40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31.5" x14ac:dyDescent="0.25">
      <c r="A157" s="41" t="s">
        <v>117</v>
      </c>
      <c r="B157" s="90" t="s">
        <v>57</v>
      </c>
      <c r="C157" s="55" t="s">
        <v>202</v>
      </c>
      <c r="D157" s="67"/>
      <c r="E157" s="67"/>
      <c r="F157" s="67"/>
      <c r="G157" s="57"/>
      <c r="H157" s="57"/>
      <c r="J157" s="32"/>
      <c r="K157" s="39"/>
      <c r="L157" s="40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63" x14ac:dyDescent="0.25">
      <c r="A158" s="43"/>
      <c r="B158" s="90" t="s">
        <v>58</v>
      </c>
      <c r="C158" s="55" t="s">
        <v>203</v>
      </c>
      <c r="D158" s="68">
        <v>36</v>
      </c>
      <c r="E158" s="68" t="s">
        <v>204</v>
      </c>
      <c r="F158" s="68" t="s">
        <v>205</v>
      </c>
      <c r="G158" s="69">
        <v>44213</v>
      </c>
      <c r="H158" s="62"/>
      <c r="I158" s="218">
        <v>3.5</v>
      </c>
      <c r="J158" s="32"/>
      <c r="K158" s="39"/>
      <c r="L158" s="40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63" x14ac:dyDescent="0.25">
      <c r="A159" s="35"/>
      <c r="B159" s="90" t="s">
        <v>59</v>
      </c>
      <c r="C159" s="55" t="s">
        <v>206</v>
      </c>
      <c r="D159" s="67"/>
      <c r="E159" s="67"/>
      <c r="F159" s="67"/>
      <c r="G159" s="67"/>
      <c r="H159" s="62"/>
      <c r="J159" s="32"/>
      <c r="K159" s="39"/>
      <c r="L159" s="40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x14ac:dyDescent="0.25">
      <c r="A160" s="35"/>
      <c r="B160" s="90" t="s">
        <v>60</v>
      </c>
      <c r="C160" s="43"/>
      <c r="D160" s="67"/>
      <c r="E160" s="67"/>
      <c r="F160" s="67">
        <v>3</v>
      </c>
      <c r="G160" s="67"/>
      <c r="H160" s="62"/>
      <c r="J160" s="32"/>
      <c r="K160" s="39"/>
      <c r="L160" s="40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x14ac:dyDescent="0.25">
      <c r="A161" s="35"/>
      <c r="B161" s="90" t="s">
        <v>61</v>
      </c>
      <c r="C161" s="43"/>
      <c r="D161" s="67"/>
      <c r="E161" s="67"/>
      <c r="F161" s="67">
        <v>4</v>
      </c>
      <c r="G161" s="67"/>
      <c r="H161" s="62"/>
      <c r="J161" s="32"/>
      <c r="K161" s="39"/>
      <c r="L161" s="40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x14ac:dyDescent="0.25">
      <c r="A162" s="35"/>
      <c r="B162" s="90" t="s">
        <v>62</v>
      </c>
      <c r="C162" s="43"/>
      <c r="D162" s="67"/>
      <c r="E162" s="67"/>
      <c r="F162" s="67"/>
      <c r="G162" s="67"/>
      <c r="H162" s="62"/>
      <c r="J162" s="32"/>
      <c r="K162" s="39"/>
      <c r="L162" s="40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x14ac:dyDescent="0.25">
      <c r="A163" s="35"/>
      <c r="B163" s="90" t="s">
        <v>63</v>
      </c>
      <c r="C163" s="43"/>
      <c r="D163" s="67"/>
      <c r="E163" s="67"/>
      <c r="F163" s="67"/>
      <c r="G163" s="67"/>
      <c r="H163" s="67"/>
      <c r="J163" s="32"/>
      <c r="K163" s="39"/>
      <c r="L163" s="40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63" x14ac:dyDescent="0.25">
      <c r="A164" s="35"/>
      <c r="B164" s="90" t="s">
        <v>64</v>
      </c>
      <c r="C164" s="55" t="s">
        <v>207</v>
      </c>
      <c r="D164" s="60">
        <v>68</v>
      </c>
      <c r="E164" s="60" t="s">
        <v>208</v>
      </c>
      <c r="F164" s="60" t="s">
        <v>209</v>
      </c>
      <c r="G164" s="60" t="s">
        <v>2856</v>
      </c>
      <c r="H164" s="62">
        <v>3750</v>
      </c>
      <c r="I164" s="218">
        <v>1</v>
      </c>
      <c r="J164" s="32"/>
      <c r="K164" s="39"/>
      <c r="L164" s="40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78.75" x14ac:dyDescent="0.25">
      <c r="A165" s="35"/>
      <c r="B165" s="90" t="s">
        <v>65</v>
      </c>
      <c r="C165" s="55" t="s">
        <v>210</v>
      </c>
      <c r="D165" s="103">
        <v>60</v>
      </c>
      <c r="E165" s="84" t="s">
        <v>151</v>
      </c>
      <c r="F165" s="84" t="s">
        <v>211</v>
      </c>
      <c r="G165" s="104">
        <v>44574</v>
      </c>
      <c r="H165" s="62">
        <v>21924</v>
      </c>
      <c r="I165" s="218">
        <v>8</v>
      </c>
      <c r="J165" s="32"/>
      <c r="K165" s="39"/>
      <c r="L165" s="40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6" x14ac:dyDescent="0.25">
      <c r="A166" s="35"/>
      <c r="B166" s="90" t="s">
        <v>66</v>
      </c>
      <c r="C166" s="55" t="s">
        <v>212</v>
      </c>
      <c r="D166" s="105" t="s">
        <v>213</v>
      </c>
      <c r="E166" s="62"/>
      <c r="F166" s="62">
        <v>2</v>
      </c>
      <c r="G166" s="62"/>
      <c r="H166" s="62"/>
      <c r="I166" s="218"/>
      <c r="J166" s="32"/>
      <c r="K166" s="39"/>
      <c r="L166" s="40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x14ac:dyDescent="0.25">
      <c r="A167" s="41" t="s">
        <v>127</v>
      </c>
      <c r="B167" s="90" t="s">
        <v>67</v>
      </c>
      <c r="C167" s="35"/>
      <c r="D167" s="62"/>
      <c r="E167" s="62"/>
      <c r="F167" s="62">
        <v>3</v>
      </c>
      <c r="G167" s="62"/>
      <c r="H167" s="62"/>
      <c r="I167" s="218"/>
      <c r="J167" s="32"/>
      <c r="K167" s="39"/>
      <c r="L167" s="40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x14ac:dyDescent="0.25">
      <c r="A168" s="35"/>
      <c r="B168" s="90" t="s">
        <v>68</v>
      </c>
      <c r="C168" s="35"/>
      <c r="D168" s="62"/>
      <c r="E168" s="62"/>
      <c r="F168" s="62">
        <v>4</v>
      </c>
      <c r="G168" s="62"/>
      <c r="H168" s="62"/>
      <c r="I168" s="218"/>
      <c r="J168" s="32"/>
      <c r="K168" s="39"/>
      <c r="L168" s="40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x14ac:dyDescent="0.25">
      <c r="A169" s="35"/>
      <c r="B169" s="94">
        <v>0.79166666666666663</v>
      </c>
      <c r="C169" s="35"/>
      <c r="D169" s="62"/>
      <c r="E169" s="62"/>
      <c r="F169" s="62">
        <v>5</v>
      </c>
      <c r="G169" s="62"/>
      <c r="H169" s="62"/>
      <c r="I169" s="218"/>
      <c r="J169" s="32"/>
      <c r="K169" s="39"/>
      <c r="L169" s="40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x14ac:dyDescent="0.25">
      <c r="A170" s="35"/>
      <c r="B170" s="94">
        <v>0.83333333333333337</v>
      </c>
      <c r="C170" s="35"/>
      <c r="D170" s="62"/>
      <c r="E170" s="62"/>
      <c r="F170" s="62">
        <v>6</v>
      </c>
      <c r="G170" s="62"/>
      <c r="H170" s="62"/>
      <c r="I170" s="218"/>
      <c r="J170" s="32"/>
      <c r="K170" s="39"/>
      <c r="L170" s="40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x14ac:dyDescent="0.25">
      <c r="A171" s="35"/>
      <c r="B171" s="94">
        <v>0.875</v>
      </c>
      <c r="C171" s="35"/>
      <c r="D171" s="62"/>
      <c r="E171" s="62"/>
      <c r="F171" s="62">
        <v>7</v>
      </c>
      <c r="G171" s="62"/>
      <c r="H171" s="62"/>
      <c r="I171" s="218"/>
      <c r="J171" s="32"/>
      <c r="K171" s="39"/>
      <c r="L171" s="40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x14ac:dyDescent="0.25">
      <c r="A172" s="35"/>
      <c r="B172" s="94">
        <v>0.91666666666666663</v>
      </c>
      <c r="C172" s="35"/>
      <c r="D172" s="62"/>
      <c r="E172" s="62"/>
      <c r="F172" s="62">
        <v>8</v>
      </c>
      <c r="G172" s="62"/>
      <c r="H172" s="62"/>
      <c r="I172" s="218"/>
      <c r="J172" s="32"/>
      <c r="K172" s="39"/>
      <c r="L172" s="40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x14ac:dyDescent="0.25">
      <c r="A173" s="35"/>
      <c r="B173" s="95">
        <v>0.94791666666666663</v>
      </c>
      <c r="C173" s="35"/>
      <c r="D173" s="62"/>
      <c r="E173" s="62"/>
      <c r="F173" s="62"/>
      <c r="G173" s="62"/>
      <c r="H173" s="62"/>
      <c r="I173" s="218"/>
      <c r="J173" s="32"/>
      <c r="K173" s="39"/>
      <c r="L173" s="40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x14ac:dyDescent="0.25">
      <c r="A174" s="80"/>
      <c r="B174" s="47"/>
      <c r="C174" s="47"/>
      <c r="D174" s="47"/>
      <c r="E174" s="47"/>
      <c r="F174" s="47"/>
      <c r="G174" s="96"/>
      <c r="H174" s="51">
        <f t="shared" ref="H174:I174" si="7">SUM(H156:H173)</f>
        <v>27778</v>
      </c>
      <c r="I174" s="51">
        <f t="shared" si="7"/>
        <v>14.5</v>
      </c>
      <c r="J174" s="52"/>
      <c r="K174" s="51">
        <f>SUM(K156:K173)</f>
        <v>0</v>
      </c>
      <c r="L174" s="40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10.25" x14ac:dyDescent="0.25">
      <c r="A175" s="33">
        <f>A156+1</f>
        <v>44574</v>
      </c>
      <c r="B175" s="89" t="s">
        <v>54</v>
      </c>
      <c r="C175" s="106" t="s">
        <v>214</v>
      </c>
      <c r="D175" s="107">
        <v>48</v>
      </c>
      <c r="E175" s="108" t="s">
        <v>215</v>
      </c>
      <c r="F175" s="108" t="s">
        <v>216</v>
      </c>
      <c r="G175" s="108" t="s">
        <v>217</v>
      </c>
      <c r="H175" s="67">
        <v>1800</v>
      </c>
      <c r="I175" s="218">
        <v>1</v>
      </c>
      <c r="J175" s="32"/>
      <c r="K175" s="39"/>
      <c r="L175" s="40"/>
      <c r="T175" s="17"/>
      <c r="U175" s="17"/>
      <c r="V175" s="17"/>
      <c r="W175" s="17"/>
      <c r="X175" s="17"/>
      <c r="Y175" s="17"/>
      <c r="Z175" s="17"/>
    </row>
    <row r="176" spans="1:26" ht="31.5" x14ac:dyDescent="0.25">
      <c r="A176" s="41" t="s">
        <v>137</v>
      </c>
      <c r="B176" s="90" t="s">
        <v>57</v>
      </c>
      <c r="C176" s="97" t="s">
        <v>218</v>
      </c>
      <c r="D176" s="68">
        <v>48</v>
      </c>
      <c r="E176" s="68" t="s">
        <v>91</v>
      </c>
      <c r="F176" s="68" t="s">
        <v>219</v>
      </c>
      <c r="G176" s="69">
        <v>44581</v>
      </c>
      <c r="H176" s="67">
        <v>4153</v>
      </c>
      <c r="I176" s="218">
        <v>2</v>
      </c>
      <c r="J176" s="32"/>
      <c r="K176" s="39"/>
      <c r="L176" s="40"/>
      <c r="T176" s="17"/>
      <c r="U176" s="17"/>
      <c r="V176" s="17"/>
      <c r="W176" s="17"/>
      <c r="X176" s="17"/>
      <c r="Y176" s="17"/>
      <c r="Z176" s="17"/>
    </row>
    <row r="177" spans="1:26" ht="31.5" x14ac:dyDescent="0.25">
      <c r="A177" s="35"/>
      <c r="B177" s="90" t="s">
        <v>58</v>
      </c>
      <c r="C177" s="97" t="s">
        <v>220</v>
      </c>
      <c r="D177" s="68"/>
      <c r="E177" s="68"/>
      <c r="F177" s="68"/>
      <c r="G177" s="68" t="s">
        <v>221</v>
      </c>
      <c r="H177" s="68"/>
      <c r="J177" s="32"/>
      <c r="K177" s="39"/>
      <c r="L177" s="40"/>
      <c r="T177" s="17"/>
      <c r="U177" s="17"/>
      <c r="V177" s="17"/>
      <c r="W177" s="17"/>
      <c r="X177" s="17"/>
      <c r="Y177" s="17"/>
      <c r="Z177" s="17"/>
    </row>
    <row r="178" spans="1:26" ht="63" x14ac:dyDescent="0.25">
      <c r="A178" s="35"/>
      <c r="B178" s="90" t="s">
        <v>59</v>
      </c>
      <c r="C178" s="97" t="s">
        <v>222</v>
      </c>
      <c r="D178" s="68">
        <v>48</v>
      </c>
      <c r="E178" s="68" t="s">
        <v>100</v>
      </c>
      <c r="F178" s="68" t="s">
        <v>223</v>
      </c>
      <c r="G178" s="69">
        <v>44580</v>
      </c>
      <c r="H178" s="62">
        <v>3807</v>
      </c>
      <c r="I178" s="218">
        <v>2</v>
      </c>
      <c r="J178" s="32"/>
      <c r="K178" s="39"/>
      <c r="L178" s="40"/>
      <c r="T178" s="17"/>
      <c r="U178" s="17"/>
      <c r="V178" s="17"/>
      <c r="W178" s="17"/>
      <c r="X178" s="17"/>
      <c r="Y178" s="17"/>
      <c r="Z178" s="17"/>
    </row>
    <row r="179" spans="1:26" ht="31.5" x14ac:dyDescent="0.25">
      <c r="A179" s="35"/>
      <c r="B179" s="90" t="s">
        <v>60</v>
      </c>
      <c r="C179" s="97" t="s">
        <v>224</v>
      </c>
      <c r="D179" s="68"/>
      <c r="E179" s="68"/>
      <c r="F179" s="68"/>
      <c r="G179" s="109" t="s">
        <v>225</v>
      </c>
      <c r="H179" s="62"/>
      <c r="I179" s="218"/>
      <c r="J179" s="32"/>
      <c r="K179" s="39"/>
      <c r="L179" s="40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47.25" x14ac:dyDescent="0.25">
      <c r="A180" s="35"/>
      <c r="B180" s="90" t="s">
        <v>61</v>
      </c>
      <c r="C180" s="97" t="s">
        <v>226</v>
      </c>
      <c r="D180" s="60">
        <v>48</v>
      </c>
      <c r="E180" s="60" t="s">
        <v>85</v>
      </c>
      <c r="F180" s="60" t="s">
        <v>227</v>
      </c>
      <c r="G180" s="61">
        <v>44579</v>
      </c>
      <c r="H180" s="62">
        <v>4497</v>
      </c>
      <c r="I180" s="218">
        <v>2</v>
      </c>
      <c r="J180" s="32"/>
      <c r="K180" s="39"/>
      <c r="L180" s="40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31.5" x14ac:dyDescent="0.25">
      <c r="A181" s="35"/>
      <c r="B181" s="90" t="s">
        <v>62</v>
      </c>
      <c r="C181" s="97" t="s">
        <v>228</v>
      </c>
      <c r="D181" s="60"/>
      <c r="E181" s="60"/>
      <c r="F181" s="60"/>
      <c r="G181" s="110" t="s">
        <v>221</v>
      </c>
      <c r="H181" s="62"/>
      <c r="I181" s="218"/>
      <c r="J181" s="32"/>
      <c r="K181" s="39"/>
      <c r="L181" s="40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x14ac:dyDescent="0.25">
      <c r="A182" s="35"/>
      <c r="B182" s="90" t="s">
        <v>63</v>
      </c>
      <c r="C182" s="35"/>
      <c r="D182" s="62"/>
      <c r="E182" s="62"/>
      <c r="F182" s="62"/>
      <c r="G182" s="62"/>
      <c r="H182" s="62"/>
      <c r="J182" s="32"/>
      <c r="K182" s="39"/>
      <c r="L182" s="40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63" x14ac:dyDescent="0.25">
      <c r="A183" s="35"/>
      <c r="B183" s="90" t="s">
        <v>64</v>
      </c>
      <c r="C183" s="55" t="s">
        <v>229</v>
      </c>
      <c r="D183" s="60">
        <v>51</v>
      </c>
      <c r="E183" s="60" t="s">
        <v>230</v>
      </c>
      <c r="F183" s="60" t="s">
        <v>231</v>
      </c>
      <c r="G183" s="61">
        <v>44215</v>
      </c>
      <c r="H183" s="62">
        <v>5904</v>
      </c>
      <c r="I183" s="218">
        <v>4</v>
      </c>
      <c r="J183" s="32"/>
      <c r="K183" s="39"/>
      <c r="L183" s="40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63" x14ac:dyDescent="0.25">
      <c r="A184" s="35"/>
      <c r="B184" s="90" t="s">
        <v>65</v>
      </c>
      <c r="C184" s="55" t="s">
        <v>232</v>
      </c>
      <c r="D184" s="60"/>
      <c r="E184" s="60"/>
      <c r="F184" s="60">
        <v>2</v>
      </c>
      <c r="G184" s="111" t="s">
        <v>233</v>
      </c>
      <c r="H184" s="62"/>
      <c r="I184" s="218"/>
      <c r="J184" s="32"/>
      <c r="K184" s="39"/>
      <c r="L184" s="40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x14ac:dyDescent="0.25">
      <c r="A185" s="35"/>
      <c r="B185" s="90" t="s">
        <v>66</v>
      </c>
      <c r="C185" s="35"/>
      <c r="D185" s="62"/>
      <c r="E185" s="62"/>
      <c r="F185" s="62">
        <v>3</v>
      </c>
      <c r="G185" s="62"/>
      <c r="H185" s="62"/>
      <c r="I185" s="218"/>
      <c r="J185" s="32"/>
      <c r="K185" s="39"/>
      <c r="L185" s="40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x14ac:dyDescent="0.25">
      <c r="A186" s="35"/>
      <c r="B186" s="90" t="s">
        <v>67</v>
      </c>
      <c r="C186" s="35"/>
      <c r="D186" s="62"/>
      <c r="E186" s="62"/>
      <c r="F186" s="62">
        <v>4</v>
      </c>
      <c r="G186" s="62"/>
      <c r="H186" s="62"/>
      <c r="I186" s="218"/>
      <c r="J186" s="32"/>
      <c r="K186" s="39"/>
      <c r="L186" s="40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47.25" x14ac:dyDescent="0.25">
      <c r="A187" s="35"/>
      <c r="B187" s="90" t="s">
        <v>68</v>
      </c>
      <c r="C187" s="55" t="s">
        <v>234</v>
      </c>
      <c r="D187" s="60">
        <v>51</v>
      </c>
      <c r="E187" s="60" t="s">
        <v>235</v>
      </c>
      <c r="F187" s="60" t="s">
        <v>236</v>
      </c>
      <c r="G187" s="61">
        <v>44215</v>
      </c>
      <c r="H187" s="62">
        <v>4969</v>
      </c>
      <c r="I187" s="218">
        <v>3</v>
      </c>
      <c r="J187" s="32"/>
      <c r="K187" s="39"/>
      <c r="L187" s="40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47.25" x14ac:dyDescent="0.25">
      <c r="A188" s="35"/>
      <c r="B188" s="94">
        <v>0.79166666666666663</v>
      </c>
      <c r="C188" s="55" t="s">
        <v>237</v>
      </c>
      <c r="D188" s="60"/>
      <c r="E188" s="60"/>
      <c r="F188" s="60">
        <v>2</v>
      </c>
      <c r="G188" s="111" t="s">
        <v>233</v>
      </c>
      <c r="H188" s="62"/>
      <c r="I188" s="218"/>
      <c r="J188" s="32"/>
      <c r="K188" s="39"/>
      <c r="L188" s="40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x14ac:dyDescent="0.25">
      <c r="A189" s="35"/>
      <c r="B189" s="94">
        <v>0.83333333333333337</v>
      </c>
      <c r="C189" s="35"/>
      <c r="D189" s="62"/>
      <c r="E189" s="62"/>
      <c r="F189" s="62">
        <v>3</v>
      </c>
      <c r="G189" s="62"/>
      <c r="H189" s="62"/>
      <c r="I189" s="218"/>
      <c r="J189" s="32"/>
      <c r="K189" s="39"/>
      <c r="L189" s="40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47.25" x14ac:dyDescent="0.25">
      <c r="A190" s="35"/>
      <c r="B190" s="94">
        <v>0.875</v>
      </c>
      <c r="C190" s="55" t="s">
        <v>238</v>
      </c>
      <c r="D190" s="60">
        <v>60</v>
      </c>
      <c r="E190" s="60" t="s">
        <v>70</v>
      </c>
      <c r="F190" s="60" t="s">
        <v>239</v>
      </c>
      <c r="G190" s="61">
        <v>44215</v>
      </c>
      <c r="H190" s="62">
        <v>5265</v>
      </c>
      <c r="I190" s="218">
        <v>2</v>
      </c>
      <c r="J190" s="32"/>
      <c r="K190" s="39"/>
      <c r="L190" s="40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x14ac:dyDescent="0.25">
      <c r="A191" s="35"/>
      <c r="B191" s="94">
        <v>0.91666666666666663</v>
      </c>
      <c r="C191" s="112" t="s">
        <v>240</v>
      </c>
      <c r="D191" s="62"/>
      <c r="E191" s="62"/>
      <c r="F191" s="62"/>
      <c r="G191" s="62"/>
      <c r="H191" s="62"/>
      <c r="J191" s="32"/>
      <c r="K191" s="39"/>
      <c r="L191" s="40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x14ac:dyDescent="0.25">
      <c r="A192" s="35"/>
      <c r="B192" s="95">
        <v>0.94791666666666663</v>
      </c>
      <c r="C192" s="35"/>
      <c r="D192" s="62"/>
      <c r="E192" s="62"/>
      <c r="F192" s="62"/>
      <c r="G192" s="62"/>
      <c r="H192" s="62"/>
      <c r="I192" s="218"/>
      <c r="J192" s="32"/>
      <c r="K192" s="39"/>
      <c r="L192" s="40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x14ac:dyDescent="0.25">
      <c r="A193" s="80"/>
      <c r="B193" s="47"/>
      <c r="C193" s="47"/>
      <c r="D193" s="47"/>
      <c r="E193" s="47"/>
      <c r="F193" s="47"/>
      <c r="G193" s="96"/>
      <c r="H193" s="51">
        <f t="shared" ref="H193:I193" si="8">SUM(H175:H192)</f>
        <v>30395</v>
      </c>
      <c r="I193" s="51">
        <f t="shared" si="8"/>
        <v>16</v>
      </c>
      <c r="J193" s="52"/>
      <c r="K193" s="51">
        <f>SUM(K175:K192)</f>
        <v>0</v>
      </c>
      <c r="L193" s="40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47.25" x14ac:dyDescent="0.25">
      <c r="A194" s="33">
        <f>A175+1</f>
        <v>44575</v>
      </c>
      <c r="B194" s="89" t="s">
        <v>54</v>
      </c>
      <c r="C194" s="55" t="s">
        <v>241</v>
      </c>
      <c r="D194" s="103">
        <v>51</v>
      </c>
      <c r="E194" s="84" t="s">
        <v>106</v>
      </c>
      <c r="F194" s="84" t="s">
        <v>242</v>
      </c>
      <c r="G194" s="84" t="s">
        <v>243</v>
      </c>
      <c r="H194" s="62">
        <v>30000</v>
      </c>
      <c r="I194" s="218">
        <v>11</v>
      </c>
      <c r="J194" s="32"/>
      <c r="K194" s="39"/>
      <c r="L194" s="40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73.25" x14ac:dyDescent="0.25">
      <c r="A195" s="41" t="s">
        <v>56</v>
      </c>
      <c r="B195" s="90" t="s">
        <v>57</v>
      </c>
      <c r="C195" s="55" t="s">
        <v>244</v>
      </c>
      <c r="D195" s="62" t="s">
        <v>245</v>
      </c>
      <c r="E195" s="62"/>
      <c r="F195" s="62">
        <v>2</v>
      </c>
      <c r="G195" s="84"/>
      <c r="H195" s="62"/>
      <c r="I195" s="218"/>
      <c r="J195" s="32"/>
      <c r="K195" s="39"/>
      <c r="L195" s="40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x14ac:dyDescent="0.25">
      <c r="A196" s="35"/>
      <c r="B196" s="90" t="s">
        <v>58</v>
      </c>
      <c r="C196" s="113"/>
      <c r="D196" s="62" t="s">
        <v>246</v>
      </c>
      <c r="E196" s="62"/>
      <c r="F196" s="62">
        <v>3</v>
      </c>
      <c r="G196" s="62"/>
      <c r="H196" s="62"/>
      <c r="I196" s="218"/>
      <c r="J196" s="32"/>
      <c r="K196" s="39"/>
      <c r="L196" s="40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x14ac:dyDescent="0.25">
      <c r="A197" s="35"/>
      <c r="B197" s="90" t="s">
        <v>59</v>
      </c>
      <c r="C197" s="35"/>
      <c r="D197" s="62"/>
      <c r="E197" s="62"/>
      <c r="F197" s="62">
        <v>4</v>
      </c>
      <c r="G197" s="62"/>
      <c r="H197" s="62"/>
      <c r="I197" s="218"/>
      <c r="J197" s="32"/>
      <c r="K197" s="39"/>
      <c r="L197" s="40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x14ac:dyDescent="0.25">
      <c r="A198" s="43"/>
      <c r="B198" s="90" t="s">
        <v>60</v>
      </c>
      <c r="C198" s="35"/>
      <c r="D198" s="67"/>
      <c r="E198" s="67"/>
      <c r="F198" s="67">
        <v>5</v>
      </c>
      <c r="G198" s="67"/>
      <c r="H198" s="67"/>
      <c r="I198" s="218"/>
      <c r="J198" s="32"/>
      <c r="K198" s="39"/>
      <c r="L198" s="40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x14ac:dyDescent="0.25">
      <c r="A199" s="35"/>
      <c r="B199" s="90" t="s">
        <v>61</v>
      </c>
      <c r="C199" s="35"/>
      <c r="D199" s="67"/>
      <c r="E199" s="67"/>
      <c r="F199" s="67">
        <v>6</v>
      </c>
      <c r="G199" s="67"/>
      <c r="H199" s="67"/>
      <c r="I199" s="218"/>
      <c r="J199" s="32"/>
      <c r="K199" s="39"/>
      <c r="L199" s="40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x14ac:dyDescent="0.25">
      <c r="A200" s="35"/>
      <c r="B200" s="90" t="s">
        <v>62</v>
      </c>
      <c r="C200" s="35"/>
      <c r="D200" s="67"/>
      <c r="E200" s="67"/>
      <c r="F200" s="67">
        <v>7</v>
      </c>
      <c r="G200" s="67"/>
      <c r="H200" s="67"/>
      <c r="I200" s="218"/>
      <c r="J200" s="32"/>
      <c r="K200" s="39"/>
      <c r="L200" s="40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x14ac:dyDescent="0.25">
      <c r="A201" s="35"/>
      <c r="B201" s="90" t="s">
        <v>63</v>
      </c>
      <c r="C201" s="35"/>
      <c r="D201" s="67"/>
      <c r="E201" s="67"/>
      <c r="F201" s="67">
        <v>8</v>
      </c>
      <c r="G201" s="67"/>
      <c r="H201" s="67"/>
      <c r="J201" s="32"/>
      <c r="K201" s="39"/>
      <c r="L201" s="40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x14ac:dyDescent="0.25">
      <c r="A202" s="35"/>
      <c r="B202" s="90" t="s">
        <v>64</v>
      </c>
      <c r="C202" s="35"/>
      <c r="D202" s="67"/>
      <c r="E202" s="67"/>
      <c r="F202" s="67">
        <v>9</v>
      </c>
      <c r="G202" s="67"/>
      <c r="H202" s="67"/>
      <c r="J202" s="32"/>
      <c r="K202" s="39"/>
      <c r="L202" s="40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x14ac:dyDescent="0.25">
      <c r="A203" s="35"/>
      <c r="B203" s="90" t="s">
        <v>65</v>
      </c>
      <c r="C203" s="35"/>
      <c r="D203" s="67"/>
      <c r="E203" s="67"/>
      <c r="F203" s="67">
        <v>10</v>
      </c>
      <c r="G203" s="67"/>
      <c r="H203" s="67"/>
      <c r="J203" s="32"/>
      <c r="K203" s="39"/>
      <c r="L203" s="40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x14ac:dyDescent="0.25">
      <c r="A204" s="35"/>
      <c r="B204" s="90" t="s">
        <v>66</v>
      </c>
      <c r="C204" s="35"/>
      <c r="D204" s="67"/>
      <c r="E204" s="67"/>
      <c r="F204" s="67">
        <v>11</v>
      </c>
      <c r="G204" s="67"/>
      <c r="H204" s="67"/>
      <c r="J204" s="32"/>
      <c r="K204" s="39"/>
      <c r="L204" s="40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47.25" x14ac:dyDescent="0.25">
      <c r="A205" s="35"/>
      <c r="B205" s="90" t="s">
        <v>67</v>
      </c>
      <c r="C205" s="55" t="s">
        <v>247</v>
      </c>
      <c r="D205" s="56">
        <v>72</v>
      </c>
      <c r="E205" s="57" t="s">
        <v>248</v>
      </c>
      <c r="F205" s="57" t="s">
        <v>249</v>
      </c>
      <c r="G205" s="57" t="s">
        <v>243</v>
      </c>
      <c r="H205" s="67">
        <v>10500</v>
      </c>
      <c r="I205" s="218">
        <v>3</v>
      </c>
      <c r="J205" s="32"/>
      <c r="K205" s="39"/>
      <c r="L205" s="40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47.25" x14ac:dyDescent="0.25">
      <c r="A206" s="35"/>
      <c r="B206" s="90" t="s">
        <v>68</v>
      </c>
      <c r="C206" s="55" t="s">
        <v>250</v>
      </c>
      <c r="D206" s="67"/>
      <c r="E206" s="67"/>
      <c r="F206" s="67"/>
      <c r="G206" s="67"/>
      <c r="H206" s="67"/>
      <c r="I206" s="218"/>
      <c r="J206" s="32"/>
      <c r="K206" s="39"/>
      <c r="L206" s="40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x14ac:dyDescent="0.25">
      <c r="A207" s="35"/>
      <c r="B207" s="94">
        <v>0.79166666666666663</v>
      </c>
      <c r="C207" s="35"/>
      <c r="D207" s="67"/>
      <c r="E207" s="67"/>
      <c r="F207" s="67"/>
      <c r="G207" s="67"/>
      <c r="H207" s="67"/>
      <c r="I207" s="218"/>
      <c r="J207" s="32"/>
      <c r="K207" s="39"/>
      <c r="L207" s="40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x14ac:dyDescent="0.25">
      <c r="A208" s="35"/>
      <c r="B208" s="94">
        <v>0.83333333333333337</v>
      </c>
      <c r="C208" s="35"/>
      <c r="D208" s="62"/>
      <c r="E208" s="62"/>
      <c r="F208" s="62"/>
      <c r="G208" s="62"/>
      <c r="H208" s="62"/>
      <c r="I208" s="218"/>
      <c r="J208" s="32"/>
      <c r="K208" s="39"/>
      <c r="L208" s="40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x14ac:dyDescent="0.25">
      <c r="A209" s="35"/>
      <c r="B209" s="94">
        <v>0.875</v>
      </c>
      <c r="C209" s="35"/>
      <c r="D209" s="62"/>
      <c r="E209" s="62"/>
      <c r="F209" s="62"/>
      <c r="G209" s="62"/>
      <c r="H209" s="62"/>
      <c r="I209" s="218"/>
      <c r="J209" s="32"/>
      <c r="K209" s="39"/>
      <c r="L209" s="40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x14ac:dyDescent="0.25">
      <c r="A210" s="35"/>
      <c r="B210" s="94">
        <v>0.91666666666666663</v>
      </c>
      <c r="C210" s="35"/>
      <c r="D210" s="62"/>
      <c r="E210" s="62"/>
      <c r="F210" s="62"/>
      <c r="G210" s="62"/>
      <c r="H210" s="62"/>
      <c r="I210" s="218"/>
      <c r="J210" s="32"/>
      <c r="K210" s="39"/>
      <c r="L210" s="40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x14ac:dyDescent="0.25">
      <c r="A211" s="35"/>
      <c r="B211" s="95">
        <v>0.94791666666666663</v>
      </c>
      <c r="C211" s="35"/>
      <c r="D211" s="62"/>
      <c r="E211" s="62"/>
      <c r="F211" s="62"/>
      <c r="G211" s="62"/>
      <c r="H211" s="62"/>
      <c r="I211" s="218"/>
      <c r="J211" s="32"/>
      <c r="K211" s="39"/>
      <c r="L211" s="40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x14ac:dyDescent="0.25">
      <c r="A212" s="80"/>
      <c r="B212" s="47"/>
      <c r="C212" s="74"/>
      <c r="D212" s="74"/>
      <c r="E212" s="74"/>
      <c r="F212" s="74"/>
      <c r="G212" s="75"/>
      <c r="H212" s="51">
        <f>SUM(H195:H211)</f>
        <v>10500</v>
      </c>
      <c r="I212" s="51">
        <f>SUM(I194:I211)</f>
        <v>14</v>
      </c>
      <c r="J212" s="52"/>
      <c r="K212" s="51">
        <f>SUM(K194:K211)</f>
        <v>0</v>
      </c>
      <c r="L212" s="40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x14ac:dyDescent="0.25">
      <c r="A213" s="33">
        <f>A194+3</f>
        <v>44578</v>
      </c>
      <c r="B213" s="89" t="s">
        <v>54</v>
      </c>
      <c r="C213" s="35"/>
      <c r="D213" s="114" t="s">
        <v>251</v>
      </c>
      <c r="E213" s="115"/>
      <c r="F213" s="115"/>
      <c r="G213" s="115"/>
      <c r="H213" s="115"/>
      <c r="J213" s="32"/>
      <c r="K213" s="39"/>
      <c r="L213" s="40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47.25" x14ac:dyDescent="0.25">
      <c r="A214" s="41" t="s">
        <v>72</v>
      </c>
      <c r="B214" s="90" t="s">
        <v>57</v>
      </c>
      <c r="C214" s="116" t="s">
        <v>252</v>
      </c>
      <c r="D214" s="117">
        <v>36</v>
      </c>
      <c r="E214" s="117" t="s">
        <v>253</v>
      </c>
      <c r="F214" s="117" t="s">
        <v>254</v>
      </c>
      <c r="G214" s="118">
        <v>44578</v>
      </c>
      <c r="H214" s="62">
        <v>5562</v>
      </c>
      <c r="I214" s="218">
        <v>3</v>
      </c>
      <c r="J214" s="32"/>
      <c r="K214" s="39"/>
      <c r="L214" s="40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47.25" x14ac:dyDescent="0.25">
      <c r="A215" s="35"/>
      <c r="B215" s="90" t="s">
        <v>58</v>
      </c>
      <c r="C215" s="116" t="s">
        <v>255</v>
      </c>
      <c r="D215" s="117"/>
      <c r="E215" s="117"/>
      <c r="F215" s="117"/>
      <c r="G215" s="117"/>
      <c r="H215" s="62"/>
      <c r="I215" s="218"/>
      <c r="J215" s="32"/>
      <c r="K215" s="39"/>
      <c r="L215" s="40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x14ac:dyDescent="0.25">
      <c r="A216" s="35"/>
      <c r="B216" s="90" t="s">
        <v>59</v>
      </c>
      <c r="C216" s="35"/>
      <c r="D216" s="67"/>
      <c r="E216" s="67"/>
      <c r="F216" s="67"/>
      <c r="G216" s="67"/>
      <c r="H216" s="67"/>
      <c r="I216" s="218"/>
      <c r="J216" s="32"/>
      <c r="K216" s="39"/>
      <c r="L216" s="40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78.75" x14ac:dyDescent="0.25">
      <c r="A217" s="35"/>
      <c r="B217" s="90" t="s">
        <v>60</v>
      </c>
      <c r="C217" s="97" t="s">
        <v>256</v>
      </c>
      <c r="D217" s="68">
        <v>54</v>
      </c>
      <c r="E217" s="68" t="s">
        <v>257</v>
      </c>
      <c r="F217" s="68" t="s">
        <v>258</v>
      </c>
      <c r="G217" s="68" t="s">
        <v>259</v>
      </c>
      <c r="H217" s="67">
        <v>5253</v>
      </c>
      <c r="I217" s="218">
        <v>3</v>
      </c>
      <c r="J217" s="32"/>
      <c r="K217" s="39"/>
      <c r="L217" s="40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x14ac:dyDescent="0.25">
      <c r="A218" s="35"/>
      <c r="B218" s="90" t="s">
        <v>61</v>
      </c>
      <c r="C218" s="97"/>
      <c r="D218" s="67"/>
      <c r="E218" s="67"/>
      <c r="F218" s="67"/>
      <c r="G218" s="67"/>
      <c r="H218" s="67"/>
      <c r="J218" s="32"/>
      <c r="K218" s="39"/>
      <c r="L218" s="40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x14ac:dyDescent="0.25">
      <c r="A219" s="35"/>
      <c r="B219" s="90" t="s">
        <v>62</v>
      </c>
      <c r="C219" s="35"/>
      <c r="D219" s="67"/>
      <c r="E219" s="67"/>
      <c r="F219" s="67"/>
      <c r="G219" s="67"/>
      <c r="H219" s="67"/>
      <c r="J219" s="32"/>
      <c r="K219" s="39"/>
      <c r="L219" s="40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x14ac:dyDescent="0.25">
      <c r="A220" s="35"/>
      <c r="B220" s="90" t="s">
        <v>63</v>
      </c>
      <c r="C220" s="35"/>
      <c r="D220" s="67"/>
      <c r="E220" s="67"/>
      <c r="F220" s="67"/>
      <c r="G220" s="67"/>
      <c r="H220" s="67"/>
      <c r="I220" s="218"/>
      <c r="J220" s="32"/>
      <c r="K220" s="39"/>
      <c r="L220" s="40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x14ac:dyDescent="0.25">
      <c r="A221" s="35"/>
      <c r="B221" s="90" t="s">
        <v>64</v>
      </c>
      <c r="C221" s="35"/>
      <c r="D221" s="119" t="s">
        <v>260</v>
      </c>
      <c r="E221" s="120"/>
      <c r="F221" s="120"/>
      <c r="G221" s="120"/>
      <c r="H221" s="120"/>
      <c r="J221" s="32"/>
      <c r="K221" s="39"/>
      <c r="L221" s="40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x14ac:dyDescent="0.25">
      <c r="A222" s="35"/>
      <c r="B222" s="90" t="s">
        <v>65</v>
      </c>
      <c r="C222" s="35"/>
      <c r="D222" s="119" t="s">
        <v>261</v>
      </c>
      <c r="E222" s="120"/>
      <c r="F222" s="120"/>
      <c r="G222" s="120"/>
      <c r="H222" s="120"/>
      <c r="J222" s="32"/>
      <c r="K222" s="39"/>
      <c r="L222" s="40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x14ac:dyDescent="0.25">
      <c r="A223" s="35"/>
      <c r="B223" s="90" t="s">
        <v>66</v>
      </c>
      <c r="C223" s="35"/>
      <c r="D223" s="120"/>
      <c r="E223" s="120"/>
      <c r="F223" s="120"/>
      <c r="G223" s="120"/>
      <c r="H223" s="120"/>
      <c r="J223" s="32"/>
      <c r="K223" s="39"/>
      <c r="L223" s="40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x14ac:dyDescent="0.25">
      <c r="A224" s="35"/>
      <c r="B224" s="90" t="s">
        <v>67</v>
      </c>
      <c r="C224" s="35"/>
      <c r="D224" s="120"/>
      <c r="E224" s="120"/>
      <c r="F224" s="120"/>
      <c r="G224" s="120"/>
      <c r="H224" s="120"/>
      <c r="I224" s="218"/>
      <c r="J224" s="32"/>
      <c r="K224" s="39"/>
      <c r="L224" s="40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x14ac:dyDescent="0.25">
      <c r="A225" s="35"/>
      <c r="B225" s="90" t="s">
        <v>68</v>
      </c>
      <c r="C225" s="35"/>
      <c r="D225" s="120"/>
      <c r="E225" s="120"/>
      <c r="F225" s="120"/>
      <c r="G225" s="120"/>
      <c r="H225" s="120"/>
      <c r="I225" s="218"/>
      <c r="J225" s="32"/>
      <c r="K225" s="39"/>
      <c r="L225" s="40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x14ac:dyDescent="0.25">
      <c r="A226" s="35"/>
      <c r="B226" s="94">
        <v>0.79166666666666663</v>
      </c>
      <c r="C226" s="35"/>
      <c r="D226" s="120"/>
      <c r="E226" s="120"/>
      <c r="F226" s="120"/>
      <c r="G226" s="120"/>
      <c r="H226" s="120"/>
      <c r="I226" s="218"/>
      <c r="J226" s="32"/>
      <c r="K226" s="39"/>
      <c r="L226" s="40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x14ac:dyDescent="0.25">
      <c r="A227" s="35"/>
      <c r="B227" s="94">
        <v>0.83333333333333337</v>
      </c>
      <c r="C227" s="35"/>
      <c r="D227" s="120"/>
      <c r="E227" s="120"/>
      <c r="F227" s="120"/>
      <c r="G227" s="120"/>
      <c r="H227" s="120"/>
      <c r="I227" s="218"/>
      <c r="J227" s="32"/>
      <c r="K227" s="39"/>
      <c r="L227" s="40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x14ac:dyDescent="0.25">
      <c r="A228" s="35"/>
      <c r="B228" s="94">
        <v>0.875</v>
      </c>
      <c r="C228" s="35"/>
      <c r="D228" s="120"/>
      <c r="E228" s="120"/>
      <c r="F228" s="120"/>
      <c r="G228" s="120"/>
      <c r="H228" s="120"/>
      <c r="I228" s="218"/>
      <c r="J228" s="32"/>
      <c r="K228" s="39"/>
      <c r="L228" s="40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x14ac:dyDescent="0.25">
      <c r="A229" s="35"/>
      <c r="B229" s="94">
        <v>0.91666666666666663</v>
      </c>
      <c r="C229" s="35"/>
      <c r="D229" s="120"/>
      <c r="E229" s="120"/>
      <c r="F229" s="120"/>
      <c r="G229" s="120"/>
      <c r="H229" s="120"/>
      <c r="I229" s="218"/>
      <c r="J229" s="32"/>
      <c r="K229" s="39"/>
      <c r="L229" s="40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x14ac:dyDescent="0.25">
      <c r="A230" s="35"/>
      <c r="B230" s="95">
        <v>0.94791666666666663</v>
      </c>
      <c r="C230" s="35"/>
      <c r="D230" s="120"/>
      <c r="E230" s="120"/>
      <c r="F230" s="120"/>
      <c r="G230" s="120"/>
      <c r="H230" s="120"/>
      <c r="I230" s="218"/>
      <c r="J230" s="32"/>
      <c r="K230" s="39"/>
      <c r="L230" s="40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x14ac:dyDescent="0.25">
      <c r="A231" s="80"/>
      <c r="B231" s="47"/>
      <c r="C231" s="47"/>
      <c r="D231" s="47"/>
      <c r="E231" s="47"/>
      <c r="F231" s="47"/>
      <c r="G231" s="96"/>
      <c r="H231" s="51">
        <f t="shared" ref="H231:I231" si="9">SUM(H214:H230)</f>
        <v>10815</v>
      </c>
      <c r="I231" s="51">
        <f t="shared" si="9"/>
        <v>6</v>
      </c>
      <c r="J231" s="52"/>
      <c r="K231" s="51">
        <f>SUM(K213:K230)</f>
        <v>0</v>
      </c>
      <c r="L231" s="40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47.25" x14ac:dyDescent="0.25">
      <c r="A232" s="33">
        <f>A213+1</f>
        <v>44579</v>
      </c>
      <c r="B232" s="89" t="s">
        <v>54</v>
      </c>
      <c r="C232" s="97" t="s">
        <v>262</v>
      </c>
      <c r="D232" s="68">
        <v>51</v>
      </c>
      <c r="E232" s="68" t="s">
        <v>121</v>
      </c>
      <c r="F232" s="68" t="s">
        <v>263</v>
      </c>
      <c r="G232" s="69">
        <v>44580</v>
      </c>
      <c r="H232" s="67">
        <v>5071</v>
      </c>
      <c r="I232" s="218">
        <v>3</v>
      </c>
      <c r="J232" s="32"/>
      <c r="K232" s="39"/>
      <c r="L232" s="40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47.25" x14ac:dyDescent="0.25">
      <c r="A233" s="41" t="s">
        <v>102</v>
      </c>
      <c r="B233" s="90" t="s">
        <v>57</v>
      </c>
      <c r="C233" s="97" t="s">
        <v>264</v>
      </c>
      <c r="D233" s="68"/>
      <c r="E233" s="68"/>
      <c r="F233" s="68"/>
      <c r="G233" s="68"/>
      <c r="H233" s="67"/>
      <c r="I233" s="218"/>
      <c r="J233" s="32"/>
      <c r="K233" s="39"/>
      <c r="L233" s="40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x14ac:dyDescent="0.25">
      <c r="A234" s="35"/>
      <c r="B234" s="90" t="s">
        <v>58</v>
      </c>
      <c r="C234" s="35"/>
      <c r="D234" s="68"/>
      <c r="E234" s="68"/>
      <c r="F234" s="68"/>
      <c r="G234" s="68"/>
      <c r="H234" s="68"/>
      <c r="I234" s="218"/>
      <c r="J234" s="32"/>
      <c r="K234" s="39"/>
      <c r="L234" s="40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6" x14ac:dyDescent="0.25">
      <c r="A235" s="35"/>
      <c r="B235" s="90" t="s">
        <v>59</v>
      </c>
      <c r="C235" s="97" t="s">
        <v>265</v>
      </c>
      <c r="D235" s="60">
        <v>60</v>
      </c>
      <c r="E235" s="60" t="s">
        <v>266</v>
      </c>
      <c r="F235" s="60" t="s">
        <v>267</v>
      </c>
      <c r="G235" s="61">
        <v>44582</v>
      </c>
      <c r="H235" s="62">
        <v>10997</v>
      </c>
      <c r="I235" s="218">
        <v>4</v>
      </c>
      <c r="J235" s="32"/>
      <c r="K235" s="39"/>
      <c r="L235" s="40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63" x14ac:dyDescent="0.25">
      <c r="A236" s="35"/>
      <c r="B236" s="90" t="s">
        <v>60</v>
      </c>
      <c r="C236" s="97" t="s">
        <v>268</v>
      </c>
      <c r="D236" s="60"/>
      <c r="E236" s="60"/>
      <c r="F236" s="60">
        <v>2</v>
      </c>
      <c r="G236" s="60" t="s">
        <v>269</v>
      </c>
      <c r="H236" s="62"/>
      <c r="J236" s="32"/>
      <c r="K236" s="39"/>
      <c r="L236" s="40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x14ac:dyDescent="0.25">
      <c r="A237" s="35"/>
      <c r="B237" s="90" t="s">
        <v>61</v>
      </c>
      <c r="C237" s="35"/>
      <c r="D237" s="62"/>
      <c r="E237" s="62"/>
      <c r="F237" s="62">
        <v>3</v>
      </c>
      <c r="G237" s="62"/>
      <c r="H237" s="62"/>
      <c r="I237" s="218"/>
      <c r="J237" s="32"/>
      <c r="K237" s="39"/>
      <c r="L237" s="40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x14ac:dyDescent="0.25">
      <c r="A238" s="35"/>
      <c r="B238" s="90" t="s">
        <v>62</v>
      </c>
      <c r="C238" s="35"/>
      <c r="D238" s="62"/>
      <c r="E238" s="62"/>
      <c r="F238" s="62">
        <v>4</v>
      </c>
      <c r="G238" s="62"/>
      <c r="H238" s="62"/>
      <c r="I238" s="218"/>
      <c r="J238" s="32"/>
      <c r="K238" s="39"/>
      <c r="L238" s="40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x14ac:dyDescent="0.25">
      <c r="A239" s="35"/>
      <c r="B239" s="90" t="s">
        <v>63</v>
      </c>
      <c r="C239" s="35"/>
      <c r="D239" s="67"/>
      <c r="E239" s="67"/>
      <c r="F239" s="67"/>
      <c r="G239" s="67"/>
      <c r="H239" s="67"/>
      <c r="J239" s="32"/>
      <c r="K239" s="39"/>
      <c r="L239" s="40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47.25" x14ac:dyDescent="0.25">
      <c r="A240" s="35"/>
      <c r="B240" s="90" t="s">
        <v>64</v>
      </c>
      <c r="C240" s="97" t="s">
        <v>270</v>
      </c>
      <c r="D240" s="68">
        <v>72</v>
      </c>
      <c r="E240" s="68" t="s">
        <v>271</v>
      </c>
      <c r="F240" s="68" t="s">
        <v>272</v>
      </c>
      <c r="G240" s="69">
        <v>44580</v>
      </c>
      <c r="H240" s="67">
        <v>3865</v>
      </c>
      <c r="I240" s="218">
        <v>1</v>
      </c>
      <c r="J240" s="32"/>
      <c r="K240" s="39"/>
      <c r="L240" s="40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63" x14ac:dyDescent="0.25">
      <c r="A241" s="35"/>
      <c r="B241" s="90" t="s">
        <v>65</v>
      </c>
      <c r="C241" s="55" t="s">
        <v>273</v>
      </c>
      <c r="D241" s="68">
        <v>72</v>
      </c>
      <c r="E241" s="68" t="s">
        <v>274</v>
      </c>
      <c r="F241" s="68" t="s">
        <v>275</v>
      </c>
      <c r="G241" s="69">
        <v>44586</v>
      </c>
      <c r="H241" s="67">
        <v>2410</v>
      </c>
      <c r="I241" s="218">
        <v>1</v>
      </c>
      <c r="J241" s="32"/>
      <c r="K241" s="39"/>
      <c r="L241" s="40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63" x14ac:dyDescent="0.25">
      <c r="A242" s="35"/>
      <c r="B242" s="90" t="s">
        <v>66</v>
      </c>
      <c r="C242" s="55" t="s">
        <v>276</v>
      </c>
      <c r="D242" s="68">
        <v>72</v>
      </c>
      <c r="E242" s="68" t="s">
        <v>70</v>
      </c>
      <c r="F242" s="68" t="s">
        <v>277</v>
      </c>
      <c r="G242" s="69">
        <v>44580</v>
      </c>
      <c r="H242" s="67">
        <v>6292</v>
      </c>
      <c r="I242" s="218">
        <v>2</v>
      </c>
      <c r="J242" s="32"/>
      <c r="K242" s="39"/>
      <c r="L242" s="40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31.5" x14ac:dyDescent="0.25">
      <c r="A243" s="35"/>
      <c r="B243" s="90" t="s">
        <v>67</v>
      </c>
      <c r="C243" s="55" t="s">
        <v>278</v>
      </c>
      <c r="D243" s="68"/>
      <c r="E243" s="68"/>
      <c r="F243" s="68"/>
      <c r="G243" s="68"/>
      <c r="H243" s="68"/>
      <c r="I243" s="218"/>
      <c r="J243" s="32"/>
      <c r="K243" s="39"/>
      <c r="L243" s="40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63" x14ac:dyDescent="0.25">
      <c r="A244" s="35"/>
      <c r="B244" s="90" t="s">
        <v>68</v>
      </c>
      <c r="C244" s="97" t="s">
        <v>279</v>
      </c>
      <c r="D244" s="68">
        <v>72</v>
      </c>
      <c r="E244" s="68" t="s">
        <v>280</v>
      </c>
      <c r="F244" s="68" t="s">
        <v>281</v>
      </c>
      <c r="G244" s="69">
        <v>44582</v>
      </c>
      <c r="H244" s="67">
        <v>7279</v>
      </c>
      <c r="I244" s="218">
        <v>2</v>
      </c>
      <c r="J244" s="32"/>
      <c r="K244" s="39"/>
      <c r="L244" s="40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31.5" x14ac:dyDescent="0.25">
      <c r="A245" s="35"/>
      <c r="B245" s="94">
        <v>0.79166666666666663</v>
      </c>
      <c r="C245" s="97" t="s">
        <v>282</v>
      </c>
      <c r="D245" s="68"/>
      <c r="E245" s="68"/>
      <c r="F245" s="68"/>
      <c r="G245" s="68"/>
      <c r="H245" s="68"/>
      <c r="I245" s="218"/>
      <c r="J245" s="32"/>
      <c r="K245" s="39"/>
      <c r="L245" s="40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x14ac:dyDescent="0.25">
      <c r="A246" s="35"/>
      <c r="B246" s="94">
        <v>0.83333333333333337</v>
      </c>
      <c r="C246" s="35"/>
      <c r="D246" s="67"/>
      <c r="E246" s="67"/>
      <c r="F246" s="67"/>
      <c r="G246" s="67"/>
      <c r="H246" s="67"/>
      <c r="J246" s="32"/>
      <c r="K246" s="39"/>
      <c r="L246" s="40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x14ac:dyDescent="0.25">
      <c r="A247" s="35"/>
      <c r="B247" s="44">
        <v>0.875</v>
      </c>
      <c r="C247" s="35"/>
      <c r="D247" s="67"/>
      <c r="E247" s="67"/>
      <c r="F247" s="67"/>
      <c r="G247" s="67"/>
      <c r="H247" s="67"/>
      <c r="J247" s="32"/>
      <c r="K247" s="39"/>
      <c r="L247" s="40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x14ac:dyDescent="0.25">
      <c r="A248" s="35"/>
      <c r="B248" s="94">
        <v>0.91666666666666663</v>
      </c>
      <c r="C248" s="35"/>
      <c r="D248" s="67"/>
      <c r="E248" s="67"/>
      <c r="F248" s="67"/>
      <c r="G248" s="67"/>
      <c r="H248" s="67"/>
      <c r="J248" s="32"/>
      <c r="K248" s="39"/>
      <c r="L248" s="40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x14ac:dyDescent="0.25">
      <c r="A249" s="35"/>
      <c r="B249" s="95">
        <v>0.94791666666666663</v>
      </c>
      <c r="C249" s="35"/>
      <c r="D249" s="67"/>
      <c r="E249" s="67"/>
      <c r="F249" s="67"/>
      <c r="G249" s="67"/>
      <c r="H249" s="67"/>
      <c r="I249" s="218"/>
      <c r="J249" s="32"/>
      <c r="K249" s="39"/>
      <c r="L249" s="40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x14ac:dyDescent="0.25">
      <c r="A250" s="80"/>
      <c r="B250" s="47"/>
      <c r="C250" s="47"/>
      <c r="D250" s="47"/>
      <c r="E250" s="47"/>
      <c r="F250" s="47"/>
      <c r="G250" s="96"/>
      <c r="H250" s="51">
        <f t="shared" ref="H250:I250" si="10">SUM(H232:H249)</f>
        <v>35914</v>
      </c>
      <c r="I250" s="51">
        <f t="shared" si="10"/>
        <v>13</v>
      </c>
      <c r="J250" s="52"/>
      <c r="K250" s="51">
        <f>SUM(K232:K249)</f>
        <v>0</v>
      </c>
      <c r="L250" s="40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78.75" x14ac:dyDescent="0.25">
      <c r="A251" s="33">
        <f>A232+1</f>
        <v>44580</v>
      </c>
      <c r="B251" s="89" t="s">
        <v>54</v>
      </c>
      <c r="C251" s="97" t="s">
        <v>283</v>
      </c>
      <c r="D251" s="68">
        <v>54</v>
      </c>
      <c r="E251" s="68" t="s">
        <v>100</v>
      </c>
      <c r="F251" s="68" t="s">
        <v>284</v>
      </c>
      <c r="G251" s="69">
        <v>44582</v>
      </c>
      <c r="H251" s="67">
        <v>4246</v>
      </c>
      <c r="I251" s="218">
        <v>2</v>
      </c>
      <c r="J251" s="32"/>
      <c r="K251" s="39"/>
      <c r="L251" s="40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31.5" x14ac:dyDescent="0.25">
      <c r="A252" s="41" t="s">
        <v>117</v>
      </c>
      <c r="B252" s="90" t="s">
        <v>57</v>
      </c>
      <c r="C252" s="97" t="s">
        <v>285</v>
      </c>
      <c r="D252" s="60"/>
      <c r="E252" s="60"/>
      <c r="F252" s="60"/>
      <c r="G252" s="60"/>
      <c r="H252" s="62"/>
      <c r="I252" s="218"/>
      <c r="J252" s="32"/>
      <c r="K252" s="39"/>
      <c r="L252" s="40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10.25" x14ac:dyDescent="0.25">
      <c r="A253" s="43"/>
      <c r="B253" s="90" t="s">
        <v>58</v>
      </c>
      <c r="C253" s="97" t="s">
        <v>286</v>
      </c>
      <c r="D253" s="60">
        <v>60</v>
      </c>
      <c r="E253" s="60" t="s">
        <v>280</v>
      </c>
      <c r="F253" s="60" t="s">
        <v>287</v>
      </c>
      <c r="G253" s="61">
        <v>44582</v>
      </c>
      <c r="H253" s="62">
        <v>3236</v>
      </c>
      <c r="I253" s="218">
        <v>1</v>
      </c>
      <c r="J253" s="32"/>
      <c r="K253" s="39"/>
      <c r="L253" s="40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47.25" x14ac:dyDescent="0.25">
      <c r="A254" s="35"/>
      <c r="B254" s="90" t="s">
        <v>59</v>
      </c>
      <c r="C254" s="97" t="s">
        <v>288</v>
      </c>
      <c r="D254" s="60">
        <v>68</v>
      </c>
      <c r="E254" s="60" t="s">
        <v>266</v>
      </c>
      <c r="F254" s="60" t="s">
        <v>289</v>
      </c>
      <c r="G254" s="61">
        <v>44580</v>
      </c>
      <c r="H254" s="62">
        <v>9737</v>
      </c>
      <c r="I254" s="218">
        <v>3</v>
      </c>
      <c r="J254" s="32"/>
      <c r="K254" s="39"/>
      <c r="L254" s="40"/>
      <c r="T254" s="17"/>
      <c r="U254" s="17"/>
      <c r="V254" s="17"/>
      <c r="W254" s="17"/>
      <c r="X254" s="17"/>
      <c r="Y254" s="17"/>
      <c r="Z254" s="17"/>
    </row>
    <row r="255" spans="1:26" ht="47.25" x14ac:dyDescent="0.25">
      <c r="A255" s="35"/>
      <c r="B255" s="90" t="s">
        <v>60</v>
      </c>
      <c r="C255" s="97" t="s">
        <v>290</v>
      </c>
      <c r="D255" s="60"/>
      <c r="E255" s="60"/>
      <c r="F255" s="60"/>
      <c r="G255" s="60" t="s">
        <v>233</v>
      </c>
      <c r="H255" s="62"/>
      <c r="I255" s="218"/>
      <c r="J255" s="32"/>
      <c r="K255" s="39"/>
      <c r="L255" s="40"/>
      <c r="T255" s="17"/>
      <c r="U255" s="17"/>
      <c r="V255" s="17"/>
      <c r="W255" s="17"/>
      <c r="X255" s="17"/>
      <c r="Y255" s="17"/>
      <c r="Z255" s="17"/>
    </row>
    <row r="256" spans="1:26" x14ac:dyDescent="0.25">
      <c r="A256" s="35"/>
      <c r="B256" s="90" t="s">
        <v>61</v>
      </c>
      <c r="C256" s="35"/>
      <c r="D256" s="62"/>
      <c r="E256" s="62"/>
      <c r="F256" s="62"/>
      <c r="G256" s="62"/>
      <c r="H256" s="62"/>
      <c r="I256" s="218"/>
      <c r="J256" s="32"/>
      <c r="K256" s="39"/>
      <c r="L256" s="40"/>
      <c r="T256" s="17"/>
      <c r="U256" s="17"/>
      <c r="V256" s="17"/>
      <c r="W256" s="17"/>
      <c r="X256" s="17"/>
      <c r="Y256" s="17"/>
      <c r="Z256" s="17"/>
    </row>
    <row r="257" spans="1:26" ht="126" x14ac:dyDescent="0.25">
      <c r="A257" s="35"/>
      <c r="B257" s="90" t="s">
        <v>62</v>
      </c>
      <c r="C257" s="55" t="s">
        <v>2857</v>
      </c>
      <c r="D257" s="60">
        <v>72</v>
      </c>
      <c r="E257" s="60" t="s">
        <v>291</v>
      </c>
      <c r="F257" s="60" t="s">
        <v>292</v>
      </c>
      <c r="G257" s="61">
        <v>44580</v>
      </c>
      <c r="H257" s="62">
        <v>2242</v>
      </c>
      <c r="I257" s="218">
        <v>1</v>
      </c>
      <c r="J257" s="32"/>
      <c r="K257" s="39"/>
      <c r="L257" s="40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x14ac:dyDescent="0.25">
      <c r="A258" s="35"/>
      <c r="B258" s="90" t="s">
        <v>63</v>
      </c>
      <c r="C258" s="35"/>
      <c r="D258" s="62"/>
      <c r="E258" s="62"/>
      <c r="F258" s="62"/>
      <c r="G258" s="62"/>
      <c r="H258" s="62"/>
      <c r="I258" s="218"/>
      <c r="J258" s="32"/>
      <c r="K258" s="39"/>
      <c r="L258" s="40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63" x14ac:dyDescent="0.25">
      <c r="A259" s="35"/>
      <c r="B259" s="90" t="s">
        <v>64</v>
      </c>
      <c r="C259" s="55" t="s">
        <v>293</v>
      </c>
      <c r="D259" s="60">
        <v>72</v>
      </c>
      <c r="E259" s="60" t="s">
        <v>85</v>
      </c>
      <c r="F259" s="60" t="s">
        <v>294</v>
      </c>
      <c r="G259" s="61">
        <v>44588</v>
      </c>
      <c r="H259" s="62">
        <v>6600</v>
      </c>
      <c r="I259" s="218">
        <v>2</v>
      </c>
      <c r="J259" s="32"/>
      <c r="K259" s="39"/>
      <c r="L259" s="40"/>
      <c r="T259" s="17"/>
      <c r="U259" s="17"/>
      <c r="V259" s="17"/>
      <c r="W259" s="17"/>
      <c r="X259" s="17"/>
      <c r="Y259" s="17"/>
      <c r="Z259" s="17"/>
    </row>
    <row r="260" spans="1:26" x14ac:dyDescent="0.25">
      <c r="A260" s="35"/>
      <c r="B260" s="90" t="s">
        <v>65</v>
      </c>
      <c r="C260" s="35"/>
      <c r="D260" s="62"/>
      <c r="E260" s="62"/>
      <c r="F260" s="62"/>
      <c r="G260" s="62"/>
      <c r="H260" s="62"/>
      <c r="I260" s="218"/>
      <c r="J260" s="32"/>
      <c r="K260" s="39"/>
      <c r="L260" s="40"/>
      <c r="T260" s="17"/>
      <c r="U260" s="17"/>
      <c r="V260" s="17"/>
      <c r="W260" s="17"/>
      <c r="X260" s="17"/>
      <c r="Y260" s="17"/>
      <c r="Z260" s="17"/>
    </row>
    <row r="261" spans="1:26" ht="47.25" x14ac:dyDescent="0.25">
      <c r="A261" s="35"/>
      <c r="B261" s="90" t="s">
        <v>66</v>
      </c>
      <c r="C261" s="55" t="s">
        <v>295</v>
      </c>
      <c r="D261" s="60">
        <v>72</v>
      </c>
      <c r="E261" s="60" t="s">
        <v>70</v>
      </c>
      <c r="F261" s="60" t="s">
        <v>296</v>
      </c>
      <c r="G261" s="61">
        <v>44589</v>
      </c>
      <c r="H261" s="62">
        <v>6340</v>
      </c>
      <c r="I261" s="218">
        <v>2</v>
      </c>
      <c r="J261" s="32"/>
      <c r="K261" s="39"/>
      <c r="L261" s="40"/>
      <c r="T261" s="17"/>
      <c r="U261" s="17"/>
      <c r="V261" s="17"/>
      <c r="W261" s="17"/>
      <c r="X261" s="17"/>
      <c r="Y261" s="17"/>
      <c r="Z261" s="17"/>
    </row>
    <row r="262" spans="1:26" ht="31.5" x14ac:dyDescent="0.25">
      <c r="A262" s="41"/>
      <c r="B262" s="90" t="s">
        <v>67</v>
      </c>
      <c r="C262" s="55" t="s">
        <v>297</v>
      </c>
      <c r="D262" s="62"/>
      <c r="E262" s="62"/>
      <c r="F262" s="62"/>
      <c r="G262" s="62"/>
      <c r="H262" s="62"/>
      <c r="I262" s="218"/>
      <c r="J262" s="32"/>
      <c r="K262" s="39"/>
      <c r="L262" s="40"/>
      <c r="T262" s="17"/>
      <c r="U262" s="17"/>
      <c r="V262" s="17"/>
      <c r="W262" s="17"/>
      <c r="X262" s="17"/>
      <c r="Y262" s="17"/>
      <c r="Z262" s="17"/>
    </row>
    <row r="263" spans="1:26" ht="78.75" x14ac:dyDescent="0.25">
      <c r="A263" s="35"/>
      <c r="B263" s="90" t="s">
        <v>68</v>
      </c>
      <c r="C263" s="55" t="s">
        <v>2858</v>
      </c>
      <c r="D263" s="60">
        <v>72</v>
      </c>
      <c r="E263" s="60" t="s">
        <v>85</v>
      </c>
      <c r="F263" s="60" t="s">
        <v>88</v>
      </c>
      <c r="G263" s="61">
        <v>44592</v>
      </c>
      <c r="H263" s="62">
        <v>9700</v>
      </c>
      <c r="I263" s="218">
        <v>3</v>
      </c>
      <c r="J263" s="32"/>
      <c r="K263" s="39"/>
      <c r="L263" s="40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x14ac:dyDescent="0.25">
      <c r="A264" s="35"/>
      <c r="B264" s="94">
        <v>0.79166666666666663</v>
      </c>
      <c r="C264" s="35"/>
      <c r="D264" s="62"/>
      <c r="E264" s="62"/>
      <c r="F264" s="62"/>
      <c r="G264" s="92" t="s">
        <v>298</v>
      </c>
      <c r="H264" s="62"/>
      <c r="I264" s="218"/>
      <c r="J264" s="32"/>
      <c r="K264" s="39"/>
      <c r="L264" s="40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x14ac:dyDescent="0.25">
      <c r="A265" s="35"/>
      <c r="B265" s="94">
        <v>0.83333333333333337</v>
      </c>
      <c r="C265" s="35"/>
      <c r="D265" s="62"/>
      <c r="E265" s="62"/>
      <c r="F265" s="62"/>
      <c r="G265" s="62"/>
      <c r="H265" s="62"/>
      <c r="I265" s="218"/>
      <c r="J265" s="32"/>
      <c r="K265" s="39"/>
      <c r="L265" s="40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x14ac:dyDescent="0.25">
      <c r="A266" s="35"/>
      <c r="B266" s="94">
        <v>0.875</v>
      </c>
      <c r="C266" s="35"/>
      <c r="D266" s="62"/>
      <c r="E266" s="62"/>
      <c r="F266" s="62"/>
      <c r="G266" s="62"/>
      <c r="H266" s="62"/>
      <c r="I266" s="218"/>
      <c r="J266" s="32"/>
      <c r="K266" s="39"/>
      <c r="L266" s="40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x14ac:dyDescent="0.25">
      <c r="A267" s="35"/>
      <c r="B267" s="94">
        <v>0.91666666666666663</v>
      </c>
      <c r="C267" s="35"/>
      <c r="D267" s="62"/>
      <c r="E267" s="62"/>
      <c r="F267" s="62"/>
      <c r="G267" s="62"/>
      <c r="H267" s="62"/>
      <c r="I267" s="218"/>
      <c r="J267" s="32"/>
      <c r="K267" s="39"/>
      <c r="L267" s="40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x14ac:dyDescent="0.25">
      <c r="A268" s="35"/>
      <c r="B268" s="95">
        <v>0.94791666666666663</v>
      </c>
      <c r="C268" s="35"/>
      <c r="D268" s="62"/>
      <c r="E268" s="62"/>
      <c r="F268" s="62"/>
      <c r="G268" s="62"/>
      <c r="H268" s="62"/>
      <c r="I268" s="218"/>
      <c r="J268" s="32"/>
      <c r="K268" s="39"/>
      <c r="L268" s="40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x14ac:dyDescent="0.25">
      <c r="A269" s="80"/>
      <c r="B269" s="47"/>
      <c r="C269" s="47"/>
      <c r="D269" s="47"/>
      <c r="E269" s="47"/>
      <c r="F269" s="47"/>
      <c r="G269" s="96"/>
      <c r="H269" s="51">
        <f t="shared" ref="H269:I269" si="11">SUM(H251:H268)</f>
        <v>42101</v>
      </c>
      <c r="I269" s="51">
        <f t="shared" si="11"/>
        <v>14</v>
      </c>
      <c r="J269" s="52"/>
      <c r="K269" s="51">
        <f>SUM(K251:K268)</f>
        <v>0</v>
      </c>
      <c r="L269" s="40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x14ac:dyDescent="0.25">
      <c r="A270" s="33">
        <f>A251+1</f>
        <v>44581</v>
      </c>
      <c r="B270" s="89" t="s">
        <v>54</v>
      </c>
      <c r="C270" s="87">
        <v>50943</v>
      </c>
      <c r="D270" s="62"/>
      <c r="E270" s="62"/>
      <c r="F270" s="62"/>
      <c r="G270" s="62"/>
      <c r="H270" s="62"/>
      <c r="I270" s="218">
        <v>1</v>
      </c>
      <c r="J270" s="32"/>
      <c r="K270" s="39"/>
      <c r="L270" s="40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63" x14ac:dyDescent="0.25">
      <c r="A271" s="41" t="s">
        <v>137</v>
      </c>
      <c r="B271" s="90" t="s">
        <v>57</v>
      </c>
      <c r="C271" s="55" t="s">
        <v>299</v>
      </c>
      <c r="D271" s="60">
        <v>68</v>
      </c>
      <c r="E271" s="68" t="s">
        <v>300</v>
      </c>
      <c r="F271" s="68" t="s">
        <v>301</v>
      </c>
      <c r="G271" s="69">
        <v>44582</v>
      </c>
      <c r="H271" s="67">
        <v>31140</v>
      </c>
      <c r="I271" s="218">
        <v>9</v>
      </c>
      <c r="J271" s="32"/>
      <c r="K271" s="39"/>
      <c r="L271" s="40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1.75" x14ac:dyDescent="0.25">
      <c r="A272" s="35"/>
      <c r="B272" s="90" t="s">
        <v>58</v>
      </c>
      <c r="C272" s="55" t="s">
        <v>302</v>
      </c>
      <c r="D272" s="121" t="s">
        <v>303</v>
      </c>
      <c r="E272" s="122"/>
      <c r="F272" s="122">
        <v>2</v>
      </c>
      <c r="G272" s="122"/>
      <c r="H272" s="67"/>
      <c r="I272" s="218"/>
      <c r="J272" s="32"/>
      <c r="K272" s="39"/>
      <c r="L272" s="40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x14ac:dyDescent="0.25">
      <c r="A273" s="35"/>
      <c r="B273" s="90" t="s">
        <v>59</v>
      </c>
      <c r="C273" s="35"/>
      <c r="D273" s="67"/>
      <c r="E273" s="67"/>
      <c r="F273" s="67">
        <v>3</v>
      </c>
      <c r="G273" s="67"/>
      <c r="H273" s="67"/>
      <c r="I273" s="218"/>
      <c r="J273" s="32"/>
      <c r="K273" s="39"/>
      <c r="L273" s="40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x14ac:dyDescent="0.25">
      <c r="A274" s="35"/>
      <c r="B274" s="90" t="s">
        <v>60</v>
      </c>
      <c r="C274" s="35"/>
      <c r="D274" s="67"/>
      <c r="E274" s="67"/>
      <c r="F274" s="67">
        <v>4</v>
      </c>
      <c r="G274" s="67"/>
      <c r="H274" s="67"/>
      <c r="I274" s="218"/>
      <c r="J274" s="32"/>
      <c r="K274" s="39"/>
      <c r="L274" s="40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x14ac:dyDescent="0.25">
      <c r="A275" s="35"/>
      <c r="B275" s="90" t="s">
        <v>61</v>
      </c>
      <c r="C275" s="35"/>
      <c r="D275" s="67"/>
      <c r="E275" s="67"/>
      <c r="F275" s="67">
        <v>5</v>
      </c>
      <c r="G275" s="67"/>
      <c r="H275" s="67"/>
      <c r="I275" s="218"/>
      <c r="J275" s="32"/>
      <c r="K275" s="39"/>
      <c r="L275" s="40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x14ac:dyDescent="0.25">
      <c r="A276" s="35"/>
      <c r="B276" s="90" t="s">
        <v>62</v>
      </c>
      <c r="C276" s="35"/>
      <c r="D276" s="67"/>
      <c r="E276" s="67"/>
      <c r="F276" s="67">
        <v>6</v>
      </c>
      <c r="G276" s="67"/>
      <c r="H276" s="67"/>
      <c r="I276" s="218"/>
      <c r="J276" s="32"/>
      <c r="K276" s="39"/>
      <c r="L276" s="40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x14ac:dyDescent="0.25">
      <c r="A277" s="35"/>
      <c r="B277" s="90" t="s">
        <v>63</v>
      </c>
      <c r="C277" s="35"/>
      <c r="D277" s="67"/>
      <c r="E277" s="67"/>
      <c r="F277" s="67">
        <v>7</v>
      </c>
      <c r="G277" s="67"/>
      <c r="H277" s="67"/>
      <c r="I277" s="218"/>
      <c r="J277" s="32"/>
      <c r="K277" s="39"/>
      <c r="L277" s="40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x14ac:dyDescent="0.25">
      <c r="A278" s="35"/>
      <c r="B278" s="90" t="s">
        <v>64</v>
      </c>
      <c r="C278" s="35"/>
      <c r="D278" s="67"/>
      <c r="E278" s="67"/>
      <c r="F278" s="67">
        <v>8</v>
      </c>
      <c r="G278" s="67"/>
      <c r="H278" s="67"/>
      <c r="I278" s="218"/>
      <c r="J278" s="32"/>
      <c r="K278" s="39"/>
      <c r="L278" s="40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x14ac:dyDescent="0.25">
      <c r="A279" s="35"/>
      <c r="B279" s="90" t="s">
        <v>65</v>
      </c>
      <c r="C279" s="35"/>
      <c r="D279" s="67"/>
      <c r="E279" s="67"/>
      <c r="F279" s="67">
        <v>9</v>
      </c>
      <c r="G279" s="67"/>
      <c r="H279" s="67"/>
      <c r="I279" s="218"/>
      <c r="J279" s="32"/>
      <c r="K279" s="39"/>
      <c r="L279" s="40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47.25" x14ac:dyDescent="0.25">
      <c r="A280" s="35"/>
      <c r="B280" s="90" t="s">
        <v>66</v>
      </c>
      <c r="C280" s="97" t="s">
        <v>304</v>
      </c>
      <c r="D280" s="68">
        <v>72</v>
      </c>
      <c r="E280" s="68" t="s">
        <v>305</v>
      </c>
      <c r="F280" s="68" t="s">
        <v>306</v>
      </c>
      <c r="G280" s="69">
        <v>44585</v>
      </c>
      <c r="H280" s="67">
        <v>4325</v>
      </c>
      <c r="I280" s="218">
        <v>1.5</v>
      </c>
      <c r="J280" s="32"/>
      <c r="K280" s="39"/>
      <c r="L280" s="40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31.5" x14ac:dyDescent="0.25">
      <c r="A281" s="35"/>
      <c r="B281" s="90" t="s">
        <v>67</v>
      </c>
      <c r="C281" s="97" t="s">
        <v>307</v>
      </c>
      <c r="D281" s="68"/>
      <c r="E281" s="68"/>
      <c r="F281" s="68"/>
      <c r="G281" s="68"/>
      <c r="H281" s="67"/>
      <c r="I281" s="218"/>
      <c r="J281" s="32"/>
      <c r="K281" s="39"/>
      <c r="L281" s="40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63" x14ac:dyDescent="0.25">
      <c r="A282" s="35"/>
      <c r="B282" s="90" t="s">
        <v>68</v>
      </c>
      <c r="C282" s="55" t="s">
        <v>308</v>
      </c>
      <c r="D282" s="68">
        <v>72</v>
      </c>
      <c r="E282" s="68" t="s">
        <v>91</v>
      </c>
      <c r="F282" s="68" t="s">
        <v>309</v>
      </c>
      <c r="G282" s="69">
        <v>44587</v>
      </c>
      <c r="H282" s="67">
        <v>2015</v>
      </c>
      <c r="I282" s="218">
        <v>1</v>
      </c>
      <c r="J282" s="32"/>
      <c r="K282" s="39"/>
      <c r="L282" s="40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x14ac:dyDescent="0.25">
      <c r="A283" s="35"/>
      <c r="B283" s="94">
        <v>0.79166666666666663</v>
      </c>
      <c r="C283" s="35"/>
      <c r="D283" s="67"/>
      <c r="E283" s="67"/>
      <c r="F283" s="67"/>
      <c r="G283" s="67"/>
      <c r="H283" s="67"/>
      <c r="I283" s="218"/>
      <c r="J283" s="32"/>
      <c r="K283" s="39"/>
      <c r="L283" s="40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x14ac:dyDescent="0.25">
      <c r="A284" s="35"/>
      <c r="B284" s="94">
        <v>0.83333333333333337</v>
      </c>
      <c r="C284" s="35"/>
      <c r="D284" s="67"/>
      <c r="E284" s="67"/>
      <c r="F284" s="67"/>
      <c r="G284" s="67"/>
      <c r="H284" s="67"/>
      <c r="I284" s="218"/>
      <c r="J284" s="32"/>
      <c r="K284" s="39"/>
      <c r="L284" s="40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x14ac:dyDescent="0.25">
      <c r="A285" s="35"/>
      <c r="B285" s="94">
        <v>0.875</v>
      </c>
      <c r="C285" s="35"/>
      <c r="D285" s="67"/>
      <c r="E285" s="67"/>
      <c r="F285" s="67"/>
      <c r="G285" s="67"/>
      <c r="H285" s="67"/>
      <c r="I285" s="218"/>
      <c r="J285" s="32"/>
      <c r="K285" s="39"/>
      <c r="L285" s="40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x14ac:dyDescent="0.25">
      <c r="A286" s="35"/>
      <c r="B286" s="94">
        <v>0.91666666666666663</v>
      </c>
      <c r="C286" s="35"/>
      <c r="D286" s="67"/>
      <c r="E286" s="67"/>
      <c r="F286" s="67"/>
      <c r="G286" s="67"/>
      <c r="H286" s="67"/>
      <c r="I286" s="218"/>
      <c r="J286" s="32"/>
      <c r="K286" s="39"/>
      <c r="L286" s="40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x14ac:dyDescent="0.25">
      <c r="A287" s="35"/>
      <c r="B287" s="95">
        <v>0.94791666666666663</v>
      </c>
      <c r="C287" s="35"/>
      <c r="D287" s="67"/>
      <c r="E287" s="67"/>
      <c r="F287" s="67"/>
      <c r="G287" s="67"/>
      <c r="H287" s="67"/>
      <c r="I287" s="218"/>
      <c r="J287" s="32"/>
      <c r="K287" s="39"/>
      <c r="L287" s="40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x14ac:dyDescent="0.25">
      <c r="A288" s="80"/>
      <c r="B288" s="47"/>
      <c r="C288" s="123"/>
      <c r="D288" s="123"/>
      <c r="E288" s="123"/>
      <c r="F288" s="123"/>
      <c r="G288" s="124"/>
      <c r="H288" s="51">
        <f t="shared" ref="H288:I288" si="12">SUM(H270:H287)</f>
        <v>37480</v>
      </c>
      <c r="I288" s="51">
        <f t="shared" si="12"/>
        <v>12.5</v>
      </c>
      <c r="J288" s="52"/>
      <c r="K288" s="51">
        <f>SUM(K270:K287)</f>
        <v>0</v>
      </c>
      <c r="L288" s="40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63" x14ac:dyDescent="0.25">
      <c r="A289" s="33">
        <f>A270+1</f>
        <v>44582</v>
      </c>
      <c r="B289" s="34" t="s">
        <v>54</v>
      </c>
      <c r="C289" s="55" t="s">
        <v>310</v>
      </c>
      <c r="D289" s="68">
        <v>48</v>
      </c>
      <c r="E289" s="68" t="s">
        <v>100</v>
      </c>
      <c r="F289" s="68" t="s">
        <v>311</v>
      </c>
      <c r="G289" s="69">
        <v>44582</v>
      </c>
      <c r="H289" s="67">
        <v>1900</v>
      </c>
      <c r="I289" s="218">
        <v>1</v>
      </c>
      <c r="J289" s="32"/>
      <c r="K289" s="39"/>
      <c r="L289" s="40"/>
      <c r="T289" s="17"/>
      <c r="U289" s="17"/>
      <c r="V289" s="17"/>
      <c r="W289" s="17"/>
      <c r="X289" s="17"/>
      <c r="Y289" s="17"/>
      <c r="Z289" s="17"/>
    </row>
    <row r="290" spans="1:26" ht="94.5" x14ac:dyDescent="0.25">
      <c r="A290" s="41" t="s">
        <v>56</v>
      </c>
      <c r="B290" s="42" t="s">
        <v>57</v>
      </c>
      <c r="C290" s="55" t="s">
        <v>312</v>
      </c>
      <c r="D290" s="57">
        <v>48</v>
      </c>
      <c r="E290" s="57" t="s">
        <v>248</v>
      </c>
      <c r="F290" s="57" t="s">
        <v>313</v>
      </c>
      <c r="G290" s="125">
        <v>44594</v>
      </c>
      <c r="H290" s="65">
        <v>4694</v>
      </c>
      <c r="I290" s="30">
        <v>2</v>
      </c>
      <c r="J290" s="32"/>
      <c r="K290" s="39"/>
      <c r="L290" s="40"/>
      <c r="T290" s="17"/>
      <c r="U290" s="17"/>
      <c r="V290" s="17"/>
      <c r="W290" s="17"/>
      <c r="X290" s="17"/>
      <c r="Y290" s="17"/>
      <c r="Z290" s="17"/>
    </row>
    <row r="291" spans="1:26" ht="31.5" x14ac:dyDescent="0.25">
      <c r="A291" s="35"/>
      <c r="B291" s="42" t="s">
        <v>58</v>
      </c>
      <c r="C291" s="55" t="s">
        <v>314</v>
      </c>
      <c r="D291" s="57"/>
      <c r="E291" s="57"/>
      <c r="F291" s="57"/>
      <c r="G291" s="57"/>
      <c r="H291" s="65"/>
      <c r="I291" s="30"/>
      <c r="J291" s="32"/>
      <c r="K291" s="39"/>
      <c r="L291" s="40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63" x14ac:dyDescent="0.25">
      <c r="A292" s="35"/>
      <c r="B292" s="42" t="s">
        <v>59</v>
      </c>
      <c r="C292" s="55" t="s">
        <v>315</v>
      </c>
      <c r="D292" s="60">
        <v>51</v>
      </c>
      <c r="E292" s="60" t="s">
        <v>316</v>
      </c>
      <c r="F292" s="60" t="s">
        <v>317</v>
      </c>
      <c r="G292" s="61">
        <v>44582</v>
      </c>
      <c r="H292" s="62">
        <v>5242</v>
      </c>
      <c r="I292" s="218">
        <v>2</v>
      </c>
      <c r="J292" s="32"/>
      <c r="K292" s="39"/>
      <c r="L292" s="40"/>
      <c r="T292" s="17"/>
      <c r="U292" s="17"/>
      <c r="V292" s="17"/>
      <c r="W292" s="17"/>
      <c r="X292" s="17"/>
      <c r="Y292" s="17"/>
      <c r="Z292" s="17"/>
    </row>
    <row r="293" spans="1:26" ht="31.5" x14ac:dyDescent="0.25">
      <c r="A293" s="43"/>
      <c r="B293" s="42" t="s">
        <v>60</v>
      </c>
      <c r="C293" s="55" t="s">
        <v>318</v>
      </c>
      <c r="D293" s="60" t="s">
        <v>319</v>
      </c>
      <c r="E293" s="60"/>
      <c r="F293" s="60"/>
      <c r="G293" s="60"/>
      <c r="H293" s="62"/>
      <c r="I293" s="218"/>
      <c r="J293" s="32"/>
      <c r="K293" s="39"/>
      <c r="L293" s="40"/>
      <c r="T293" s="17"/>
      <c r="U293" s="17"/>
      <c r="V293" s="17"/>
      <c r="W293" s="17"/>
      <c r="X293" s="17"/>
      <c r="Y293" s="17"/>
      <c r="Z293" s="17"/>
    </row>
    <row r="294" spans="1:26" ht="63" x14ac:dyDescent="0.25">
      <c r="A294" s="35"/>
      <c r="B294" s="42" t="s">
        <v>61</v>
      </c>
      <c r="C294" s="55" t="s">
        <v>320</v>
      </c>
      <c r="D294" s="60">
        <v>51</v>
      </c>
      <c r="E294" s="60" t="s">
        <v>172</v>
      </c>
      <c r="F294" s="60" t="s">
        <v>321</v>
      </c>
      <c r="G294" s="61">
        <v>44589</v>
      </c>
      <c r="H294" s="62">
        <v>7500</v>
      </c>
      <c r="I294" s="218">
        <v>4</v>
      </c>
      <c r="K294" s="39"/>
      <c r="L294" s="40"/>
      <c r="T294" s="17"/>
      <c r="U294" s="17"/>
      <c r="V294" s="17"/>
      <c r="W294" s="17"/>
      <c r="X294" s="17"/>
      <c r="Y294" s="17"/>
      <c r="Z294" s="17"/>
    </row>
    <row r="295" spans="1:26" x14ac:dyDescent="0.25">
      <c r="A295" s="35"/>
      <c r="B295" s="42" t="s">
        <v>62</v>
      </c>
      <c r="C295" s="35"/>
      <c r="D295" s="62" t="s">
        <v>322</v>
      </c>
      <c r="E295" s="62"/>
      <c r="F295" s="62"/>
      <c r="G295" s="62"/>
      <c r="H295" s="62"/>
      <c r="I295" s="218"/>
      <c r="K295" s="39"/>
      <c r="L295" s="40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x14ac:dyDescent="0.25">
      <c r="A296" s="35"/>
      <c r="B296" s="42" t="s">
        <v>63</v>
      </c>
      <c r="C296" s="35"/>
      <c r="D296" s="62"/>
      <c r="E296" s="62"/>
      <c r="F296" s="62"/>
      <c r="G296" s="62"/>
      <c r="H296" s="62"/>
      <c r="I296" s="218"/>
      <c r="K296" s="39"/>
      <c r="L296" s="40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x14ac:dyDescent="0.25">
      <c r="A297" s="35"/>
      <c r="B297" s="42" t="s">
        <v>64</v>
      </c>
      <c r="C297" s="35"/>
      <c r="D297" s="62"/>
      <c r="E297" s="62"/>
      <c r="F297" s="62"/>
      <c r="G297" s="62"/>
      <c r="H297" s="62"/>
      <c r="K297" s="39"/>
      <c r="L297" s="40"/>
      <c r="T297" s="17"/>
      <c r="U297" s="17"/>
      <c r="V297" s="17"/>
      <c r="W297" s="17"/>
      <c r="X297" s="17"/>
      <c r="Y297" s="17"/>
      <c r="Z297" s="17"/>
    </row>
    <row r="298" spans="1:26" ht="63" x14ac:dyDescent="0.25">
      <c r="A298" s="35"/>
      <c r="B298" s="42" t="s">
        <v>65</v>
      </c>
      <c r="C298" s="55" t="s">
        <v>323</v>
      </c>
      <c r="D298" s="60">
        <v>54</v>
      </c>
      <c r="E298" s="60" t="s">
        <v>125</v>
      </c>
      <c r="F298" s="60" t="s">
        <v>324</v>
      </c>
      <c r="G298" s="61">
        <v>44588</v>
      </c>
      <c r="H298" s="62">
        <v>2178</v>
      </c>
      <c r="I298" s="218">
        <v>1</v>
      </c>
      <c r="J298" s="32"/>
      <c r="K298" s="39"/>
      <c r="L298" s="40"/>
      <c r="T298" s="17"/>
      <c r="U298" s="17"/>
      <c r="V298" s="17"/>
      <c r="W298" s="17"/>
      <c r="X298" s="17"/>
      <c r="Y298" s="17"/>
      <c r="Z298" s="17"/>
    </row>
    <row r="299" spans="1:26" ht="63" x14ac:dyDescent="0.25">
      <c r="A299" s="35"/>
      <c r="B299" s="90" t="s">
        <v>66</v>
      </c>
      <c r="C299" s="55" t="s">
        <v>325</v>
      </c>
      <c r="D299" s="60">
        <v>60</v>
      </c>
      <c r="E299" s="60" t="s">
        <v>91</v>
      </c>
      <c r="F299" s="60" t="s">
        <v>326</v>
      </c>
      <c r="G299" s="61">
        <v>44587</v>
      </c>
      <c r="H299" s="62">
        <v>2582</v>
      </c>
      <c r="I299" s="218">
        <v>1</v>
      </c>
      <c r="J299" s="32"/>
      <c r="K299" s="39"/>
      <c r="L299" s="40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x14ac:dyDescent="0.25">
      <c r="A300" s="35"/>
      <c r="B300" s="90" t="s">
        <v>67</v>
      </c>
      <c r="C300" s="35"/>
      <c r="D300" s="86"/>
      <c r="E300" s="86"/>
      <c r="F300" s="86"/>
      <c r="G300" s="86"/>
      <c r="H300" s="86"/>
      <c r="I300" s="30"/>
      <c r="J300" s="32"/>
      <c r="K300" s="39"/>
      <c r="L300" s="40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10.25" x14ac:dyDescent="0.25">
      <c r="A301" s="35"/>
      <c r="B301" s="90" t="s">
        <v>68</v>
      </c>
      <c r="C301" s="97" t="s">
        <v>327</v>
      </c>
      <c r="D301" s="60">
        <v>60</v>
      </c>
      <c r="E301" s="60" t="s">
        <v>85</v>
      </c>
      <c r="F301" s="60" t="s">
        <v>328</v>
      </c>
      <c r="G301" s="61">
        <v>44582</v>
      </c>
      <c r="H301" s="62">
        <v>1500</v>
      </c>
      <c r="I301" s="218">
        <v>2.5</v>
      </c>
      <c r="J301" s="32" t="s">
        <v>329</v>
      </c>
      <c r="K301" s="39"/>
      <c r="L301" s="40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47.25" x14ac:dyDescent="0.25">
      <c r="A302" s="35"/>
      <c r="B302" s="94">
        <v>0.79166666666666663</v>
      </c>
      <c r="C302" s="97"/>
      <c r="D302" s="60" t="s">
        <v>330</v>
      </c>
      <c r="E302" s="60"/>
      <c r="F302" s="60"/>
      <c r="G302" s="60" t="s">
        <v>233</v>
      </c>
      <c r="H302" s="62"/>
      <c r="I302" s="218"/>
      <c r="J302" s="32"/>
      <c r="K302" s="39"/>
      <c r="L302" s="40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x14ac:dyDescent="0.25">
      <c r="A303" s="35"/>
      <c r="B303" s="94">
        <v>0.83333333333333337</v>
      </c>
      <c r="C303" s="35"/>
      <c r="D303" s="62"/>
      <c r="E303" s="62"/>
      <c r="F303" s="62"/>
      <c r="G303" s="62"/>
      <c r="H303" s="62"/>
      <c r="I303" s="218"/>
      <c r="J303" s="32"/>
      <c r="K303" s="39"/>
      <c r="L303" s="40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x14ac:dyDescent="0.25">
      <c r="A304" s="35"/>
      <c r="B304" s="94">
        <v>0.875</v>
      </c>
      <c r="C304" s="35"/>
      <c r="D304" s="62"/>
      <c r="E304" s="62"/>
      <c r="F304" s="62"/>
      <c r="G304" s="62"/>
      <c r="H304" s="62"/>
      <c r="I304" s="218"/>
      <c r="J304" s="32"/>
      <c r="K304" s="39"/>
      <c r="L304" s="40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x14ac:dyDescent="0.25">
      <c r="A305" s="35"/>
      <c r="B305" s="94">
        <v>0.91666666666666663</v>
      </c>
      <c r="C305" s="35"/>
      <c r="D305" s="62"/>
      <c r="E305" s="62"/>
      <c r="F305" s="62"/>
      <c r="G305" s="62"/>
      <c r="H305" s="62"/>
      <c r="I305" s="218"/>
      <c r="J305" s="32"/>
      <c r="K305" s="39"/>
      <c r="L305" s="40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x14ac:dyDescent="0.25">
      <c r="A306" s="35"/>
      <c r="B306" s="95">
        <v>0.94791666666666663</v>
      </c>
      <c r="C306" s="35"/>
      <c r="D306" s="62"/>
      <c r="E306" s="62"/>
      <c r="F306" s="62"/>
      <c r="G306" s="62"/>
      <c r="H306" s="62"/>
      <c r="I306" s="218"/>
      <c r="J306" s="32"/>
      <c r="K306" s="39"/>
      <c r="L306" s="40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x14ac:dyDescent="0.25">
      <c r="A307" s="80"/>
      <c r="B307" s="47"/>
      <c r="C307" s="74"/>
      <c r="D307" s="74"/>
      <c r="E307" s="74"/>
      <c r="F307" s="74"/>
      <c r="G307" s="75"/>
      <c r="H307" s="51">
        <f t="shared" ref="H307:I307" si="13">SUM(H289:H306)</f>
        <v>25596</v>
      </c>
      <c r="I307" s="51">
        <f t="shared" si="13"/>
        <v>13.5</v>
      </c>
      <c r="J307" s="52"/>
      <c r="K307" s="51">
        <f>SUM(K289:K306)</f>
        <v>0</v>
      </c>
      <c r="L307" s="40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x14ac:dyDescent="0.25">
      <c r="A308" s="33">
        <f>A289+3</f>
        <v>44585</v>
      </c>
      <c r="B308" s="89" t="s">
        <v>54</v>
      </c>
      <c r="C308" s="35"/>
      <c r="D308" s="13"/>
      <c r="E308" s="14" t="s">
        <v>40</v>
      </c>
      <c r="F308" s="13"/>
      <c r="G308" s="15"/>
      <c r="H308" s="15"/>
      <c r="I308" s="30">
        <v>0.5</v>
      </c>
      <c r="J308" s="32"/>
      <c r="K308" s="39"/>
      <c r="L308" s="40"/>
      <c r="T308" s="17"/>
      <c r="U308" s="17"/>
      <c r="V308" s="17"/>
      <c r="W308" s="17"/>
      <c r="X308" s="17"/>
      <c r="Y308" s="17"/>
      <c r="Z308" s="17"/>
    </row>
    <row r="309" spans="1:26" ht="63" x14ac:dyDescent="0.25">
      <c r="A309" s="41" t="s">
        <v>72</v>
      </c>
      <c r="B309" s="90" t="s">
        <v>57</v>
      </c>
      <c r="C309" s="55" t="s">
        <v>331</v>
      </c>
      <c r="D309" s="60">
        <v>66.667000000000002</v>
      </c>
      <c r="E309" s="60" t="s">
        <v>332</v>
      </c>
      <c r="F309" s="60" t="s">
        <v>333</v>
      </c>
      <c r="G309" s="126" t="s">
        <v>334</v>
      </c>
      <c r="H309" s="62">
        <v>37103</v>
      </c>
      <c r="I309" s="218">
        <v>11</v>
      </c>
      <c r="J309" s="32"/>
      <c r="K309" s="39"/>
      <c r="L309" s="40"/>
      <c r="T309" s="17"/>
      <c r="U309" s="17"/>
      <c r="V309" s="17"/>
      <c r="W309" s="17"/>
      <c r="X309" s="17"/>
      <c r="Y309" s="17"/>
      <c r="Z309" s="17"/>
    </row>
    <row r="310" spans="1:26" ht="173.25" x14ac:dyDescent="0.25">
      <c r="A310" s="35"/>
      <c r="B310" s="90" t="s">
        <v>58</v>
      </c>
      <c r="C310" s="55" t="s">
        <v>335</v>
      </c>
      <c r="D310" s="121" t="s">
        <v>336</v>
      </c>
      <c r="E310" s="121"/>
      <c r="F310" s="121">
        <v>2</v>
      </c>
      <c r="G310" s="121"/>
      <c r="H310" s="62"/>
      <c r="I310" s="218"/>
      <c r="J310" s="32"/>
      <c r="K310" s="39"/>
      <c r="L310" s="40"/>
      <c r="T310" s="17"/>
      <c r="U310" s="17"/>
      <c r="V310" s="17"/>
      <c r="W310" s="17"/>
      <c r="X310" s="17"/>
      <c r="Y310" s="17"/>
      <c r="Z310" s="17"/>
    </row>
    <row r="311" spans="1:26" x14ac:dyDescent="0.25">
      <c r="A311" s="35"/>
      <c r="B311" s="90" t="s">
        <v>59</v>
      </c>
      <c r="C311" s="35"/>
      <c r="D311" s="62"/>
      <c r="E311" s="62"/>
      <c r="F311" s="62">
        <v>3</v>
      </c>
      <c r="G311" s="62"/>
      <c r="H311" s="62"/>
      <c r="I311" s="218"/>
      <c r="J311" s="32"/>
      <c r="K311" s="39"/>
      <c r="L311" s="40"/>
      <c r="T311" s="17"/>
      <c r="U311" s="17"/>
      <c r="V311" s="17"/>
      <c r="W311" s="17"/>
      <c r="X311" s="17"/>
      <c r="Y311" s="17"/>
      <c r="Z311" s="17"/>
    </row>
    <row r="312" spans="1:26" x14ac:dyDescent="0.25">
      <c r="A312" s="35"/>
      <c r="B312" s="90" t="s">
        <v>60</v>
      </c>
      <c r="C312" s="35"/>
      <c r="D312" s="62"/>
      <c r="E312" s="62"/>
      <c r="F312" s="62">
        <v>4</v>
      </c>
      <c r="G312" s="62"/>
      <c r="H312" s="62"/>
      <c r="I312" s="218"/>
      <c r="J312" s="32"/>
      <c r="K312" s="39"/>
      <c r="L312" s="40"/>
      <c r="T312" s="17"/>
      <c r="U312" s="17"/>
      <c r="V312" s="17"/>
      <c r="W312" s="17"/>
      <c r="X312" s="17"/>
      <c r="Y312" s="17"/>
      <c r="Z312" s="17"/>
    </row>
    <row r="313" spans="1:26" x14ac:dyDescent="0.25">
      <c r="A313" s="35"/>
      <c r="B313" s="90" t="s">
        <v>61</v>
      </c>
      <c r="C313" s="35"/>
      <c r="D313" s="62"/>
      <c r="E313" s="62"/>
      <c r="F313" s="62">
        <v>5</v>
      </c>
      <c r="G313" s="62"/>
      <c r="H313" s="62"/>
      <c r="I313" s="218"/>
      <c r="J313" s="32"/>
      <c r="K313" s="39"/>
      <c r="L313" s="40"/>
      <c r="T313" s="17"/>
      <c r="U313" s="17"/>
      <c r="V313" s="17"/>
      <c r="W313" s="17"/>
      <c r="X313" s="17"/>
      <c r="Y313" s="17"/>
      <c r="Z313" s="17"/>
    </row>
    <row r="314" spans="1:26" x14ac:dyDescent="0.25">
      <c r="A314" s="35"/>
      <c r="B314" s="90" t="s">
        <v>62</v>
      </c>
      <c r="C314" s="35"/>
      <c r="D314" s="62"/>
      <c r="E314" s="62"/>
      <c r="F314" s="62">
        <v>6</v>
      </c>
      <c r="G314" s="62"/>
      <c r="H314" s="62"/>
      <c r="I314" s="218"/>
      <c r="J314" s="32"/>
      <c r="K314" s="39"/>
      <c r="L314" s="40"/>
      <c r="T314" s="17"/>
      <c r="U314" s="17"/>
      <c r="V314" s="17"/>
      <c r="W314" s="17"/>
      <c r="X314" s="17"/>
      <c r="Y314" s="17"/>
      <c r="Z314" s="17"/>
    </row>
    <row r="315" spans="1:26" x14ac:dyDescent="0.25">
      <c r="A315" s="35"/>
      <c r="B315" s="90" t="s">
        <v>63</v>
      </c>
      <c r="C315" s="35"/>
      <c r="D315" s="62"/>
      <c r="E315" s="62"/>
      <c r="F315" s="62">
        <v>7</v>
      </c>
      <c r="G315" s="62"/>
      <c r="H315" s="62"/>
      <c r="I315" s="218"/>
      <c r="J315" s="32"/>
      <c r="K315" s="39"/>
      <c r="L315" s="40"/>
      <c r="T315" s="17"/>
      <c r="U315" s="17"/>
      <c r="V315" s="17"/>
      <c r="W315" s="17"/>
      <c r="X315" s="17"/>
      <c r="Y315" s="17"/>
      <c r="Z315" s="17"/>
    </row>
    <row r="316" spans="1:26" x14ac:dyDescent="0.25">
      <c r="A316" s="35"/>
      <c r="B316" s="90" t="s">
        <v>64</v>
      </c>
      <c r="C316" s="35"/>
      <c r="D316" s="62"/>
      <c r="E316" s="62"/>
      <c r="F316" s="62">
        <v>8</v>
      </c>
      <c r="G316" s="62"/>
      <c r="H316" s="62"/>
      <c r="I316" s="218"/>
      <c r="J316" s="32"/>
      <c r="K316" s="39"/>
      <c r="L316" s="40"/>
      <c r="T316" s="17"/>
      <c r="U316" s="17"/>
      <c r="V316" s="17"/>
      <c r="W316" s="17"/>
      <c r="X316" s="17"/>
      <c r="Y316" s="17"/>
      <c r="Z316" s="17"/>
    </row>
    <row r="317" spans="1:26" x14ac:dyDescent="0.25">
      <c r="A317" s="35"/>
      <c r="B317" s="90" t="s">
        <v>65</v>
      </c>
      <c r="C317" s="35"/>
      <c r="D317" s="62"/>
      <c r="E317" s="62"/>
      <c r="F317" s="62">
        <v>9</v>
      </c>
      <c r="G317" s="62"/>
      <c r="H317" s="62"/>
      <c r="I317" s="218"/>
      <c r="J317" s="32"/>
      <c r="K317" s="39"/>
      <c r="L317" s="40"/>
      <c r="T317" s="17"/>
      <c r="U317" s="17"/>
      <c r="V317" s="17"/>
      <c r="W317" s="17"/>
      <c r="X317" s="17"/>
      <c r="Y317" s="17"/>
      <c r="Z317" s="17"/>
    </row>
    <row r="318" spans="1:26" x14ac:dyDescent="0.25">
      <c r="A318" s="35"/>
      <c r="B318" s="90" t="s">
        <v>66</v>
      </c>
      <c r="C318" s="35"/>
      <c r="D318" s="62"/>
      <c r="E318" s="62"/>
      <c r="F318" s="62">
        <v>10</v>
      </c>
      <c r="G318" s="62"/>
      <c r="H318" s="62"/>
      <c r="I318" s="218"/>
      <c r="J318" s="32"/>
      <c r="K318" s="39"/>
      <c r="L318" s="40"/>
      <c r="T318" s="17"/>
      <c r="U318" s="17"/>
      <c r="V318" s="17"/>
      <c r="W318" s="17"/>
      <c r="X318" s="17"/>
      <c r="Y318" s="17"/>
      <c r="Z318" s="17"/>
    </row>
    <row r="319" spans="1:26" x14ac:dyDescent="0.25">
      <c r="A319" s="35"/>
      <c r="B319" s="90" t="s">
        <v>67</v>
      </c>
      <c r="C319" s="35"/>
      <c r="D319" s="62"/>
      <c r="E319" s="62"/>
      <c r="F319" s="62">
        <v>11</v>
      </c>
      <c r="G319" s="62"/>
      <c r="H319" s="62"/>
      <c r="I319" s="218"/>
      <c r="J319" s="32"/>
      <c r="K319" s="39"/>
      <c r="L319" s="40"/>
      <c r="T319" s="17"/>
      <c r="U319" s="17"/>
      <c r="V319" s="17"/>
      <c r="W319" s="17"/>
      <c r="X319" s="17"/>
      <c r="Y319" s="17"/>
      <c r="Z319" s="17"/>
    </row>
    <row r="320" spans="1:26" x14ac:dyDescent="0.25">
      <c r="A320" s="35"/>
      <c r="B320" s="90" t="s">
        <v>68</v>
      </c>
      <c r="C320" s="35"/>
      <c r="D320" s="13"/>
      <c r="E320" s="14" t="s">
        <v>40</v>
      </c>
      <c r="F320" s="13"/>
      <c r="G320" s="15"/>
      <c r="H320" s="15"/>
      <c r="I320" s="30">
        <v>0.5</v>
      </c>
      <c r="J320" s="32"/>
      <c r="K320" s="39"/>
      <c r="L320" s="40"/>
      <c r="T320" s="17"/>
      <c r="U320" s="17"/>
      <c r="V320" s="17"/>
      <c r="W320" s="17"/>
      <c r="X320" s="17"/>
      <c r="Y320" s="17"/>
      <c r="Z320" s="17"/>
    </row>
    <row r="321" spans="1:26" ht="63" x14ac:dyDescent="0.25">
      <c r="A321" s="35"/>
      <c r="B321" s="94">
        <v>0.79166666666666663</v>
      </c>
      <c r="C321" s="55" t="s">
        <v>337</v>
      </c>
      <c r="D321" s="60">
        <v>68</v>
      </c>
      <c r="E321" s="60" t="s">
        <v>96</v>
      </c>
      <c r="F321" s="60" t="s">
        <v>338</v>
      </c>
      <c r="G321" s="61">
        <v>44588</v>
      </c>
      <c r="H321" s="62">
        <v>7481</v>
      </c>
      <c r="I321" s="218">
        <v>3</v>
      </c>
      <c r="J321" s="32"/>
      <c r="K321" s="39"/>
      <c r="L321" s="40"/>
      <c r="T321" s="17"/>
      <c r="U321" s="17"/>
      <c r="V321" s="17"/>
      <c r="W321" s="17"/>
      <c r="X321" s="17"/>
      <c r="Y321" s="17"/>
      <c r="Z321" s="17"/>
    </row>
    <row r="322" spans="1:26" ht="47.25" x14ac:dyDescent="0.25">
      <c r="A322" s="35"/>
      <c r="B322" s="94">
        <v>0.83333333333333337</v>
      </c>
      <c r="C322" s="55" t="s">
        <v>339</v>
      </c>
      <c r="D322" s="60" t="s">
        <v>340</v>
      </c>
      <c r="E322" s="60"/>
      <c r="F322" s="60"/>
      <c r="G322" s="60"/>
      <c r="H322" s="62"/>
      <c r="I322" s="218"/>
      <c r="J322" s="32"/>
      <c r="K322" s="39"/>
      <c r="L322" s="40"/>
      <c r="S322" s="17" t="s">
        <v>341</v>
      </c>
      <c r="T322" s="17"/>
      <c r="U322" s="17"/>
      <c r="V322" s="17"/>
      <c r="W322" s="17"/>
      <c r="X322" s="17"/>
      <c r="Y322" s="17"/>
      <c r="Z322" s="17"/>
    </row>
    <row r="323" spans="1:26" x14ac:dyDescent="0.25">
      <c r="A323" s="35"/>
      <c r="B323" s="94">
        <v>0.875</v>
      </c>
      <c r="C323" s="35"/>
      <c r="D323" s="62"/>
      <c r="E323" s="62"/>
      <c r="F323" s="62"/>
      <c r="G323" s="62"/>
      <c r="H323" s="62"/>
      <c r="I323" s="218"/>
      <c r="J323" s="32"/>
      <c r="K323" s="39"/>
      <c r="L323" s="40"/>
      <c r="S323" s="17"/>
      <c r="T323" s="17"/>
      <c r="U323" s="17"/>
      <c r="V323" s="17"/>
      <c r="W323" s="17"/>
      <c r="X323" s="17"/>
      <c r="Y323" s="17"/>
      <c r="Z323" s="17"/>
    </row>
    <row r="324" spans="1:26" x14ac:dyDescent="0.25">
      <c r="A324" s="35"/>
      <c r="B324" s="94">
        <v>0.91666666666666663</v>
      </c>
      <c r="C324" s="35"/>
      <c r="D324" s="62"/>
      <c r="E324" s="62"/>
      <c r="F324" s="62"/>
      <c r="G324" s="62"/>
      <c r="H324" s="62"/>
      <c r="I324" s="218"/>
      <c r="J324" s="32"/>
      <c r="K324" s="39"/>
      <c r="L324" s="40"/>
      <c r="S324" s="17"/>
      <c r="T324" s="17"/>
      <c r="U324" s="17"/>
      <c r="V324" s="17"/>
      <c r="W324" s="17"/>
      <c r="X324" s="17"/>
      <c r="Y324" s="17"/>
      <c r="Z324" s="17"/>
    </row>
    <row r="325" spans="1:26" x14ac:dyDescent="0.25">
      <c r="A325" s="35"/>
      <c r="B325" s="95">
        <v>0.94791666666666663</v>
      </c>
      <c r="C325" s="35"/>
      <c r="D325" s="62"/>
      <c r="E325" s="62"/>
      <c r="F325" s="62"/>
      <c r="G325" s="62"/>
      <c r="H325" s="62"/>
      <c r="I325" s="218"/>
      <c r="J325" s="32"/>
      <c r="K325" s="39"/>
      <c r="L325" s="40"/>
      <c r="S325" s="17"/>
      <c r="T325" s="17"/>
      <c r="U325" s="17"/>
      <c r="V325" s="17"/>
      <c r="W325" s="17"/>
      <c r="X325" s="17"/>
      <c r="Y325" s="17"/>
      <c r="Z325" s="17"/>
    </row>
    <row r="326" spans="1:26" x14ac:dyDescent="0.25">
      <c r="A326" s="80"/>
      <c r="B326" s="47"/>
      <c r="C326" s="47"/>
      <c r="D326" s="47"/>
      <c r="E326" s="47"/>
      <c r="F326" s="47"/>
      <c r="G326" s="96"/>
      <c r="H326" s="127">
        <f t="shared" ref="H326:I326" si="14">SUM(H308:H325)</f>
        <v>44584</v>
      </c>
      <c r="I326" s="51">
        <f t="shared" si="14"/>
        <v>15</v>
      </c>
      <c r="J326" s="52"/>
      <c r="K326" s="51">
        <f>SUM(K308:K325)</f>
        <v>0</v>
      </c>
      <c r="L326" s="40"/>
      <c r="U326" s="17"/>
      <c r="V326" s="17"/>
      <c r="W326" s="17"/>
      <c r="X326" s="17"/>
      <c r="Y326" s="17"/>
      <c r="Z326" s="17"/>
    </row>
    <row r="327" spans="1:26" ht="63" x14ac:dyDescent="0.25">
      <c r="A327" s="33">
        <f>A308+1</f>
        <v>44586</v>
      </c>
      <c r="B327" s="89" t="s">
        <v>54</v>
      </c>
      <c r="C327" s="55" t="s">
        <v>342</v>
      </c>
      <c r="D327" s="68">
        <v>68</v>
      </c>
      <c r="E327" s="68" t="s">
        <v>343</v>
      </c>
      <c r="F327" s="68" t="s">
        <v>344</v>
      </c>
      <c r="G327" s="69">
        <v>44588</v>
      </c>
      <c r="H327" s="67">
        <v>34420</v>
      </c>
      <c r="I327" s="218">
        <v>10</v>
      </c>
      <c r="J327" s="128" t="s">
        <v>345</v>
      </c>
      <c r="K327" s="39"/>
      <c r="L327" s="40"/>
      <c r="U327" s="17"/>
      <c r="V327" s="17"/>
      <c r="W327" s="17"/>
      <c r="X327" s="17"/>
      <c r="Y327" s="17"/>
      <c r="Z327" s="17"/>
    </row>
    <row r="328" spans="1:26" ht="157.5" x14ac:dyDescent="0.25">
      <c r="A328" s="41" t="s">
        <v>102</v>
      </c>
      <c r="B328" s="90" t="s">
        <v>57</v>
      </c>
      <c r="C328" s="55" t="s">
        <v>346</v>
      </c>
      <c r="D328" s="122" t="s">
        <v>347</v>
      </c>
      <c r="E328" s="122"/>
      <c r="F328" s="122">
        <v>2</v>
      </c>
      <c r="G328" s="122"/>
      <c r="H328" s="67"/>
      <c r="I328" s="218">
        <v>5</v>
      </c>
      <c r="J328" s="32" t="s">
        <v>348</v>
      </c>
      <c r="K328" s="39"/>
      <c r="L328" s="40"/>
      <c r="U328" s="17"/>
      <c r="V328" s="17"/>
      <c r="W328" s="17"/>
      <c r="X328" s="17"/>
      <c r="Y328" s="17"/>
      <c r="Z328" s="17"/>
    </row>
    <row r="329" spans="1:26" x14ac:dyDescent="0.25">
      <c r="A329" s="35"/>
      <c r="B329" s="90" t="s">
        <v>58</v>
      </c>
      <c r="C329" s="71"/>
      <c r="D329" s="122"/>
      <c r="E329" s="122"/>
      <c r="F329" s="122">
        <v>3</v>
      </c>
      <c r="G329" s="122"/>
      <c r="H329" s="67"/>
      <c r="I329" s="218"/>
      <c r="J329" s="32"/>
      <c r="K329" s="39"/>
      <c r="L329" s="40"/>
      <c r="U329" s="17"/>
      <c r="V329" s="17"/>
      <c r="W329" s="17"/>
      <c r="X329" s="17"/>
      <c r="Y329" s="17"/>
      <c r="Z329" s="17"/>
    </row>
    <row r="330" spans="1:26" x14ac:dyDescent="0.25">
      <c r="A330" s="35"/>
      <c r="B330" s="90" t="s">
        <v>59</v>
      </c>
      <c r="C330" s="35"/>
      <c r="D330" s="67"/>
      <c r="E330" s="67"/>
      <c r="F330" s="67">
        <v>4</v>
      </c>
      <c r="G330" s="67"/>
      <c r="H330" s="67"/>
      <c r="I330" s="218"/>
      <c r="J330" s="32"/>
      <c r="K330" s="39"/>
      <c r="L330" s="40"/>
      <c r="U330" s="17"/>
      <c r="V330" s="17"/>
      <c r="W330" s="17"/>
      <c r="X330" s="17"/>
      <c r="Y330" s="17"/>
      <c r="Z330" s="17"/>
    </row>
    <row r="331" spans="1:26" x14ac:dyDescent="0.25">
      <c r="A331" s="35"/>
      <c r="B331" s="90" t="s">
        <v>60</v>
      </c>
      <c r="C331" s="35"/>
      <c r="D331" s="67"/>
      <c r="E331" s="67"/>
      <c r="F331" s="67">
        <v>5</v>
      </c>
      <c r="G331" s="67"/>
      <c r="H331" s="67"/>
      <c r="I331" s="218"/>
      <c r="J331" s="32"/>
      <c r="K331" s="39"/>
      <c r="L331" s="40"/>
      <c r="U331" s="17"/>
      <c r="V331" s="17"/>
      <c r="W331" s="17"/>
      <c r="X331" s="17"/>
      <c r="Y331" s="17"/>
      <c r="Z331" s="17"/>
    </row>
    <row r="332" spans="1:26" x14ac:dyDescent="0.25">
      <c r="A332" s="35"/>
      <c r="B332" s="90" t="s">
        <v>61</v>
      </c>
      <c r="C332" s="35"/>
      <c r="D332" s="67"/>
      <c r="E332" s="67"/>
      <c r="F332" s="67">
        <v>6</v>
      </c>
      <c r="G332" s="67"/>
      <c r="H332" s="67"/>
      <c r="I332" s="218"/>
      <c r="J332" s="32"/>
      <c r="K332" s="39"/>
      <c r="L332" s="40"/>
      <c r="U332" s="17"/>
      <c r="V332" s="17"/>
      <c r="W332" s="17"/>
      <c r="X332" s="17"/>
      <c r="Y332" s="17"/>
      <c r="Z332" s="17"/>
    </row>
    <row r="333" spans="1:26" x14ac:dyDescent="0.25">
      <c r="A333" s="35"/>
      <c r="B333" s="90" t="s">
        <v>62</v>
      </c>
      <c r="C333" s="35"/>
      <c r="D333" s="67"/>
      <c r="E333" s="67"/>
      <c r="F333" s="67">
        <v>7</v>
      </c>
      <c r="G333" s="67"/>
      <c r="H333" s="67"/>
      <c r="I333" s="218"/>
      <c r="J333" s="32"/>
      <c r="K333" s="39"/>
      <c r="L333" s="40"/>
      <c r="T333" s="17"/>
      <c r="U333" s="17"/>
      <c r="V333" s="17"/>
      <c r="W333" s="17"/>
      <c r="X333" s="17"/>
      <c r="Y333" s="17"/>
      <c r="Z333" s="17"/>
    </row>
    <row r="334" spans="1:26" x14ac:dyDescent="0.25">
      <c r="A334" s="35"/>
      <c r="B334" s="90" t="s">
        <v>63</v>
      </c>
      <c r="C334" s="35"/>
      <c r="D334" s="67"/>
      <c r="E334" s="67"/>
      <c r="F334" s="67">
        <v>8</v>
      </c>
      <c r="G334" s="67"/>
      <c r="H334" s="67"/>
      <c r="I334" s="218"/>
      <c r="J334" s="32"/>
      <c r="K334" s="39"/>
      <c r="L334" s="40"/>
      <c r="T334" s="17"/>
      <c r="U334" s="17"/>
      <c r="V334" s="17"/>
      <c r="W334" s="17"/>
      <c r="X334" s="17"/>
      <c r="Y334" s="17"/>
      <c r="Z334" s="17"/>
    </row>
    <row r="335" spans="1:26" x14ac:dyDescent="0.25">
      <c r="A335" s="35"/>
      <c r="B335" s="90" t="s">
        <v>64</v>
      </c>
      <c r="C335" s="35"/>
      <c r="D335" s="67"/>
      <c r="E335" s="67"/>
      <c r="F335" s="67">
        <v>9</v>
      </c>
      <c r="G335" s="67"/>
      <c r="H335" s="67"/>
      <c r="I335" s="218"/>
      <c r="J335" s="32"/>
      <c r="K335" s="39"/>
      <c r="L335" s="40"/>
      <c r="T335" s="17"/>
      <c r="U335" s="17"/>
      <c r="V335" s="17"/>
      <c r="W335" s="17"/>
      <c r="X335" s="17"/>
      <c r="Y335" s="17"/>
      <c r="Z335" s="17"/>
    </row>
    <row r="336" spans="1:26" x14ac:dyDescent="0.25">
      <c r="A336" s="35"/>
      <c r="B336" s="90" t="s">
        <v>65</v>
      </c>
      <c r="C336" s="35"/>
      <c r="D336" s="67"/>
      <c r="E336" s="67"/>
      <c r="F336" s="67"/>
      <c r="G336" s="67"/>
      <c r="H336" s="67"/>
      <c r="J336" s="32"/>
      <c r="K336" s="39"/>
      <c r="L336" s="40"/>
      <c r="T336" s="17"/>
      <c r="U336" s="17"/>
      <c r="V336" s="17"/>
      <c r="W336" s="17"/>
      <c r="X336" s="17"/>
      <c r="Y336" s="17"/>
      <c r="Z336" s="17"/>
    </row>
    <row r="337" spans="1:26" x14ac:dyDescent="0.25">
      <c r="A337" s="35"/>
      <c r="B337" s="90" t="s">
        <v>66</v>
      </c>
      <c r="C337" s="35"/>
      <c r="D337" s="67"/>
      <c r="E337" s="67"/>
      <c r="F337" s="67"/>
      <c r="G337" s="67"/>
      <c r="H337" s="67"/>
      <c r="J337" s="32"/>
      <c r="K337" s="39"/>
      <c r="L337" s="40"/>
      <c r="T337" s="17"/>
      <c r="U337" s="17"/>
      <c r="V337" s="17"/>
      <c r="W337" s="17"/>
      <c r="X337" s="17"/>
      <c r="Y337" s="17"/>
      <c r="Z337" s="17"/>
    </row>
    <row r="338" spans="1:26" x14ac:dyDescent="0.25">
      <c r="A338" s="35"/>
      <c r="B338" s="90" t="s">
        <v>67</v>
      </c>
      <c r="C338" s="35"/>
      <c r="D338" s="67"/>
      <c r="E338" s="67"/>
      <c r="F338" s="67"/>
      <c r="G338" s="67"/>
      <c r="H338" s="67"/>
      <c r="J338" s="32"/>
      <c r="K338" s="39"/>
      <c r="L338" s="40"/>
      <c r="T338" s="17"/>
      <c r="U338" s="17"/>
      <c r="V338" s="17"/>
      <c r="W338" s="17"/>
      <c r="X338" s="17"/>
      <c r="Y338" s="17"/>
      <c r="Z338" s="17"/>
    </row>
    <row r="339" spans="1:26" x14ac:dyDescent="0.25">
      <c r="A339" s="35"/>
      <c r="B339" s="90" t="s">
        <v>68</v>
      </c>
      <c r="C339" s="35"/>
      <c r="D339" s="67"/>
      <c r="E339" s="67"/>
      <c r="F339" s="67"/>
      <c r="G339" s="67"/>
      <c r="H339" s="67"/>
      <c r="J339" s="32"/>
      <c r="K339" s="39"/>
      <c r="L339" s="40"/>
      <c r="T339" s="17"/>
      <c r="U339" s="17"/>
      <c r="V339" s="17"/>
      <c r="W339" s="17"/>
      <c r="X339" s="17"/>
      <c r="Y339" s="17"/>
      <c r="Z339" s="17"/>
    </row>
    <row r="340" spans="1:26" x14ac:dyDescent="0.25">
      <c r="A340" s="35"/>
      <c r="B340" s="94">
        <v>0.79166666666666663</v>
      </c>
      <c r="C340" s="35"/>
      <c r="D340" s="67"/>
      <c r="E340" s="67"/>
      <c r="F340" s="67"/>
      <c r="G340" s="67"/>
      <c r="H340" s="67"/>
      <c r="J340" s="32"/>
      <c r="K340" s="39"/>
      <c r="L340" s="40"/>
      <c r="T340" s="17"/>
      <c r="U340" s="17"/>
      <c r="V340" s="17"/>
      <c r="W340" s="17"/>
      <c r="X340" s="17"/>
      <c r="Y340" s="17"/>
      <c r="Z340" s="17"/>
    </row>
    <row r="341" spans="1:26" x14ac:dyDescent="0.25">
      <c r="A341" s="35"/>
      <c r="B341" s="94">
        <v>0.83333333333333337</v>
      </c>
      <c r="C341" s="35"/>
      <c r="D341" s="67"/>
      <c r="E341" s="67"/>
      <c r="F341" s="67"/>
      <c r="G341" s="67"/>
      <c r="H341" s="67"/>
      <c r="J341" s="32"/>
      <c r="K341" s="39"/>
      <c r="L341" s="40"/>
      <c r="T341" s="17"/>
      <c r="U341" s="17"/>
      <c r="V341" s="17"/>
      <c r="W341" s="17"/>
      <c r="X341" s="17"/>
      <c r="Y341" s="17"/>
      <c r="Z341" s="17"/>
    </row>
    <row r="342" spans="1:26" x14ac:dyDescent="0.25">
      <c r="A342" s="35"/>
      <c r="B342" s="94">
        <v>0.875</v>
      </c>
      <c r="C342" s="35"/>
      <c r="D342" s="67"/>
      <c r="E342" s="67"/>
      <c r="F342" s="67"/>
      <c r="G342" s="67"/>
      <c r="H342" s="67"/>
      <c r="J342" s="32"/>
      <c r="K342" s="39"/>
      <c r="L342" s="40"/>
      <c r="T342" s="17"/>
      <c r="U342" s="17"/>
      <c r="V342" s="17"/>
      <c r="W342" s="17"/>
      <c r="X342" s="17"/>
      <c r="Y342" s="17"/>
      <c r="Z342" s="17"/>
    </row>
    <row r="343" spans="1:26" x14ac:dyDescent="0.25">
      <c r="A343" s="35"/>
      <c r="B343" s="94">
        <v>0.91666666666666663</v>
      </c>
      <c r="C343" s="35"/>
      <c r="D343" s="67"/>
      <c r="E343" s="67"/>
      <c r="F343" s="67"/>
      <c r="G343" s="67"/>
      <c r="H343" s="67"/>
      <c r="I343" s="218"/>
      <c r="J343" s="32"/>
      <c r="K343" s="39"/>
      <c r="L343" s="40"/>
      <c r="T343" s="17"/>
      <c r="U343" s="17"/>
      <c r="V343" s="17"/>
      <c r="W343" s="17"/>
      <c r="X343" s="17"/>
      <c r="Y343" s="17"/>
      <c r="Z343" s="17"/>
    </row>
    <row r="344" spans="1:26" x14ac:dyDescent="0.25">
      <c r="A344" s="35"/>
      <c r="B344" s="95">
        <v>0.94791666666666663</v>
      </c>
      <c r="C344" s="35"/>
      <c r="D344" s="62"/>
      <c r="E344" s="62"/>
      <c r="F344" s="62"/>
      <c r="G344" s="62"/>
      <c r="H344" s="62"/>
      <c r="I344" s="218"/>
      <c r="J344" s="32"/>
      <c r="K344" s="39"/>
      <c r="L344" s="40"/>
      <c r="T344" s="17"/>
      <c r="U344" s="17"/>
      <c r="V344" s="17"/>
      <c r="W344" s="17"/>
      <c r="X344" s="17"/>
      <c r="Y344" s="17"/>
      <c r="Z344" s="17"/>
    </row>
    <row r="345" spans="1:26" x14ac:dyDescent="0.25">
      <c r="A345" s="80"/>
      <c r="B345" s="47"/>
      <c r="C345" s="47"/>
      <c r="D345" s="47"/>
      <c r="E345" s="47"/>
      <c r="F345" s="47"/>
      <c r="G345" s="96"/>
      <c r="H345" s="51">
        <f t="shared" ref="H345:I345" si="15">SUM(H327:H344)</f>
        <v>34420</v>
      </c>
      <c r="I345" s="51">
        <f t="shared" si="15"/>
        <v>15</v>
      </c>
      <c r="J345" s="52"/>
      <c r="K345" s="51">
        <f>SUM(K327:K344)</f>
        <v>0</v>
      </c>
      <c r="L345" s="40"/>
      <c r="T345" s="17"/>
      <c r="U345" s="17"/>
      <c r="V345" s="17"/>
      <c r="W345" s="17"/>
      <c r="X345" s="17"/>
      <c r="Y345" s="17"/>
      <c r="Z345" s="17"/>
    </row>
    <row r="346" spans="1:26" x14ac:dyDescent="0.25">
      <c r="A346" s="33">
        <f>A327+1</f>
        <v>44587</v>
      </c>
      <c r="B346" s="89" t="s">
        <v>54</v>
      </c>
      <c r="C346" s="35"/>
      <c r="D346" s="129" t="s">
        <v>349</v>
      </c>
      <c r="E346" s="67"/>
      <c r="F346" s="67"/>
      <c r="G346" s="67"/>
      <c r="H346" s="67"/>
      <c r="I346" s="218"/>
      <c r="J346" s="32"/>
      <c r="K346" s="39"/>
      <c r="L346" s="40"/>
      <c r="T346" s="17"/>
      <c r="U346" s="17"/>
      <c r="V346" s="17"/>
      <c r="W346" s="17"/>
      <c r="X346" s="17"/>
      <c r="Y346" s="17"/>
      <c r="Z346" s="17"/>
    </row>
    <row r="347" spans="1:26" ht="31.5" x14ac:dyDescent="0.25">
      <c r="A347" s="41" t="s">
        <v>117</v>
      </c>
      <c r="B347" s="90" t="s">
        <v>57</v>
      </c>
      <c r="C347" s="55" t="s">
        <v>350</v>
      </c>
      <c r="D347" s="60">
        <v>72</v>
      </c>
      <c r="E347" s="60" t="s">
        <v>351</v>
      </c>
      <c r="F347" s="60" t="s">
        <v>352</v>
      </c>
      <c r="G347" s="61">
        <v>44594</v>
      </c>
      <c r="H347" s="62">
        <v>16112</v>
      </c>
      <c r="I347" s="218">
        <v>5</v>
      </c>
      <c r="J347" s="32"/>
      <c r="K347" s="39"/>
      <c r="L347" s="40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78.75" x14ac:dyDescent="0.25">
      <c r="A348" s="43"/>
      <c r="B348" s="90" t="s">
        <v>58</v>
      </c>
      <c r="C348" s="55" t="s">
        <v>353</v>
      </c>
      <c r="D348" s="60"/>
      <c r="E348" s="60"/>
      <c r="F348" s="60">
        <v>2</v>
      </c>
      <c r="G348" s="60"/>
      <c r="H348" s="62"/>
      <c r="I348" s="218"/>
      <c r="J348" s="32"/>
      <c r="K348" s="39"/>
      <c r="L348" s="40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x14ac:dyDescent="0.25">
      <c r="A349" s="35"/>
      <c r="B349" s="90" t="s">
        <v>59</v>
      </c>
      <c r="C349" s="35"/>
      <c r="D349" s="62"/>
      <c r="E349" s="62"/>
      <c r="F349" s="62">
        <v>3</v>
      </c>
      <c r="G349" s="62"/>
      <c r="H349" s="62"/>
      <c r="I349" s="218"/>
      <c r="J349" s="32"/>
      <c r="K349" s="39"/>
      <c r="L349" s="40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x14ac:dyDescent="0.25">
      <c r="A350" s="35"/>
      <c r="B350" s="90" t="s">
        <v>60</v>
      </c>
      <c r="C350" s="35"/>
      <c r="D350" s="62"/>
      <c r="E350" s="62"/>
      <c r="F350" s="62">
        <v>4</v>
      </c>
      <c r="G350" s="62"/>
      <c r="H350" s="62"/>
      <c r="I350" s="218"/>
      <c r="J350" s="32"/>
      <c r="K350" s="39"/>
      <c r="L350" s="40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63" x14ac:dyDescent="0.25">
      <c r="A351" s="35"/>
      <c r="B351" s="90" t="s">
        <v>61</v>
      </c>
      <c r="C351" s="55" t="s">
        <v>354</v>
      </c>
      <c r="D351" s="60">
        <v>72</v>
      </c>
      <c r="E351" s="60" t="s">
        <v>85</v>
      </c>
      <c r="F351" s="60" t="s">
        <v>355</v>
      </c>
      <c r="G351" s="61">
        <v>44593</v>
      </c>
      <c r="H351" s="62">
        <v>11624</v>
      </c>
      <c r="I351" s="218">
        <v>4</v>
      </c>
      <c r="J351" s="32"/>
      <c r="K351" s="39"/>
      <c r="L351" s="40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63" x14ac:dyDescent="0.25">
      <c r="A352" s="35"/>
      <c r="B352" s="90" t="s">
        <v>62</v>
      </c>
      <c r="C352" s="55" t="s">
        <v>356</v>
      </c>
      <c r="D352" s="60"/>
      <c r="E352" s="60"/>
      <c r="F352" s="60">
        <v>2</v>
      </c>
      <c r="G352" s="60"/>
      <c r="H352" s="62"/>
      <c r="I352" s="218"/>
      <c r="J352" s="32"/>
      <c r="K352" s="39"/>
      <c r="L352" s="40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x14ac:dyDescent="0.25">
      <c r="A353" s="35"/>
      <c r="B353" s="90" t="s">
        <v>63</v>
      </c>
      <c r="C353" s="35"/>
      <c r="D353" s="86"/>
      <c r="E353" s="86"/>
      <c r="F353" s="86">
        <v>3</v>
      </c>
      <c r="G353" s="86"/>
      <c r="H353" s="86"/>
      <c r="J353" s="32"/>
      <c r="K353" s="39"/>
      <c r="L353" s="40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x14ac:dyDescent="0.25">
      <c r="A354" s="35"/>
      <c r="B354" s="90" t="s">
        <v>64</v>
      </c>
      <c r="C354" s="35"/>
      <c r="D354" s="86"/>
      <c r="E354" s="86"/>
      <c r="F354" s="86">
        <v>4</v>
      </c>
      <c r="G354" s="86"/>
      <c r="H354" s="86"/>
      <c r="J354" s="32"/>
      <c r="K354" s="39"/>
      <c r="L354" s="40"/>
      <c r="T354" s="17"/>
      <c r="U354" s="17"/>
      <c r="V354" s="17"/>
      <c r="W354" s="17"/>
      <c r="X354" s="17"/>
      <c r="Y354" s="17"/>
      <c r="Z354" s="17"/>
    </row>
    <row r="355" spans="1:26" ht="63" x14ac:dyDescent="0.25">
      <c r="A355" s="35"/>
      <c r="B355" s="90" t="s">
        <v>65</v>
      </c>
      <c r="C355" s="55" t="s">
        <v>357</v>
      </c>
      <c r="D355" s="103">
        <v>72</v>
      </c>
      <c r="E355" s="84" t="s">
        <v>358</v>
      </c>
      <c r="F355" s="84" t="s">
        <v>359</v>
      </c>
      <c r="G355" s="84" t="s">
        <v>360</v>
      </c>
      <c r="H355" s="62">
        <v>9600</v>
      </c>
      <c r="I355" s="218">
        <v>4</v>
      </c>
      <c r="J355" s="32"/>
      <c r="K355" s="39"/>
      <c r="L355" s="40"/>
      <c r="T355" s="17"/>
      <c r="U355" s="17"/>
      <c r="V355" s="17"/>
      <c r="W355" s="17"/>
      <c r="X355" s="17"/>
      <c r="Y355" s="17"/>
      <c r="Z355" s="17"/>
    </row>
    <row r="356" spans="1:26" ht="63" x14ac:dyDescent="0.25">
      <c r="A356" s="35"/>
      <c r="B356" s="90" t="s">
        <v>66</v>
      </c>
      <c r="C356" s="55" t="s">
        <v>361</v>
      </c>
      <c r="D356" s="60"/>
      <c r="E356" s="60"/>
      <c r="F356" s="60">
        <v>2</v>
      </c>
      <c r="G356" s="130"/>
      <c r="H356" s="62"/>
      <c r="I356" s="218"/>
      <c r="J356" s="32"/>
      <c r="K356" s="39"/>
      <c r="L356" s="40"/>
      <c r="T356" s="17"/>
      <c r="U356" s="17"/>
      <c r="V356" s="17"/>
      <c r="W356" s="17"/>
      <c r="X356" s="17"/>
      <c r="Y356" s="17"/>
      <c r="Z356" s="17"/>
    </row>
    <row r="357" spans="1:26" x14ac:dyDescent="0.25">
      <c r="A357" s="41" t="s">
        <v>127</v>
      </c>
      <c r="B357" s="90" t="s">
        <v>67</v>
      </c>
      <c r="C357" s="35"/>
      <c r="D357" s="62"/>
      <c r="E357" s="62"/>
      <c r="F357" s="62">
        <v>3</v>
      </c>
      <c r="G357" s="62"/>
      <c r="H357" s="62"/>
      <c r="I357" s="218"/>
      <c r="J357" s="32"/>
      <c r="K357" s="39"/>
      <c r="L357" s="40"/>
      <c r="T357" s="17"/>
      <c r="U357" s="17"/>
      <c r="V357" s="17"/>
      <c r="W357" s="17"/>
      <c r="X357" s="17"/>
      <c r="Y357" s="17"/>
      <c r="Z357" s="17"/>
    </row>
    <row r="358" spans="1:26" x14ac:dyDescent="0.25">
      <c r="A358" s="35"/>
      <c r="B358" s="90" t="s">
        <v>68</v>
      </c>
      <c r="C358" s="35"/>
      <c r="D358" s="62"/>
      <c r="E358" s="62"/>
      <c r="F358" s="62">
        <v>4</v>
      </c>
      <c r="G358" s="62"/>
      <c r="H358" s="62"/>
      <c r="I358" s="218"/>
      <c r="J358" s="32"/>
      <c r="K358" s="39"/>
      <c r="L358" s="40"/>
      <c r="T358" s="17"/>
      <c r="U358" s="17"/>
      <c r="V358" s="17"/>
      <c r="W358" s="17"/>
      <c r="X358" s="17"/>
      <c r="Y358" s="17"/>
      <c r="Z358" s="17"/>
    </row>
    <row r="359" spans="1:26" ht="47.25" x14ac:dyDescent="0.25">
      <c r="A359" s="35"/>
      <c r="B359" s="94">
        <v>0.79166666666666663</v>
      </c>
      <c r="C359" s="55" t="s">
        <v>362</v>
      </c>
      <c r="D359" s="60">
        <v>51</v>
      </c>
      <c r="E359" s="60" t="s">
        <v>363</v>
      </c>
      <c r="F359" s="60" t="s">
        <v>364</v>
      </c>
      <c r="G359" s="61">
        <v>44592</v>
      </c>
      <c r="H359" s="62">
        <v>4500</v>
      </c>
      <c r="I359" s="218">
        <v>2</v>
      </c>
      <c r="J359" s="32"/>
      <c r="K359" s="39"/>
      <c r="L359" s="40"/>
      <c r="T359" s="17"/>
      <c r="U359" s="17"/>
      <c r="V359" s="17"/>
      <c r="W359" s="17"/>
      <c r="X359" s="17"/>
      <c r="Y359" s="17"/>
      <c r="Z359" s="17"/>
    </row>
    <row r="360" spans="1:26" ht="31.5" x14ac:dyDescent="0.25">
      <c r="A360" s="35"/>
      <c r="B360" s="94">
        <v>0.83333333333333337</v>
      </c>
      <c r="C360" s="55" t="s">
        <v>365</v>
      </c>
      <c r="D360" s="60"/>
      <c r="E360" s="60"/>
      <c r="F360" s="60"/>
      <c r="G360" s="110" t="s">
        <v>366</v>
      </c>
      <c r="H360" s="62"/>
      <c r="J360" s="32"/>
      <c r="K360" s="39"/>
      <c r="L360" s="40"/>
      <c r="T360" s="17"/>
      <c r="U360" s="17"/>
      <c r="V360" s="17"/>
      <c r="W360" s="17"/>
      <c r="X360" s="17"/>
      <c r="Y360" s="17"/>
      <c r="Z360" s="17"/>
    </row>
    <row r="361" spans="1:26" ht="63" x14ac:dyDescent="0.25">
      <c r="A361" s="35"/>
      <c r="B361" s="94">
        <v>0.875</v>
      </c>
      <c r="C361" s="97" t="s">
        <v>367</v>
      </c>
      <c r="D361" s="60">
        <v>60</v>
      </c>
      <c r="E361" s="60" t="s">
        <v>248</v>
      </c>
      <c r="F361" s="60" t="s">
        <v>368</v>
      </c>
      <c r="G361" s="61">
        <v>44593</v>
      </c>
      <c r="H361" s="86">
        <v>3056</v>
      </c>
      <c r="I361" s="30">
        <v>1</v>
      </c>
      <c r="J361" s="32"/>
      <c r="K361" s="39"/>
      <c r="L361" s="40"/>
      <c r="T361" s="17"/>
      <c r="U361" s="17"/>
      <c r="V361" s="17"/>
      <c r="W361" s="17"/>
      <c r="X361" s="17"/>
      <c r="Y361" s="17"/>
      <c r="Z361" s="17"/>
    </row>
    <row r="362" spans="1:26" x14ac:dyDescent="0.25">
      <c r="A362" s="35"/>
      <c r="B362" s="94">
        <v>0.91666666666666663</v>
      </c>
      <c r="C362" s="35"/>
      <c r="D362" s="62"/>
      <c r="E362" s="62"/>
      <c r="F362" s="62"/>
      <c r="G362" s="62"/>
      <c r="H362" s="62"/>
      <c r="I362" s="218"/>
      <c r="J362" s="32"/>
      <c r="K362" s="39"/>
      <c r="L362" s="40"/>
      <c r="T362" s="17"/>
      <c r="U362" s="17"/>
      <c r="V362" s="17"/>
      <c r="W362" s="17"/>
      <c r="X362" s="17"/>
      <c r="Y362" s="17"/>
      <c r="Z362" s="17"/>
    </row>
    <row r="363" spans="1:26" x14ac:dyDescent="0.25">
      <c r="A363" s="35"/>
      <c r="B363" s="95">
        <v>0.94791666666666663</v>
      </c>
      <c r="C363" s="35"/>
      <c r="D363" s="62"/>
      <c r="E363" s="62"/>
      <c r="F363" s="62"/>
      <c r="G363" s="62"/>
      <c r="H363" s="62"/>
      <c r="I363" s="218"/>
      <c r="J363" s="32"/>
      <c r="K363" s="39"/>
      <c r="L363" s="40"/>
      <c r="T363" s="17"/>
      <c r="U363" s="17"/>
      <c r="V363" s="17"/>
      <c r="W363" s="17"/>
      <c r="X363" s="17"/>
      <c r="Y363" s="17"/>
      <c r="Z363" s="17"/>
    </row>
    <row r="364" spans="1:26" x14ac:dyDescent="0.25">
      <c r="A364" s="80"/>
      <c r="B364" s="47"/>
      <c r="C364" s="47"/>
      <c r="D364" s="47"/>
      <c r="E364" s="47"/>
      <c r="F364" s="47"/>
      <c r="G364" s="96"/>
      <c r="H364" s="51">
        <f t="shared" ref="H364:I364" si="16">SUM(H346:H363)</f>
        <v>44892</v>
      </c>
      <c r="I364" s="51">
        <f t="shared" si="16"/>
        <v>16</v>
      </c>
      <c r="J364" s="52"/>
      <c r="K364" s="51">
        <f>SUM(K346:K363)</f>
        <v>0</v>
      </c>
      <c r="L364" s="40"/>
      <c r="T364" s="17"/>
      <c r="U364" s="17"/>
      <c r="V364" s="17"/>
      <c r="W364" s="17"/>
      <c r="X364" s="17"/>
      <c r="Y364" s="17"/>
      <c r="Z364" s="17"/>
    </row>
    <row r="365" spans="1:26" ht="110.25" x14ac:dyDescent="0.25">
      <c r="A365" s="33">
        <f>A346+1</f>
        <v>44588</v>
      </c>
      <c r="B365" s="89" t="s">
        <v>54</v>
      </c>
      <c r="C365" s="55" t="s">
        <v>369</v>
      </c>
      <c r="D365" s="56">
        <v>60</v>
      </c>
      <c r="E365" s="57" t="s">
        <v>140</v>
      </c>
      <c r="F365" s="57" t="s">
        <v>370</v>
      </c>
      <c r="G365" s="58">
        <v>44587</v>
      </c>
      <c r="H365" s="67">
        <v>6058</v>
      </c>
      <c r="I365" s="218">
        <v>3</v>
      </c>
      <c r="J365" s="32"/>
      <c r="K365" s="39"/>
      <c r="L365" s="40"/>
      <c r="T365" s="17"/>
      <c r="U365" s="17"/>
      <c r="V365" s="17"/>
      <c r="W365" s="17"/>
      <c r="X365" s="17"/>
      <c r="Y365" s="17"/>
      <c r="Z365" s="17"/>
    </row>
    <row r="366" spans="1:26" ht="47.25" x14ac:dyDescent="0.25">
      <c r="A366" s="41" t="s">
        <v>137</v>
      </c>
      <c r="B366" s="90" t="s">
        <v>57</v>
      </c>
      <c r="C366" s="55" t="s">
        <v>371</v>
      </c>
      <c r="D366" s="65"/>
      <c r="E366" s="65"/>
      <c r="F366" s="65"/>
      <c r="G366" s="65"/>
      <c r="H366" s="65"/>
      <c r="I366" s="30"/>
      <c r="J366" s="32"/>
      <c r="K366" s="39"/>
      <c r="L366" s="40"/>
      <c r="T366" s="17"/>
      <c r="U366" s="17"/>
      <c r="V366" s="17"/>
      <c r="W366" s="17"/>
      <c r="X366" s="17"/>
      <c r="Y366" s="17"/>
      <c r="Z366" s="17"/>
    </row>
    <row r="367" spans="1:26" ht="47.25" x14ac:dyDescent="0.25">
      <c r="A367" s="35"/>
      <c r="B367" s="90" t="s">
        <v>58</v>
      </c>
      <c r="C367" s="97" t="s">
        <v>372</v>
      </c>
      <c r="D367" s="68">
        <v>60</v>
      </c>
      <c r="E367" s="68" t="s">
        <v>70</v>
      </c>
      <c r="F367" s="68" t="s">
        <v>373</v>
      </c>
      <c r="G367" s="69">
        <v>44594</v>
      </c>
      <c r="H367" s="65">
        <v>5271</v>
      </c>
      <c r="I367" s="30">
        <v>2</v>
      </c>
      <c r="J367" s="32"/>
      <c r="K367" s="39"/>
      <c r="L367" s="40"/>
      <c r="T367" s="17"/>
      <c r="U367" s="17"/>
      <c r="V367" s="17"/>
      <c r="W367" s="17"/>
      <c r="X367" s="17"/>
      <c r="Y367" s="17"/>
      <c r="Z367" s="17"/>
    </row>
    <row r="368" spans="1:26" ht="31.5" x14ac:dyDescent="0.25">
      <c r="A368" s="35"/>
      <c r="B368" s="90" t="s">
        <v>59</v>
      </c>
      <c r="C368" s="97" t="s">
        <v>374</v>
      </c>
      <c r="D368" s="67"/>
      <c r="E368" s="67"/>
      <c r="F368" s="67"/>
      <c r="G368" s="67"/>
      <c r="H368" s="67"/>
      <c r="I368" s="30"/>
      <c r="J368" s="32"/>
      <c r="K368" s="39"/>
      <c r="L368" s="40"/>
      <c r="T368" s="17"/>
      <c r="U368" s="17"/>
      <c r="V368" s="17"/>
      <c r="W368" s="17"/>
      <c r="X368" s="17"/>
      <c r="Y368" s="17"/>
      <c r="Z368" s="17"/>
    </row>
    <row r="369" spans="1:26" ht="126" x14ac:dyDescent="0.25">
      <c r="A369" s="35"/>
      <c r="B369" s="90" t="s">
        <v>60</v>
      </c>
      <c r="C369" s="55" t="s">
        <v>375</v>
      </c>
      <c r="D369" s="68">
        <v>72</v>
      </c>
      <c r="E369" s="68" t="s">
        <v>291</v>
      </c>
      <c r="F369" s="68" t="s">
        <v>376</v>
      </c>
      <c r="G369" s="69">
        <v>44593</v>
      </c>
      <c r="H369" s="67">
        <v>3627</v>
      </c>
      <c r="I369" s="218">
        <v>1</v>
      </c>
      <c r="J369" s="32"/>
      <c r="K369" s="39"/>
      <c r="L369" s="40"/>
      <c r="T369" s="17"/>
      <c r="U369" s="17"/>
      <c r="V369" s="17"/>
      <c r="W369" s="17"/>
      <c r="X369" s="17"/>
      <c r="Y369" s="17"/>
      <c r="Z369" s="17"/>
    </row>
    <row r="370" spans="1:26" ht="47.25" x14ac:dyDescent="0.25">
      <c r="A370" s="35"/>
      <c r="B370" s="90" t="s">
        <v>61</v>
      </c>
      <c r="C370" s="97" t="s">
        <v>377</v>
      </c>
      <c r="D370" s="68">
        <v>72</v>
      </c>
      <c r="E370" s="68" t="s">
        <v>85</v>
      </c>
      <c r="F370" s="68" t="s">
        <v>378</v>
      </c>
      <c r="G370" s="69">
        <v>44593</v>
      </c>
      <c r="H370" s="65">
        <v>9900</v>
      </c>
      <c r="I370" s="30">
        <v>3</v>
      </c>
      <c r="J370" s="32"/>
      <c r="K370" s="39"/>
      <c r="L370" s="40"/>
      <c r="T370" s="17"/>
      <c r="U370" s="17"/>
      <c r="V370" s="17"/>
      <c r="W370" s="17"/>
      <c r="X370" s="17"/>
      <c r="Y370" s="17"/>
      <c r="Z370" s="17"/>
    </row>
    <row r="371" spans="1:26" x14ac:dyDescent="0.25">
      <c r="A371" s="35"/>
      <c r="B371" s="90" t="s">
        <v>62</v>
      </c>
      <c r="C371" s="35"/>
      <c r="D371" s="65"/>
      <c r="E371" s="65"/>
      <c r="F371" s="65">
        <v>2</v>
      </c>
      <c r="G371" s="65"/>
      <c r="H371" s="65"/>
      <c r="I371" s="30"/>
      <c r="J371" s="32"/>
      <c r="K371" s="39"/>
      <c r="L371" s="40"/>
      <c r="T371" s="17"/>
      <c r="U371" s="17"/>
      <c r="V371" s="17"/>
      <c r="W371" s="17"/>
      <c r="X371" s="17"/>
      <c r="Y371" s="17"/>
      <c r="Z371" s="17"/>
    </row>
    <row r="372" spans="1:26" x14ac:dyDescent="0.25">
      <c r="A372" s="35"/>
      <c r="B372" s="90" t="s">
        <v>63</v>
      </c>
      <c r="C372" s="35"/>
      <c r="D372" s="65"/>
      <c r="E372" s="65"/>
      <c r="F372" s="65">
        <v>3</v>
      </c>
      <c r="G372" s="65"/>
      <c r="H372" s="65"/>
      <c r="I372" s="30"/>
      <c r="J372" s="32"/>
      <c r="K372" s="39"/>
      <c r="L372" s="40"/>
      <c r="T372" s="17"/>
      <c r="U372" s="17"/>
      <c r="V372" s="17"/>
      <c r="W372" s="17"/>
      <c r="X372" s="17"/>
      <c r="Y372" s="17"/>
      <c r="Z372" s="17"/>
    </row>
    <row r="373" spans="1:26" ht="63" x14ac:dyDescent="0.25">
      <c r="A373" s="35"/>
      <c r="B373" s="90" t="s">
        <v>64</v>
      </c>
      <c r="C373" s="55" t="s">
        <v>379</v>
      </c>
      <c r="D373" s="68">
        <v>72</v>
      </c>
      <c r="E373" s="68" t="s">
        <v>204</v>
      </c>
      <c r="F373" s="68" t="s">
        <v>380</v>
      </c>
      <c r="G373" s="69">
        <v>44593</v>
      </c>
      <c r="H373" s="67">
        <v>2300</v>
      </c>
      <c r="I373" s="218">
        <v>1</v>
      </c>
      <c r="J373" s="32"/>
      <c r="K373" s="39"/>
      <c r="L373" s="40"/>
      <c r="T373" s="17"/>
      <c r="U373" s="17"/>
      <c r="V373" s="17"/>
      <c r="W373" s="17"/>
      <c r="X373" s="17"/>
      <c r="Y373" s="17"/>
      <c r="Z373" s="17"/>
    </row>
    <row r="374" spans="1:26" ht="63" x14ac:dyDescent="0.25">
      <c r="A374" s="35"/>
      <c r="B374" s="90" t="s">
        <v>65</v>
      </c>
      <c r="C374" s="97" t="s">
        <v>381</v>
      </c>
      <c r="D374" s="68">
        <v>72</v>
      </c>
      <c r="E374" s="68" t="s">
        <v>266</v>
      </c>
      <c r="F374" s="68" t="s">
        <v>382</v>
      </c>
      <c r="G374" s="69">
        <v>44592</v>
      </c>
      <c r="H374" s="67">
        <v>8167</v>
      </c>
      <c r="I374" s="218">
        <v>3</v>
      </c>
      <c r="J374" s="32"/>
      <c r="K374" s="39"/>
      <c r="L374" s="40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47.25" x14ac:dyDescent="0.25">
      <c r="A375" s="35"/>
      <c r="B375" s="90" t="s">
        <v>66</v>
      </c>
      <c r="C375" s="97" t="s">
        <v>383</v>
      </c>
      <c r="D375" s="68"/>
      <c r="E375" s="68"/>
      <c r="F375" s="68">
        <v>2</v>
      </c>
      <c r="G375" s="68"/>
      <c r="H375" s="67"/>
      <c r="I375" s="218"/>
      <c r="J375" s="32"/>
      <c r="K375" s="39"/>
      <c r="L375" s="40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x14ac:dyDescent="0.25">
      <c r="A376" s="35"/>
      <c r="B376" s="90" t="s">
        <v>67</v>
      </c>
      <c r="C376" s="43"/>
      <c r="D376" s="68"/>
      <c r="E376" s="68"/>
      <c r="F376" s="68">
        <v>3</v>
      </c>
      <c r="G376" s="68"/>
      <c r="H376" s="68"/>
      <c r="J376" s="32"/>
      <c r="K376" s="39"/>
      <c r="L376" s="40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63" x14ac:dyDescent="0.25">
      <c r="A377" s="35"/>
      <c r="B377" s="90" t="s">
        <v>68</v>
      </c>
      <c r="C377" s="97" t="s">
        <v>384</v>
      </c>
      <c r="D377" s="68">
        <v>72</v>
      </c>
      <c r="E377" s="68" t="s">
        <v>91</v>
      </c>
      <c r="F377" s="68" t="s">
        <v>385</v>
      </c>
      <c r="G377" s="69">
        <v>44596</v>
      </c>
      <c r="H377" s="67">
        <v>3097</v>
      </c>
      <c r="I377" s="218">
        <v>1</v>
      </c>
      <c r="J377" s="32"/>
      <c r="K377" s="39"/>
      <c r="L377" s="40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x14ac:dyDescent="0.25">
      <c r="A378" s="35"/>
      <c r="B378" s="94">
        <v>0.79166666666666663</v>
      </c>
      <c r="C378" s="35"/>
      <c r="D378" s="67"/>
      <c r="E378" s="67"/>
      <c r="F378" s="67"/>
      <c r="G378" s="67"/>
      <c r="H378" s="67"/>
      <c r="J378" s="32"/>
      <c r="K378" s="39"/>
      <c r="L378" s="40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x14ac:dyDescent="0.25">
      <c r="A379" s="35"/>
      <c r="B379" s="94">
        <v>0.83333333333333337</v>
      </c>
      <c r="C379" s="35"/>
      <c r="D379" s="67"/>
      <c r="E379" s="67"/>
      <c r="F379" s="67"/>
      <c r="G379" s="67"/>
      <c r="H379" s="67"/>
      <c r="J379" s="32"/>
      <c r="K379" s="39"/>
      <c r="L379" s="40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x14ac:dyDescent="0.25">
      <c r="A380" s="35"/>
      <c r="B380" s="94">
        <v>0.875</v>
      </c>
      <c r="C380" s="35"/>
      <c r="D380" s="67"/>
      <c r="E380" s="67"/>
      <c r="F380" s="67"/>
      <c r="G380" s="67"/>
      <c r="H380" s="67"/>
      <c r="J380" s="32"/>
      <c r="K380" s="39"/>
      <c r="L380" s="40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x14ac:dyDescent="0.25">
      <c r="A381" s="35"/>
      <c r="B381" s="94">
        <v>0.91666666666666663</v>
      </c>
      <c r="C381" s="35"/>
      <c r="D381" s="67"/>
      <c r="E381" s="67"/>
      <c r="F381" s="67"/>
      <c r="G381" s="67"/>
      <c r="H381" s="67"/>
      <c r="I381" s="218"/>
      <c r="J381" s="32"/>
      <c r="K381" s="39"/>
      <c r="L381" s="40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x14ac:dyDescent="0.25">
      <c r="A382" s="35"/>
      <c r="B382" s="95">
        <v>0.94791666666666663</v>
      </c>
      <c r="C382" s="35"/>
      <c r="D382" s="67"/>
      <c r="E382" s="67"/>
      <c r="F382" s="67"/>
      <c r="G382" s="67"/>
      <c r="H382" s="67"/>
      <c r="I382" s="218"/>
      <c r="J382" s="32"/>
      <c r="K382" s="39"/>
      <c r="L382" s="40"/>
      <c r="T382" s="17"/>
      <c r="U382" s="17"/>
      <c r="V382" s="17"/>
      <c r="W382" s="17"/>
      <c r="X382" s="17"/>
      <c r="Y382" s="17"/>
      <c r="Z382" s="17"/>
    </row>
    <row r="383" spans="1:26" x14ac:dyDescent="0.25">
      <c r="A383" s="80"/>
      <c r="B383" s="47"/>
      <c r="C383" s="47"/>
      <c r="D383" s="47"/>
      <c r="E383" s="47"/>
      <c r="F383" s="47"/>
      <c r="G383" s="96"/>
      <c r="H383" s="51">
        <f t="shared" ref="H383:I383" si="17">SUM(H365:H382)</f>
        <v>38420</v>
      </c>
      <c r="I383" s="51">
        <f t="shared" si="17"/>
        <v>14</v>
      </c>
      <c r="J383" s="52"/>
      <c r="K383" s="51">
        <f>SUM(K365:K382)</f>
        <v>0</v>
      </c>
      <c r="L383" s="40"/>
      <c r="T383" s="17"/>
      <c r="U383" s="17"/>
      <c r="V383" s="17"/>
      <c r="W383" s="17"/>
      <c r="X383" s="17"/>
      <c r="Y383" s="17"/>
      <c r="Z383" s="17"/>
    </row>
    <row r="384" spans="1:26" ht="94.5" x14ac:dyDescent="0.25">
      <c r="A384" s="33">
        <f>A365+1</f>
        <v>44589</v>
      </c>
      <c r="B384" s="89" t="s">
        <v>54</v>
      </c>
      <c r="C384" s="97" t="s">
        <v>386</v>
      </c>
      <c r="D384" s="68">
        <v>48</v>
      </c>
      <c r="E384" s="68" t="s">
        <v>70</v>
      </c>
      <c r="F384" s="68" t="s">
        <v>387</v>
      </c>
      <c r="G384" s="68" t="s">
        <v>388</v>
      </c>
      <c r="H384" s="67">
        <v>2143</v>
      </c>
      <c r="I384" s="218">
        <v>1</v>
      </c>
      <c r="J384" s="32"/>
      <c r="K384" s="39"/>
      <c r="L384" s="40"/>
      <c r="T384" s="17"/>
      <c r="U384" s="17"/>
      <c r="V384" s="17"/>
      <c r="W384" s="17"/>
      <c r="X384" s="17"/>
      <c r="Y384" s="17"/>
      <c r="Z384" s="17"/>
    </row>
    <row r="385" spans="1:26" ht="47.25" x14ac:dyDescent="0.25">
      <c r="A385" s="41" t="s">
        <v>56</v>
      </c>
      <c r="B385" s="90" t="s">
        <v>57</v>
      </c>
      <c r="C385" s="55" t="s">
        <v>389</v>
      </c>
      <c r="D385" s="68">
        <v>48</v>
      </c>
      <c r="E385" s="68" t="s">
        <v>91</v>
      </c>
      <c r="F385" s="68" t="s">
        <v>390</v>
      </c>
      <c r="G385" s="69">
        <v>44602</v>
      </c>
      <c r="H385" s="67">
        <v>5205</v>
      </c>
      <c r="I385" s="218">
        <v>2</v>
      </c>
      <c r="J385" s="32"/>
      <c r="K385" s="39"/>
      <c r="L385" s="40"/>
      <c r="T385" s="17"/>
      <c r="U385" s="17"/>
      <c r="V385" s="17"/>
      <c r="W385" s="17"/>
      <c r="X385" s="17"/>
      <c r="Y385" s="17"/>
      <c r="Z385" s="17"/>
    </row>
    <row r="386" spans="1:26" ht="31.5" x14ac:dyDescent="0.25">
      <c r="A386" s="35"/>
      <c r="B386" s="90" t="s">
        <v>58</v>
      </c>
      <c r="C386" s="55" t="s">
        <v>391</v>
      </c>
      <c r="D386" s="57"/>
      <c r="E386" s="57"/>
      <c r="F386" s="57"/>
      <c r="G386" s="57"/>
      <c r="H386" s="65"/>
      <c r="I386" s="30"/>
      <c r="J386" s="32"/>
      <c r="K386" s="39"/>
      <c r="L386" s="40"/>
      <c r="T386" s="17"/>
      <c r="U386" s="17"/>
      <c r="V386" s="17"/>
      <c r="W386" s="17"/>
      <c r="X386" s="17"/>
      <c r="Y386" s="17"/>
      <c r="Z386" s="17"/>
    </row>
    <row r="387" spans="1:26" ht="47.25" x14ac:dyDescent="0.25">
      <c r="A387" s="35"/>
      <c r="B387" s="90" t="s">
        <v>59</v>
      </c>
      <c r="C387" s="97" t="s">
        <v>392</v>
      </c>
      <c r="D387" s="68">
        <v>51</v>
      </c>
      <c r="E387" s="68" t="s">
        <v>121</v>
      </c>
      <c r="F387" s="68" t="s">
        <v>393</v>
      </c>
      <c r="G387" s="69">
        <v>44596</v>
      </c>
      <c r="H387" s="67">
        <v>6117</v>
      </c>
      <c r="I387" s="218">
        <v>3</v>
      </c>
      <c r="J387" s="32"/>
      <c r="K387" s="39"/>
      <c r="L387" s="40"/>
      <c r="T387" s="17"/>
      <c r="U387" s="17"/>
      <c r="V387" s="17"/>
      <c r="W387" s="17"/>
      <c r="X387" s="17"/>
      <c r="Y387" s="17"/>
      <c r="Z387" s="17"/>
    </row>
    <row r="388" spans="1:26" ht="63" x14ac:dyDescent="0.25">
      <c r="A388" s="43"/>
      <c r="B388" s="90" t="s">
        <v>60</v>
      </c>
      <c r="C388" s="97" t="s">
        <v>394</v>
      </c>
      <c r="D388" s="68"/>
      <c r="E388" s="68"/>
      <c r="F388" s="68"/>
      <c r="G388" s="68"/>
      <c r="H388" s="67"/>
      <c r="J388" s="32"/>
      <c r="K388" s="39"/>
      <c r="L388" s="40"/>
      <c r="T388" s="17"/>
      <c r="U388" s="17"/>
      <c r="V388" s="17"/>
      <c r="W388" s="17"/>
      <c r="X388" s="17"/>
      <c r="Y388" s="17"/>
      <c r="Z388" s="17"/>
    </row>
    <row r="389" spans="1:26" x14ac:dyDescent="0.25">
      <c r="A389" s="35"/>
      <c r="B389" s="90" t="s">
        <v>61</v>
      </c>
      <c r="C389" s="35"/>
      <c r="D389" s="67"/>
      <c r="E389" s="67"/>
      <c r="F389" s="67"/>
      <c r="G389" s="67"/>
      <c r="H389" s="67"/>
      <c r="J389" s="32"/>
      <c r="K389" s="39"/>
      <c r="L389" s="40"/>
      <c r="T389" s="17"/>
      <c r="U389" s="17"/>
      <c r="V389" s="17"/>
      <c r="W389" s="17"/>
      <c r="X389" s="17"/>
      <c r="Y389" s="17"/>
      <c r="Z389" s="17"/>
    </row>
    <row r="390" spans="1:26" x14ac:dyDescent="0.25">
      <c r="A390" s="35"/>
      <c r="B390" s="90" t="s">
        <v>62</v>
      </c>
      <c r="C390" s="35"/>
      <c r="D390" s="67"/>
      <c r="E390" s="67"/>
      <c r="F390" s="67"/>
      <c r="G390" s="67"/>
      <c r="H390" s="67"/>
      <c r="J390" s="32"/>
      <c r="K390" s="39"/>
      <c r="L390" s="40"/>
      <c r="T390" s="17"/>
      <c r="U390" s="17"/>
      <c r="V390" s="17"/>
      <c r="W390" s="17"/>
      <c r="X390" s="17"/>
      <c r="Y390" s="17"/>
      <c r="Z390" s="17"/>
    </row>
    <row r="391" spans="1:26" x14ac:dyDescent="0.25">
      <c r="A391" s="35"/>
      <c r="B391" s="90" t="s">
        <v>63</v>
      </c>
      <c r="C391" s="35"/>
      <c r="D391" s="67"/>
      <c r="E391" s="67"/>
      <c r="F391" s="67"/>
      <c r="G391" s="67"/>
      <c r="H391" s="67"/>
      <c r="J391" s="32"/>
      <c r="K391" s="39"/>
      <c r="L391" s="40"/>
      <c r="T391" s="17"/>
      <c r="U391" s="17"/>
      <c r="V391" s="17"/>
      <c r="W391" s="17"/>
      <c r="X391" s="17"/>
      <c r="Y391" s="17"/>
      <c r="Z391" s="17"/>
    </row>
    <row r="392" spans="1:26" ht="63" x14ac:dyDescent="0.25">
      <c r="A392" s="35"/>
      <c r="B392" s="90" t="s">
        <v>64</v>
      </c>
      <c r="C392" s="55" t="s">
        <v>395</v>
      </c>
      <c r="D392" s="68">
        <v>51</v>
      </c>
      <c r="E392" s="68" t="s">
        <v>396</v>
      </c>
      <c r="F392" s="68" t="s">
        <v>397</v>
      </c>
      <c r="G392" s="69">
        <v>44596</v>
      </c>
      <c r="H392" s="67">
        <v>1799</v>
      </c>
      <c r="I392" s="218">
        <v>1</v>
      </c>
      <c r="J392" s="32"/>
      <c r="K392" s="39"/>
      <c r="L392" s="40"/>
      <c r="T392" s="17"/>
      <c r="U392" s="17"/>
      <c r="V392" s="17"/>
      <c r="W392" s="17"/>
      <c r="X392" s="17"/>
      <c r="Y392" s="17"/>
      <c r="Z392" s="17"/>
    </row>
    <row r="393" spans="1:26" ht="63" x14ac:dyDescent="0.25">
      <c r="A393" s="35"/>
      <c r="B393" s="90" t="s">
        <v>65</v>
      </c>
      <c r="C393" s="55" t="s">
        <v>398</v>
      </c>
      <c r="D393" s="60">
        <v>51</v>
      </c>
      <c r="E393" s="60" t="s">
        <v>399</v>
      </c>
      <c r="F393" s="60" t="s">
        <v>400</v>
      </c>
      <c r="G393" s="61">
        <v>44596</v>
      </c>
      <c r="H393" s="62">
        <v>1523</v>
      </c>
      <c r="I393" s="218">
        <v>1</v>
      </c>
      <c r="J393" s="32"/>
      <c r="K393" s="39"/>
      <c r="L393" s="40"/>
      <c r="T393" s="17"/>
      <c r="U393" s="17"/>
      <c r="V393" s="17"/>
      <c r="W393" s="17"/>
      <c r="X393" s="17"/>
      <c r="Y393" s="17"/>
      <c r="Z393" s="17"/>
    </row>
    <row r="394" spans="1:26" ht="47.25" x14ac:dyDescent="0.25">
      <c r="A394" s="35"/>
      <c r="B394" s="90" t="s">
        <v>66</v>
      </c>
      <c r="C394" s="97" t="s">
        <v>401</v>
      </c>
      <c r="D394" s="60">
        <v>60</v>
      </c>
      <c r="E394" s="60" t="s">
        <v>85</v>
      </c>
      <c r="F394" s="60" t="s">
        <v>402</v>
      </c>
      <c r="G394" s="61">
        <v>44593</v>
      </c>
      <c r="H394" s="62">
        <v>5557</v>
      </c>
      <c r="I394" s="218">
        <v>2</v>
      </c>
      <c r="J394" s="32"/>
      <c r="K394" s="39"/>
      <c r="L394" s="40"/>
      <c r="T394" s="17"/>
      <c r="U394" s="17"/>
      <c r="V394" s="17"/>
      <c r="W394" s="17"/>
      <c r="X394" s="17"/>
      <c r="Y394" s="17"/>
      <c r="Z394" s="17"/>
    </row>
    <row r="395" spans="1:26" ht="31.5" x14ac:dyDescent="0.25">
      <c r="A395" s="35"/>
      <c r="B395" s="90" t="s">
        <v>67</v>
      </c>
      <c r="C395" s="97" t="s">
        <v>403</v>
      </c>
      <c r="D395" s="60"/>
      <c r="E395" s="60"/>
      <c r="F395" s="60"/>
      <c r="G395" s="60"/>
      <c r="H395" s="62"/>
      <c r="J395" s="32"/>
      <c r="K395" s="39"/>
      <c r="L395" s="40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63" x14ac:dyDescent="0.25">
      <c r="A396" s="35"/>
      <c r="B396" s="90" t="s">
        <v>68</v>
      </c>
      <c r="C396" s="55" t="s">
        <v>404</v>
      </c>
      <c r="D396" s="60">
        <v>72</v>
      </c>
      <c r="E396" s="60" t="s">
        <v>85</v>
      </c>
      <c r="F396" s="60" t="s">
        <v>405</v>
      </c>
      <c r="G396" s="61">
        <v>44593</v>
      </c>
      <c r="H396" s="86">
        <v>11982</v>
      </c>
      <c r="I396" s="30">
        <v>4</v>
      </c>
      <c r="J396" s="32"/>
      <c r="K396" s="39"/>
      <c r="L396" s="40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63" x14ac:dyDescent="0.25">
      <c r="A397" s="35"/>
      <c r="B397" s="94">
        <v>0.79166666666666663</v>
      </c>
      <c r="C397" s="55" t="s">
        <v>406</v>
      </c>
      <c r="D397" s="60"/>
      <c r="E397" s="60"/>
      <c r="F397" s="60">
        <v>2</v>
      </c>
      <c r="G397" s="60"/>
      <c r="H397" s="60"/>
      <c r="I397" s="30"/>
      <c r="J397" s="32"/>
      <c r="K397" s="39"/>
      <c r="L397" s="40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x14ac:dyDescent="0.25">
      <c r="A398" s="35"/>
      <c r="B398" s="94">
        <v>0.83333333333333337</v>
      </c>
      <c r="C398" s="35"/>
      <c r="D398" s="60"/>
      <c r="E398" s="60"/>
      <c r="F398" s="60">
        <v>3</v>
      </c>
      <c r="G398" s="60"/>
      <c r="H398" s="60"/>
      <c r="I398" s="30"/>
      <c r="J398" s="32"/>
      <c r="K398" s="39"/>
      <c r="L398" s="40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x14ac:dyDescent="0.25">
      <c r="A399" s="35"/>
      <c r="B399" s="94">
        <v>0.875</v>
      </c>
      <c r="C399" s="35"/>
      <c r="D399" s="60"/>
      <c r="E399" s="60"/>
      <c r="F399" s="60">
        <v>4</v>
      </c>
      <c r="G399" s="60"/>
      <c r="H399" s="60"/>
      <c r="J399" s="32"/>
      <c r="K399" s="39"/>
      <c r="L399" s="40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78.75" x14ac:dyDescent="0.25">
      <c r="A400" s="35"/>
      <c r="B400" s="94">
        <v>0.91666666666666663</v>
      </c>
      <c r="C400" s="55" t="s">
        <v>407</v>
      </c>
      <c r="D400" s="60">
        <v>72</v>
      </c>
      <c r="E400" s="60" t="s">
        <v>204</v>
      </c>
      <c r="F400" s="60" t="s">
        <v>408</v>
      </c>
      <c r="G400" s="61">
        <v>44596</v>
      </c>
      <c r="H400" s="62">
        <v>2055</v>
      </c>
      <c r="I400" s="218">
        <v>1</v>
      </c>
      <c r="J400" s="32"/>
      <c r="K400" s="39"/>
      <c r="L400" s="40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63" x14ac:dyDescent="0.25">
      <c r="A401" s="35"/>
      <c r="B401" s="95">
        <v>0.94791666666666663</v>
      </c>
      <c r="C401" s="55" t="s">
        <v>409</v>
      </c>
      <c r="D401" s="60">
        <v>72</v>
      </c>
      <c r="E401" s="60" t="s">
        <v>151</v>
      </c>
      <c r="F401" s="60" t="s">
        <v>410</v>
      </c>
      <c r="G401" s="61">
        <v>44593</v>
      </c>
      <c r="H401" s="62">
        <v>2985</v>
      </c>
      <c r="I401" s="218">
        <v>1</v>
      </c>
      <c r="J401" s="32"/>
      <c r="K401" s="39"/>
      <c r="L401" s="40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x14ac:dyDescent="0.25">
      <c r="A402" s="80"/>
      <c r="B402" s="131"/>
      <c r="C402" s="132"/>
      <c r="D402" s="132"/>
      <c r="E402" s="132"/>
      <c r="F402" s="132"/>
      <c r="G402" s="133"/>
      <c r="H402" s="51">
        <f t="shared" ref="H402:I402" si="18">SUM(H384:H401)</f>
        <v>39366</v>
      </c>
      <c r="I402" s="51">
        <f t="shared" si="18"/>
        <v>16</v>
      </c>
      <c r="J402" s="52"/>
      <c r="K402" s="51">
        <f>SUM(K384:K401)</f>
        <v>0</v>
      </c>
      <c r="L402" s="40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63" x14ac:dyDescent="0.25">
      <c r="A403" s="33">
        <f>A384+3</f>
        <v>44592</v>
      </c>
      <c r="B403" s="134" t="s">
        <v>54</v>
      </c>
      <c r="C403" s="97" t="s">
        <v>411</v>
      </c>
      <c r="D403" s="60">
        <v>72</v>
      </c>
      <c r="E403" s="60" t="s">
        <v>412</v>
      </c>
      <c r="F403" s="60" t="s">
        <v>413</v>
      </c>
      <c r="G403" s="61">
        <v>44611</v>
      </c>
      <c r="H403" s="62">
        <v>2013</v>
      </c>
      <c r="I403" s="218">
        <v>1</v>
      </c>
      <c r="J403" s="32"/>
      <c r="K403" s="39"/>
      <c r="L403" s="40"/>
      <c r="T403" s="17"/>
      <c r="U403" s="17"/>
      <c r="V403" s="17"/>
      <c r="W403" s="17"/>
      <c r="X403" s="17"/>
      <c r="Y403" s="17"/>
      <c r="Z403" s="17"/>
    </row>
    <row r="404" spans="1:26" ht="63" x14ac:dyDescent="0.25">
      <c r="A404" s="41" t="s">
        <v>72</v>
      </c>
      <c r="B404" s="135" t="s">
        <v>57</v>
      </c>
      <c r="C404" s="55" t="s">
        <v>414</v>
      </c>
      <c r="D404" s="84">
        <v>68</v>
      </c>
      <c r="E404" s="84" t="s">
        <v>300</v>
      </c>
      <c r="F404" s="84" t="s">
        <v>415</v>
      </c>
      <c r="G404" s="136">
        <v>44593</v>
      </c>
      <c r="H404" s="86">
        <v>36117</v>
      </c>
      <c r="I404" s="30">
        <v>10</v>
      </c>
      <c r="J404" s="32">
        <v>1.5</v>
      </c>
      <c r="K404" s="39"/>
      <c r="L404" s="40"/>
      <c r="T404" s="17"/>
      <c r="U404" s="17"/>
      <c r="V404" s="17"/>
      <c r="W404" s="17"/>
      <c r="X404" s="17"/>
      <c r="Y404" s="17"/>
      <c r="Z404" s="17"/>
    </row>
    <row r="405" spans="1:26" ht="157.5" x14ac:dyDescent="0.25">
      <c r="A405" s="35"/>
      <c r="B405" s="135" t="s">
        <v>58</v>
      </c>
      <c r="C405" s="55" t="s">
        <v>416</v>
      </c>
      <c r="D405" s="84" t="s">
        <v>417</v>
      </c>
      <c r="E405" s="137"/>
      <c r="F405" s="137">
        <v>2</v>
      </c>
      <c r="G405" s="137"/>
      <c r="H405" s="86"/>
      <c r="I405" s="30">
        <v>5</v>
      </c>
      <c r="J405" s="32" t="s">
        <v>418</v>
      </c>
      <c r="K405" s="39"/>
      <c r="L405" s="40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x14ac:dyDescent="0.25">
      <c r="A406" s="35"/>
      <c r="B406" s="135" t="s">
        <v>59</v>
      </c>
      <c r="C406" s="35"/>
      <c r="D406" s="86"/>
      <c r="E406" s="86"/>
      <c r="F406" s="86">
        <v>3</v>
      </c>
      <c r="G406" s="86"/>
      <c r="H406" s="86"/>
      <c r="I406" s="30"/>
      <c r="J406" s="32"/>
      <c r="K406" s="39"/>
      <c r="L406" s="40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x14ac:dyDescent="0.25">
      <c r="A407" s="35"/>
      <c r="B407" s="135" t="s">
        <v>60</v>
      </c>
      <c r="C407" s="35"/>
      <c r="D407" s="86"/>
      <c r="E407" s="86"/>
      <c r="F407" s="86">
        <v>4</v>
      </c>
      <c r="G407" s="86"/>
      <c r="H407" s="86"/>
      <c r="I407" s="30"/>
      <c r="J407" s="32"/>
      <c r="K407" s="39"/>
      <c r="L407" s="40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x14ac:dyDescent="0.25">
      <c r="A408" s="35"/>
      <c r="B408" s="135" t="s">
        <v>61</v>
      </c>
      <c r="C408" s="35"/>
      <c r="D408" s="86"/>
      <c r="E408" s="86"/>
      <c r="F408" s="86">
        <v>5</v>
      </c>
      <c r="G408" s="86"/>
      <c r="H408" s="86"/>
      <c r="I408" s="30"/>
      <c r="J408" s="32"/>
      <c r="K408" s="39"/>
      <c r="L408" s="40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x14ac:dyDescent="0.25">
      <c r="A409" s="35"/>
      <c r="B409" s="135" t="s">
        <v>62</v>
      </c>
      <c r="C409" s="35"/>
      <c r="D409" s="86"/>
      <c r="E409" s="86"/>
      <c r="F409" s="86">
        <v>6</v>
      </c>
      <c r="G409" s="86"/>
      <c r="H409" s="86"/>
      <c r="I409" s="30"/>
      <c r="J409" s="32"/>
      <c r="K409" s="39"/>
      <c r="L409" s="40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x14ac:dyDescent="0.25">
      <c r="A410" s="35"/>
      <c r="B410" s="135" t="s">
        <v>63</v>
      </c>
      <c r="C410" s="35"/>
      <c r="D410" s="86"/>
      <c r="E410" s="86"/>
      <c r="F410" s="86">
        <v>7</v>
      </c>
      <c r="G410" s="86"/>
      <c r="H410" s="86"/>
      <c r="K410" s="39"/>
      <c r="L410" s="40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x14ac:dyDescent="0.25">
      <c r="A411" s="35"/>
      <c r="B411" s="135" t="s">
        <v>64</v>
      </c>
      <c r="C411" s="35"/>
      <c r="D411" s="86"/>
      <c r="E411" s="86"/>
      <c r="F411" s="86">
        <v>8</v>
      </c>
      <c r="G411" s="86"/>
      <c r="H411" s="86"/>
      <c r="K411" s="39"/>
      <c r="L411" s="40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x14ac:dyDescent="0.25">
      <c r="A412" s="35"/>
      <c r="B412" s="135" t="s">
        <v>65</v>
      </c>
      <c r="C412" s="35"/>
      <c r="D412" s="86"/>
      <c r="E412" s="86"/>
      <c r="F412" s="86">
        <v>9</v>
      </c>
      <c r="G412" s="86"/>
      <c r="H412" s="86"/>
      <c r="K412" s="39"/>
      <c r="L412" s="40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x14ac:dyDescent="0.25">
      <c r="A413" s="35"/>
      <c r="B413" s="135" t="s">
        <v>66</v>
      </c>
      <c r="C413" s="35"/>
      <c r="D413" s="86"/>
      <c r="E413" s="86"/>
      <c r="F413" s="86">
        <v>10</v>
      </c>
      <c r="G413" s="86"/>
      <c r="H413" s="86"/>
      <c r="K413" s="39"/>
      <c r="L413" s="40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x14ac:dyDescent="0.25">
      <c r="A414" s="35"/>
      <c r="B414" s="135" t="s">
        <v>67</v>
      </c>
      <c r="C414" s="35"/>
      <c r="D414" s="62"/>
      <c r="E414" s="62"/>
      <c r="F414" s="62"/>
      <c r="G414" s="62"/>
      <c r="H414" s="62"/>
      <c r="I414" s="30"/>
      <c r="J414" s="32"/>
      <c r="K414" s="39"/>
      <c r="L414" s="40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x14ac:dyDescent="0.25">
      <c r="A415" s="35"/>
      <c r="B415" s="135" t="s">
        <v>68</v>
      </c>
      <c r="C415" s="35"/>
      <c r="D415" s="62"/>
      <c r="E415" s="62"/>
      <c r="F415" s="62"/>
      <c r="G415" s="62"/>
      <c r="H415" s="62"/>
      <c r="K415" s="39"/>
      <c r="L415" s="40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x14ac:dyDescent="0.25">
      <c r="A416" s="35"/>
      <c r="B416" s="138">
        <v>0.79166666666666663</v>
      </c>
      <c r="C416" s="35"/>
      <c r="D416" s="62"/>
      <c r="E416" s="62"/>
      <c r="F416" s="62"/>
      <c r="G416" s="62"/>
      <c r="H416" s="62"/>
      <c r="K416" s="39"/>
      <c r="L416" s="40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x14ac:dyDescent="0.25">
      <c r="A417" s="35"/>
      <c r="B417" s="138">
        <v>0.83333333333333337</v>
      </c>
      <c r="C417" s="35"/>
      <c r="D417" s="62"/>
      <c r="E417" s="62"/>
      <c r="F417" s="62"/>
      <c r="G417" s="62"/>
      <c r="H417" s="62"/>
      <c r="K417" s="39"/>
      <c r="L417" s="40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x14ac:dyDescent="0.25">
      <c r="A418" s="35"/>
      <c r="B418" s="138">
        <v>0.875</v>
      </c>
      <c r="C418" s="35"/>
      <c r="D418" s="86"/>
      <c r="E418" s="86"/>
      <c r="F418" s="86"/>
      <c r="G418" s="86"/>
      <c r="H418" s="86"/>
      <c r="I418" s="30"/>
      <c r="J418" s="32"/>
      <c r="K418" s="39"/>
      <c r="L418" s="40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x14ac:dyDescent="0.25">
      <c r="A419" s="35"/>
      <c r="B419" s="138">
        <v>0.91666666666666663</v>
      </c>
      <c r="C419" s="35"/>
      <c r="D419" s="86"/>
      <c r="E419" s="86"/>
      <c r="F419" s="86"/>
      <c r="G419" s="86"/>
      <c r="H419" s="86"/>
      <c r="I419" s="30"/>
      <c r="J419" s="32"/>
      <c r="K419" s="39"/>
      <c r="L419" s="40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x14ac:dyDescent="0.25">
      <c r="A420" s="35"/>
      <c r="B420" s="139">
        <v>0.94791666666666663</v>
      </c>
      <c r="C420" s="140"/>
      <c r="D420" s="141"/>
      <c r="E420" s="141"/>
      <c r="F420" s="141"/>
      <c r="G420" s="141"/>
      <c r="H420" s="86"/>
      <c r="I420" s="30"/>
      <c r="J420" s="32"/>
      <c r="K420" s="39"/>
      <c r="L420" s="40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x14ac:dyDescent="0.25">
      <c r="A421" s="80"/>
      <c r="B421" s="132"/>
      <c r="C421" s="132"/>
      <c r="D421" s="132"/>
      <c r="E421" s="132"/>
      <c r="F421" s="132"/>
      <c r="G421" s="133"/>
      <c r="H421" s="51">
        <f t="shared" ref="H421:I421" si="19">SUM(H403:H420)</f>
        <v>38130</v>
      </c>
      <c r="I421" s="51">
        <f t="shared" si="19"/>
        <v>16</v>
      </c>
      <c r="J421" s="52"/>
      <c r="K421" s="51">
        <f>SUM(K403:K420)</f>
        <v>0</v>
      </c>
      <c r="L421" s="40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94.5" x14ac:dyDescent="0.25">
      <c r="A422" s="33">
        <f>A403+1</f>
        <v>44593</v>
      </c>
      <c r="B422" s="134" t="s">
        <v>54</v>
      </c>
      <c r="C422" s="97" t="s">
        <v>419</v>
      </c>
      <c r="D422" s="60">
        <v>48</v>
      </c>
      <c r="E422" s="60" t="s">
        <v>85</v>
      </c>
      <c r="F422" s="60" t="s">
        <v>420</v>
      </c>
      <c r="G422" s="61">
        <v>44594</v>
      </c>
      <c r="H422" s="62">
        <v>2233</v>
      </c>
      <c r="I422" s="218">
        <v>1</v>
      </c>
      <c r="J422" s="32"/>
      <c r="K422" s="39"/>
      <c r="L422" s="40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94.5" x14ac:dyDescent="0.25">
      <c r="A423" s="41" t="s">
        <v>102</v>
      </c>
      <c r="B423" s="135" t="s">
        <v>57</v>
      </c>
      <c r="C423" s="142" t="s">
        <v>2859</v>
      </c>
      <c r="D423" s="60">
        <v>48</v>
      </c>
      <c r="E423" s="60" t="s">
        <v>100</v>
      </c>
      <c r="F423" s="60" t="s">
        <v>421</v>
      </c>
      <c r="G423" s="61">
        <v>44595</v>
      </c>
      <c r="H423" s="62">
        <v>4760</v>
      </c>
      <c r="I423" s="218">
        <v>2</v>
      </c>
      <c r="J423" s="32"/>
      <c r="K423" s="39"/>
      <c r="L423" s="40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31.5" x14ac:dyDescent="0.25">
      <c r="A424" s="35"/>
      <c r="B424" s="135" t="s">
        <v>58</v>
      </c>
      <c r="C424" s="97" t="s">
        <v>422</v>
      </c>
      <c r="D424" s="60"/>
      <c r="E424" s="60"/>
      <c r="F424" s="60"/>
      <c r="G424" s="60" t="s">
        <v>423</v>
      </c>
      <c r="H424" s="62"/>
      <c r="J424" s="32"/>
      <c r="K424" s="39"/>
      <c r="L424" s="40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78.75" x14ac:dyDescent="0.25">
      <c r="A425" s="35"/>
      <c r="B425" s="135" t="s">
        <v>59</v>
      </c>
      <c r="C425" s="97" t="s">
        <v>424</v>
      </c>
      <c r="D425" s="60">
        <v>54</v>
      </c>
      <c r="E425" s="60" t="s">
        <v>257</v>
      </c>
      <c r="F425" s="60" t="s">
        <v>425</v>
      </c>
      <c r="G425" s="61">
        <v>44595</v>
      </c>
      <c r="H425" s="62">
        <v>3458</v>
      </c>
      <c r="I425" s="218">
        <v>2</v>
      </c>
      <c r="J425" s="32"/>
      <c r="K425" s="39"/>
      <c r="L425" s="40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31.5" x14ac:dyDescent="0.25">
      <c r="A426" s="35"/>
      <c r="B426" s="135" t="s">
        <v>60</v>
      </c>
      <c r="C426" s="97" t="s">
        <v>426</v>
      </c>
      <c r="D426" s="60"/>
      <c r="E426" s="60"/>
      <c r="F426" s="60"/>
      <c r="G426" s="60" t="s">
        <v>423</v>
      </c>
      <c r="H426" s="62"/>
      <c r="J426" s="32"/>
      <c r="K426" s="39"/>
      <c r="L426" s="40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78.75" x14ac:dyDescent="0.25">
      <c r="A427" s="35"/>
      <c r="B427" s="135" t="s">
        <v>61</v>
      </c>
      <c r="C427" s="97" t="s">
        <v>427</v>
      </c>
      <c r="D427" s="60">
        <v>60</v>
      </c>
      <c r="E427" s="60" t="s">
        <v>70</v>
      </c>
      <c r="F427" s="60" t="s">
        <v>428</v>
      </c>
      <c r="G427" s="61">
        <v>44596</v>
      </c>
      <c r="H427" s="62">
        <v>2668</v>
      </c>
      <c r="I427" s="218">
        <v>1</v>
      </c>
      <c r="J427" s="32"/>
      <c r="K427" s="39"/>
      <c r="L427" s="40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63" x14ac:dyDescent="0.25">
      <c r="A428" s="35"/>
      <c r="B428" s="135" t="s">
        <v>62</v>
      </c>
      <c r="C428" s="97" t="s">
        <v>429</v>
      </c>
      <c r="D428" s="68">
        <v>60</v>
      </c>
      <c r="E428" s="68" t="s">
        <v>91</v>
      </c>
      <c r="F428" s="68" t="s">
        <v>430</v>
      </c>
      <c r="G428" s="69">
        <v>44599</v>
      </c>
      <c r="H428" s="67">
        <v>2564</v>
      </c>
      <c r="I428" s="218">
        <v>1</v>
      </c>
      <c r="J428" s="32"/>
      <c r="K428" s="39"/>
      <c r="L428" s="40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x14ac:dyDescent="0.25">
      <c r="A429" s="35"/>
      <c r="B429" s="135" t="s">
        <v>63</v>
      </c>
      <c r="C429" s="97"/>
      <c r="D429" s="68"/>
      <c r="E429" s="68"/>
      <c r="F429" s="68"/>
      <c r="G429" s="68"/>
      <c r="H429" s="67"/>
      <c r="J429" s="32"/>
      <c r="K429" s="39"/>
      <c r="L429" s="40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63" x14ac:dyDescent="0.25">
      <c r="A430" s="35"/>
      <c r="B430" s="135" t="s">
        <v>64</v>
      </c>
      <c r="C430" s="55" t="s">
        <v>431</v>
      </c>
      <c r="D430" s="57">
        <v>72</v>
      </c>
      <c r="E430" s="57" t="s">
        <v>18</v>
      </c>
      <c r="F430" s="57" t="s">
        <v>432</v>
      </c>
      <c r="G430" s="125">
        <v>44595</v>
      </c>
      <c r="H430" s="65">
        <v>3871</v>
      </c>
      <c r="I430" s="30">
        <v>1</v>
      </c>
      <c r="J430" s="32"/>
      <c r="K430" s="39"/>
      <c r="L430" s="40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47.25" x14ac:dyDescent="0.25">
      <c r="A431" s="35"/>
      <c r="B431" s="135" t="s">
        <v>65</v>
      </c>
      <c r="C431" s="55" t="s">
        <v>433</v>
      </c>
      <c r="D431" s="57">
        <v>72</v>
      </c>
      <c r="E431" s="57" t="s">
        <v>70</v>
      </c>
      <c r="F431" s="57" t="s">
        <v>434</v>
      </c>
      <c r="G431" s="125">
        <v>44599</v>
      </c>
      <c r="H431" s="65">
        <v>6490</v>
      </c>
      <c r="I431" s="30">
        <v>2</v>
      </c>
      <c r="J431" s="32"/>
      <c r="K431" s="39"/>
      <c r="L431" s="40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31.5" x14ac:dyDescent="0.25">
      <c r="A432" s="35"/>
      <c r="B432" s="135" t="s">
        <v>66</v>
      </c>
      <c r="C432" s="55" t="s">
        <v>435</v>
      </c>
      <c r="D432" s="57"/>
      <c r="E432" s="57"/>
      <c r="F432" s="57"/>
      <c r="G432" s="57"/>
      <c r="H432" s="65"/>
      <c r="I432" s="30"/>
      <c r="J432" s="32"/>
      <c r="K432" s="39"/>
      <c r="L432" s="40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x14ac:dyDescent="0.25">
      <c r="A433" s="35"/>
      <c r="B433" s="135" t="s">
        <v>67</v>
      </c>
      <c r="C433" s="35"/>
      <c r="D433" s="129" t="s">
        <v>436</v>
      </c>
      <c r="E433" s="129"/>
      <c r="F433" s="129"/>
      <c r="G433" s="129"/>
      <c r="H433" s="129"/>
      <c r="J433" s="32"/>
      <c r="K433" s="39"/>
      <c r="L433" s="40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x14ac:dyDescent="0.25">
      <c r="A434" s="35"/>
      <c r="B434" s="135" t="s">
        <v>68</v>
      </c>
      <c r="C434" s="35"/>
      <c r="D434" s="129"/>
      <c r="E434" s="129"/>
      <c r="F434" s="129"/>
      <c r="G434" s="129"/>
      <c r="H434" s="129"/>
      <c r="J434" s="32"/>
      <c r="K434" s="39"/>
      <c r="L434" s="40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x14ac:dyDescent="0.25">
      <c r="A435" s="35"/>
      <c r="B435" s="138">
        <v>0.79166666666666663</v>
      </c>
      <c r="C435" s="35"/>
      <c r="D435" s="129"/>
      <c r="E435" s="129"/>
      <c r="F435" s="129"/>
      <c r="G435" s="129"/>
      <c r="H435" s="129"/>
      <c r="J435" s="32"/>
      <c r="K435" s="39"/>
      <c r="L435" s="40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x14ac:dyDescent="0.25">
      <c r="A436" s="35"/>
      <c r="B436" s="138">
        <v>0.83333333333333337</v>
      </c>
      <c r="C436" s="35"/>
      <c r="D436" s="129"/>
      <c r="E436" s="129"/>
      <c r="F436" s="129"/>
      <c r="G436" s="129"/>
      <c r="H436" s="129"/>
      <c r="J436" s="32"/>
      <c r="K436" s="39"/>
      <c r="L436" s="40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x14ac:dyDescent="0.25">
      <c r="A437" s="35"/>
      <c r="B437" s="138">
        <v>0.875</v>
      </c>
      <c r="C437" s="35"/>
      <c r="D437" s="67"/>
      <c r="E437" s="67"/>
      <c r="F437" s="67"/>
      <c r="G437" s="67"/>
      <c r="H437" s="67"/>
      <c r="J437" s="32"/>
      <c r="K437" s="39"/>
      <c r="L437" s="40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x14ac:dyDescent="0.25">
      <c r="A438" s="35"/>
      <c r="B438" s="138">
        <v>0.91666666666666663</v>
      </c>
      <c r="C438" s="35"/>
      <c r="D438" s="67"/>
      <c r="E438" s="67"/>
      <c r="F438" s="67"/>
      <c r="G438" s="67"/>
      <c r="H438" s="67"/>
      <c r="J438" s="32"/>
      <c r="K438" s="39"/>
      <c r="L438" s="40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x14ac:dyDescent="0.25">
      <c r="A439" s="35"/>
      <c r="B439" s="139">
        <v>0.94791666666666663</v>
      </c>
      <c r="C439" s="140"/>
      <c r="D439" s="143"/>
      <c r="E439" s="143"/>
      <c r="F439" s="143"/>
      <c r="G439" s="143"/>
      <c r="H439" s="65"/>
      <c r="I439" s="30"/>
      <c r="J439" s="32"/>
      <c r="K439" s="39"/>
      <c r="L439" s="40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x14ac:dyDescent="0.25">
      <c r="A440" s="80"/>
      <c r="B440" s="132"/>
      <c r="C440" s="132"/>
      <c r="D440" s="132"/>
      <c r="E440" s="132"/>
      <c r="F440" s="132"/>
      <c r="G440" s="133"/>
      <c r="H440" s="51">
        <f t="shared" ref="H440:I440" si="20">SUM(H422:H439)</f>
        <v>26044</v>
      </c>
      <c r="I440" s="51">
        <f t="shared" si="20"/>
        <v>10</v>
      </c>
      <c r="J440" s="52"/>
      <c r="K440" s="51">
        <f>SUM(K422:K439)</f>
        <v>0</v>
      </c>
      <c r="L440" s="40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63" x14ac:dyDescent="0.25">
      <c r="A441" s="33">
        <f>A422+1</f>
        <v>44594</v>
      </c>
      <c r="B441" s="134" t="s">
        <v>54</v>
      </c>
      <c r="C441" s="97" t="s">
        <v>437</v>
      </c>
      <c r="D441" s="68">
        <v>72</v>
      </c>
      <c r="E441" s="68" t="s">
        <v>438</v>
      </c>
      <c r="F441" s="68" t="s">
        <v>378</v>
      </c>
      <c r="G441" s="69">
        <v>44594</v>
      </c>
      <c r="H441" s="65">
        <v>9900</v>
      </c>
      <c r="I441" s="30">
        <v>3</v>
      </c>
      <c r="K441" s="39"/>
      <c r="L441" s="40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94.5" x14ac:dyDescent="0.25">
      <c r="A442" s="41" t="s">
        <v>117</v>
      </c>
      <c r="B442" s="135" t="s">
        <v>57</v>
      </c>
      <c r="C442" s="142" t="s">
        <v>2860</v>
      </c>
      <c r="D442" s="68">
        <v>72</v>
      </c>
      <c r="E442" s="68" t="s">
        <v>439</v>
      </c>
      <c r="F442" s="68" t="s">
        <v>440</v>
      </c>
      <c r="G442" s="69">
        <v>44595</v>
      </c>
      <c r="H442" s="65">
        <v>2800</v>
      </c>
      <c r="I442" s="30">
        <v>1.5</v>
      </c>
      <c r="K442" s="39"/>
      <c r="L442" s="40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31.5" x14ac:dyDescent="0.25">
      <c r="A443" s="43"/>
      <c r="B443" s="135" t="s">
        <v>58</v>
      </c>
      <c r="C443" s="97" t="s">
        <v>441</v>
      </c>
      <c r="D443" s="57"/>
      <c r="E443" s="57"/>
      <c r="F443" s="57"/>
      <c r="G443" s="57"/>
      <c r="H443" s="65"/>
      <c r="K443" s="39"/>
      <c r="L443" s="40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63" x14ac:dyDescent="0.25">
      <c r="A444" s="35"/>
      <c r="B444" s="135" t="s">
        <v>59</v>
      </c>
      <c r="C444" s="97" t="s">
        <v>442</v>
      </c>
      <c r="D444" s="68">
        <v>72</v>
      </c>
      <c r="E444" s="68" t="s">
        <v>91</v>
      </c>
      <c r="F444" s="68" t="s">
        <v>177</v>
      </c>
      <c r="G444" s="69">
        <v>44598</v>
      </c>
      <c r="H444" s="67">
        <v>3104</v>
      </c>
      <c r="I444" s="218">
        <v>1</v>
      </c>
      <c r="K444" s="39"/>
      <c r="L444" s="40"/>
      <c r="S444" s="32">
        <v>1</v>
      </c>
      <c r="T444" s="17"/>
      <c r="U444" s="17"/>
      <c r="V444" s="17"/>
      <c r="W444" s="17"/>
      <c r="X444" s="17"/>
      <c r="Y444" s="17"/>
      <c r="Z444" s="17"/>
    </row>
    <row r="445" spans="1:26" ht="63" x14ac:dyDescent="0.25">
      <c r="A445" s="35"/>
      <c r="B445" s="135" t="s">
        <v>60</v>
      </c>
      <c r="C445" s="55" t="s">
        <v>443</v>
      </c>
      <c r="D445" s="57">
        <v>72</v>
      </c>
      <c r="E445" s="57" t="s">
        <v>85</v>
      </c>
      <c r="F445" s="57" t="s">
        <v>444</v>
      </c>
      <c r="G445" s="125">
        <v>44599</v>
      </c>
      <c r="H445" s="65">
        <v>11003</v>
      </c>
      <c r="I445" s="30">
        <v>4</v>
      </c>
      <c r="K445" s="39"/>
      <c r="L445" s="40"/>
      <c r="S445" s="32"/>
      <c r="T445" s="17"/>
      <c r="U445" s="17"/>
      <c r="V445" s="17"/>
      <c r="W445" s="17"/>
      <c r="X445" s="17"/>
      <c r="Y445" s="17"/>
      <c r="Z445" s="17"/>
    </row>
    <row r="446" spans="1:26" ht="63" x14ac:dyDescent="0.25">
      <c r="A446" s="35"/>
      <c r="B446" s="135" t="s">
        <v>61</v>
      </c>
      <c r="C446" s="55" t="s">
        <v>445</v>
      </c>
      <c r="D446" s="57"/>
      <c r="E446" s="57"/>
      <c r="F446" s="57"/>
      <c r="G446" s="57"/>
      <c r="H446" s="65"/>
      <c r="I446" s="30"/>
      <c r="K446" s="39"/>
      <c r="L446" s="40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x14ac:dyDescent="0.25">
      <c r="A447" s="35"/>
      <c r="B447" s="135" t="s">
        <v>62</v>
      </c>
      <c r="C447" s="35"/>
      <c r="D447" s="57"/>
      <c r="E447" s="57"/>
      <c r="F447" s="57"/>
      <c r="G447" s="57"/>
      <c r="H447" s="57"/>
      <c r="K447" s="39"/>
      <c r="L447" s="40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x14ac:dyDescent="0.25">
      <c r="A448" s="35"/>
      <c r="B448" s="135" t="s">
        <v>63</v>
      </c>
      <c r="C448" s="35"/>
      <c r="D448" s="57"/>
      <c r="E448" s="57"/>
      <c r="F448" s="57"/>
      <c r="G448" s="57"/>
      <c r="H448" s="57"/>
      <c r="K448" s="39"/>
      <c r="L448" s="40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x14ac:dyDescent="0.25">
      <c r="A449" s="35"/>
      <c r="B449" s="135" t="s">
        <v>64</v>
      </c>
      <c r="C449" s="43" t="s">
        <v>446</v>
      </c>
      <c r="D449" s="65"/>
      <c r="E449" s="65"/>
      <c r="F449" s="65"/>
      <c r="G449" s="65"/>
      <c r="H449" s="65"/>
      <c r="I449" s="30">
        <v>2</v>
      </c>
      <c r="K449" s="39"/>
      <c r="L449" s="40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x14ac:dyDescent="0.25">
      <c r="A450" s="35"/>
      <c r="B450" s="135" t="s">
        <v>65</v>
      </c>
      <c r="C450" s="35"/>
      <c r="D450" s="65"/>
      <c r="E450" s="65"/>
      <c r="F450" s="65"/>
      <c r="G450" s="65"/>
      <c r="H450" s="65"/>
      <c r="I450" s="30"/>
      <c r="K450" s="39"/>
      <c r="L450" s="40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78.75" x14ac:dyDescent="0.25">
      <c r="A451" s="35"/>
      <c r="B451" s="135" t="s">
        <v>66</v>
      </c>
      <c r="C451" s="55" t="s">
        <v>447</v>
      </c>
      <c r="D451" s="56">
        <v>72</v>
      </c>
      <c r="E451" s="57" t="s">
        <v>448</v>
      </c>
      <c r="F451" s="57" t="s">
        <v>449</v>
      </c>
      <c r="G451" s="57" t="s">
        <v>450</v>
      </c>
      <c r="H451" s="65">
        <v>4000</v>
      </c>
      <c r="I451" s="218">
        <v>1</v>
      </c>
      <c r="K451" s="39"/>
      <c r="L451" s="40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47.25" x14ac:dyDescent="0.25">
      <c r="A452" s="41" t="s">
        <v>127</v>
      </c>
      <c r="B452" s="135" t="s">
        <v>67</v>
      </c>
      <c r="C452" s="35"/>
      <c r="D452" s="65"/>
      <c r="E452" s="65"/>
      <c r="F452" s="65"/>
      <c r="G452" s="57" t="s">
        <v>451</v>
      </c>
      <c r="H452" s="65"/>
      <c r="K452" s="39"/>
      <c r="L452" s="40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78.75" x14ac:dyDescent="0.25">
      <c r="A453" s="35"/>
      <c r="B453" s="135" t="s">
        <v>68</v>
      </c>
      <c r="C453" s="55" t="s">
        <v>2861</v>
      </c>
      <c r="D453" s="68">
        <v>72</v>
      </c>
      <c r="E453" s="68" t="s">
        <v>85</v>
      </c>
      <c r="F453" s="68" t="s">
        <v>88</v>
      </c>
      <c r="G453" s="69">
        <v>44599</v>
      </c>
      <c r="H453" s="67">
        <v>9700</v>
      </c>
      <c r="I453" s="218">
        <v>3</v>
      </c>
      <c r="K453" s="39"/>
      <c r="L453" s="40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x14ac:dyDescent="0.25">
      <c r="A454" s="35"/>
      <c r="B454" s="138">
        <v>0.79166666666666663</v>
      </c>
      <c r="C454" s="35"/>
      <c r="D454" s="67"/>
      <c r="E454" s="67"/>
      <c r="F454" s="67"/>
      <c r="G454" s="70" t="s">
        <v>452</v>
      </c>
      <c r="H454" s="67"/>
      <c r="I454" s="218"/>
      <c r="K454" s="39"/>
      <c r="L454" s="40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x14ac:dyDescent="0.25">
      <c r="A455" s="35"/>
      <c r="B455" s="138">
        <v>0.83333333333333337</v>
      </c>
      <c r="C455" s="35"/>
      <c r="D455" s="67"/>
      <c r="E455" s="67"/>
      <c r="F455" s="67"/>
      <c r="G455" s="67"/>
      <c r="H455" s="67"/>
      <c r="I455" s="218"/>
      <c r="K455" s="39"/>
      <c r="L455" s="40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x14ac:dyDescent="0.25">
      <c r="A456" s="35"/>
      <c r="B456" s="138">
        <v>0.875</v>
      </c>
      <c r="C456" s="35"/>
      <c r="D456" s="67"/>
      <c r="E456" s="67"/>
      <c r="F456" s="67"/>
      <c r="G456" s="67"/>
      <c r="H456" s="67"/>
      <c r="K456" s="39"/>
      <c r="L456" s="40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x14ac:dyDescent="0.25">
      <c r="A457" s="35"/>
      <c r="B457" s="138">
        <v>0.91666666666666663</v>
      </c>
      <c r="C457" s="35"/>
      <c r="D457" s="67"/>
      <c r="E457" s="67"/>
      <c r="F457" s="67"/>
      <c r="G457" s="67"/>
      <c r="H457" s="67"/>
      <c r="K457" s="39"/>
      <c r="L457" s="40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x14ac:dyDescent="0.25">
      <c r="A458" s="35"/>
      <c r="B458" s="139">
        <v>0.94791666666666663</v>
      </c>
      <c r="C458" s="35"/>
      <c r="D458" s="67"/>
      <c r="E458" s="67"/>
      <c r="F458" s="67"/>
      <c r="G458" s="67"/>
      <c r="H458" s="67"/>
      <c r="K458" s="39"/>
      <c r="L458" s="40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x14ac:dyDescent="0.25">
      <c r="A459" s="80"/>
      <c r="B459" s="132"/>
      <c r="C459" s="132"/>
      <c r="D459" s="132"/>
      <c r="E459" s="132"/>
      <c r="F459" s="132"/>
      <c r="G459" s="133"/>
      <c r="H459" s="51">
        <f t="shared" ref="H459:I459" si="21">SUM(H441:H458)</f>
        <v>40507</v>
      </c>
      <c r="I459" s="51">
        <f t="shared" si="21"/>
        <v>15.5</v>
      </c>
      <c r="J459" s="52"/>
      <c r="K459" s="51">
        <f>SUM(K441:K458)</f>
        <v>0</v>
      </c>
      <c r="L459" s="40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63" x14ac:dyDescent="0.25">
      <c r="A460" s="33">
        <f>A441+1</f>
        <v>44595</v>
      </c>
      <c r="B460" s="134" t="s">
        <v>54</v>
      </c>
      <c r="C460" s="55" t="s">
        <v>453</v>
      </c>
      <c r="D460" s="57">
        <v>60</v>
      </c>
      <c r="E460" s="57" t="s">
        <v>151</v>
      </c>
      <c r="F460" s="57" t="s">
        <v>454</v>
      </c>
      <c r="G460" s="125">
        <v>44600</v>
      </c>
      <c r="H460" s="65">
        <v>16403</v>
      </c>
      <c r="I460" s="30">
        <v>7.5</v>
      </c>
      <c r="J460" s="32"/>
      <c r="K460" s="39"/>
      <c r="L460" s="40"/>
      <c r="T460" s="17"/>
      <c r="U460" s="17"/>
      <c r="V460" s="17"/>
      <c r="W460" s="17"/>
      <c r="X460" s="17"/>
      <c r="Y460" s="17"/>
      <c r="Z460" s="17"/>
    </row>
    <row r="461" spans="1:26" ht="94.5" x14ac:dyDescent="0.25">
      <c r="A461" s="41" t="s">
        <v>137</v>
      </c>
      <c r="B461" s="135" t="s">
        <v>57</v>
      </c>
      <c r="C461" s="55" t="s">
        <v>455</v>
      </c>
      <c r="D461" s="57"/>
      <c r="E461" s="57"/>
      <c r="F461" s="57">
        <v>2</v>
      </c>
      <c r="G461" s="57" t="s">
        <v>452</v>
      </c>
      <c r="H461" s="65"/>
      <c r="I461" s="30"/>
      <c r="J461" s="32"/>
      <c r="K461" s="39"/>
      <c r="L461" s="40"/>
      <c r="T461" s="17"/>
      <c r="U461" s="17"/>
      <c r="V461" s="17"/>
      <c r="W461" s="17"/>
      <c r="X461" s="17"/>
      <c r="Y461" s="17"/>
      <c r="Z461" s="17"/>
    </row>
    <row r="462" spans="1:26" x14ac:dyDescent="0.25">
      <c r="A462" s="35"/>
      <c r="B462" s="135" t="s">
        <v>58</v>
      </c>
      <c r="C462" s="55" t="s">
        <v>456</v>
      </c>
      <c r="D462" s="65"/>
      <c r="E462" s="65"/>
      <c r="F462" s="65">
        <v>3</v>
      </c>
      <c r="G462" s="65"/>
      <c r="H462" s="65"/>
      <c r="I462" s="30"/>
      <c r="J462" s="32"/>
      <c r="K462" s="39"/>
      <c r="L462" s="40"/>
      <c r="T462" s="17"/>
      <c r="U462" s="17"/>
      <c r="V462" s="17"/>
      <c r="W462" s="17"/>
      <c r="X462" s="17"/>
      <c r="Y462" s="17"/>
      <c r="Z462" s="17"/>
    </row>
    <row r="463" spans="1:26" x14ac:dyDescent="0.25">
      <c r="A463" s="35"/>
      <c r="B463" s="135" t="s">
        <v>59</v>
      </c>
      <c r="C463" s="35"/>
      <c r="D463" s="65"/>
      <c r="E463" s="65"/>
      <c r="F463" s="65">
        <v>4</v>
      </c>
      <c r="G463" s="65"/>
      <c r="H463" s="65"/>
      <c r="I463" s="30"/>
      <c r="J463" s="32"/>
      <c r="K463" s="39"/>
      <c r="L463" s="40"/>
      <c r="T463" s="17"/>
      <c r="U463" s="17"/>
      <c r="V463" s="17"/>
      <c r="W463" s="17"/>
      <c r="X463" s="17"/>
      <c r="Y463" s="17"/>
      <c r="Z463" s="17"/>
    </row>
    <row r="464" spans="1:26" x14ac:dyDescent="0.25">
      <c r="A464" s="35"/>
      <c r="B464" s="135" t="s">
        <v>60</v>
      </c>
      <c r="C464" s="35"/>
      <c r="D464" s="65"/>
      <c r="E464" s="65"/>
      <c r="F464" s="65">
        <v>5</v>
      </c>
      <c r="G464" s="65"/>
      <c r="H464" s="65"/>
      <c r="I464" s="30"/>
      <c r="J464" s="32"/>
      <c r="K464" s="39"/>
      <c r="L464" s="40"/>
      <c r="T464" s="17"/>
      <c r="U464" s="17"/>
      <c r="V464" s="17"/>
      <c r="W464" s="17"/>
      <c r="X464" s="17"/>
      <c r="Y464" s="17"/>
      <c r="Z464" s="17"/>
    </row>
    <row r="465" spans="1:26" x14ac:dyDescent="0.25">
      <c r="A465" s="35"/>
      <c r="B465" s="135" t="s">
        <v>61</v>
      </c>
      <c r="C465" s="35"/>
      <c r="D465" s="65"/>
      <c r="E465" s="65"/>
      <c r="F465" s="65">
        <v>6</v>
      </c>
      <c r="G465" s="65"/>
      <c r="H465" s="65"/>
      <c r="I465" s="30"/>
      <c r="J465" s="32"/>
      <c r="K465" s="39"/>
      <c r="L465" s="40"/>
      <c r="T465" s="17"/>
      <c r="U465" s="17"/>
      <c r="V465" s="17"/>
      <c r="W465" s="17"/>
      <c r="X465" s="17"/>
      <c r="Y465" s="17"/>
      <c r="Z465" s="17"/>
    </row>
    <row r="466" spans="1:26" x14ac:dyDescent="0.25">
      <c r="A466" s="35"/>
      <c r="B466" s="135" t="s">
        <v>62</v>
      </c>
      <c r="C466" s="35"/>
      <c r="D466" s="65"/>
      <c r="E466" s="65"/>
      <c r="F466" s="65">
        <v>7</v>
      </c>
      <c r="G466" s="65"/>
      <c r="H466" s="65"/>
      <c r="J466" s="32"/>
      <c r="K466" s="39"/>
      <c r="L466" s="40"/>
      <c r="T466" s="17"/>
      <c r="U466" s="17"/>
      <c r="V466" s="17"/>
      <c r="W466" s="17"/>
      <c r="X466" s="17"/>
      <c r="Y466" s="17"/>
      <c r="Z466" s="17"/>
    </row>
    <row r="467" spans="1:26" x14ac:dyDescent="0.25">
      <c r="A467" s="35"/>
      <c r="B467" s="135" t="s">
        <v>63</v>
      </c>
      <c r="C467" s="35"/>
      <c r="D467" s="67"/>
      <c r="E467" s="67"/>
      <c r="F467" s="67"/>
      <c r="G467" s="67"/>
      <c r="H467" s="67"/>
      <c r="J467" s="32"/>
      <c r="K467" s="39"/>
      <c r="L467" s="40"/>
      <c r="T467" s="17"/>
      <c r="U467" s="17"/>
      <c r="V467" s="17"/>
      <c r="W467" s="17"/>
      <c r="X467" s="17"/>
      <c r="Y467" s="17"/>
      <c r="Z467" s="17"/>
    </row>
    <row r="468" spans="1:26" ht="47.25" x14ac:dyDescent="0.25">
      <c r="A468" s="35"/>
      <c r="B468" s="135" t="s">
        <v>64</v>
      </c>
      <c r="C468" s="97" t="s">
        <v>457</v>
      </c>
      <c r="D468" s="68">
        <v>60</v>
      </c>
      <c r="E468" s="68" t="s">
        <v>25</v>
      </c>
      <c r="F468" s="68" t="s">
        <v>458</v>
      </c>
      <c r="G468" s="69">
        <v>44601</v>
      </c>
      <c r="H468" s="67">
        <v>2683</v>
      </c>
      <c r="I468" s="218">
        <v>1.5</v>
      </c>
      <c r="J468" s="32"/>
      <c r="K468" s="39"/>
      <c r="L468" s="40"/>
      <c r="T468" s="17"/>
      <c r="U468" s="17"/>
      <c r="V468" s="17"/>
      <c r="W468" s="17"/>
      <c r="X468" s="17"/>
      <c r="Y468" s="17"/>
      <c r="Z468" s="17"/>
    </row>
    <row r="469" spans="1:26" ht="31.5" x14ac:dyDescent="0.25">
      <c r="A469" s="35"/>
      <c r="B469" s="135" t="s">
        <v>65</v>
      </c>
      <c r="C469" s="97" t="s">
        <v>459</v>
      </c>
      <c r="D469" s="68"/>
      <c r="E469" s="68"/>
      <c r="F469" s="68"/>
      <c r="G469" s="68"/>
      <c r="H469" s="67"/>
      <c r="J469" s="32"/>
      <c r="K469" s="39"/>
      <c r="L469" s="40"/>
      <c r="T469" s="17"/>
      <c r="U469" s="17"/>
      <c r="V469" s="17"/>
      <c r="W469" s="17"/>
      <c r="X469" s="17"/>
      <c r="Y469" s="17"/>
      <c r="Z469" s="17"/>
    </row>
    <row r="470" spans="1:26" ht="63" x14ac:dyDescent="0.25">
      <c r="A470" s="35"/>
      <c r="B470" s="135" t="s">
        <v>66</v>
      </c>
      <c r="C470" s="97" t="s">
        <v>460</v>
      </c>
      <c r="D470" s="68">
        <v>72</v>
      </c>
      <c r="E470" s="68" t="s">
        <v>461</v>
      </c>
      <c r="F470" s="68" t="s">
        <v>462</v>
      </c>
      <c r="G470" s="69">
        <v>44601</v>
      </c>
      <c r="H470" s="67"/>
      <c r="I470" s="218">
        <v>1</v>
      </c>
      <c r="J470" s="32"/>
      <c r="K470" s="39"/>
      <c r="L470" s="40"/>
      <c r="T470" s="17"/>
      <c r="U470" s="17"/>
      <c r="V470" s="17"/>
      <c r="W470" s="17"/>
      <c r="X470" s="17"/>
      <c r="Y470" s="17"/>
      <c r="Z470" s="17"/>
    </row>
    <row r="471" spans="1:26" ht="47.25" x14ac:dyDescent="0.25">
      <c r="A471" s="35"/>
      <c r="B471" s="135" t="s">
        <v>67</v>
      </c>
      <c r="C471" s="55" t="s">
        <v>463</v>
      </c>
      <c r="D471" s="57">
        <v>72</v>
      </c>
      <c r="E471" s="57" t="s">
        <v>70</v>
      </c>
      <c r="F471" s="57" t="s">
        <v>464</v>
      </c>
      <c r="G471" s="125">
        <v>44595</v>
      </c>
      <c r="H471" s="65">
        <v>3230</v>
      </c>
      <c r="I471" s="30">
        <v>1</v>
      </c>
      <c r="J471" s="32"/>
      <c r="K471" s="39"/>
      <c r="L471" s="40"/>
      <c r="T471" s="17"/>
      <c r="U471" s="17"/>
      <c r="V471" s="17"/>
      <c r="W471" s="17"/>
      <c r="X471" s="17"/>
      <c r="Y471" s="17"/>
      <c r="Z471" s="17"/>
    </row>
    <row r="472" spans="1:26" x14ac:dyDescent="0.25">
      <c r="A472" s="35"/>
      <c r="B472" s="135" t="s">
        <v>68</v>
      </c>
      <c r="C472" s="35"/>
      <c r="D472" s="144" t="s">
        <v>465</v>
      </c>
      <c r="E472" s="145"/>
      <c r="F472" s="145"/>
      <c r="G472" s="145"/>
      <c r="H472" s="145"/>
      <c r="I472" s="145"/>
      <c r="J472" s="32"/>
      <c r="K472" s="39"/>
      <c r="L472" s="40"/>
      <c r="T472" s="17"/>
      <c r="U472" s="17"/>
      <c r="V472" s="17"/>
      <c r="W472" s="17"/>
      <c r="X472" s="17"/>
      <c r="Y472" s="17"/>
      <c r="Z472" s="17"/>
    </row>
    <row r="473" spans="1:26" x14ac:dyDescent="0.25">
      <c r="A473" s="35"/>
      <c r="B473" s="138">
        <v>0.79166666666666663</v>
      </c>
      <c r="C473" s="140"/>
      <c r="D473" s="145"/>
      <c r="E473" s="145"/>
      <c r="F473" s="145"/>
      <c r="G473" s="145"/>
      <c r="H473" s="145"/>
      <c r="I473" s="145"/>
      <c r="J473" s="32"/>
      <c r="K473" s="39"/>
      <c r="L473" s="40"/>
      <c r="T473" s="17"/>
      <c r="U473" s="17"/>
      <c r="V473" s="17"/>
      <c r="W473" s="17"/>
      <c r="X473" s="17"/>
      <c r="Y473" s="17"/>
      <c r="Z473" s="17"/>
    </row>
    <row r="474" spans="1:26" ht="63" x14ac:dyDescent="0.25">
      <c r="A474" s="35"/>
      <c r="B474" s="138">
        <v>0.83333333333333337</v>
      </c>
      <c r="C474" s="55" t="s">
        <v>466</v>
      </c>
      <c r="D474" s="57">
        <v>72</v>
      </c>
      <c r="E474" s="57" t="s">
        <v>248</v>
      </c>
      <c r="F474" s="57" t="s">
        <v>467</v>
      </c>
      <c r="G474" s="125">
        <v>44600</v>
      </c>
      <c r="H474" s="65">
        <v>3671</v>
      </c>
      <c r="I474" s="30">
        <v>1</v>
      </c>
      <c r="J474" s="32"/>
      <c r="K474" s="39"/>
      <c r="L474" s="40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63" x14ac:dyDescent="0.25">
      <c r="A475" s="35"/>
      <c r="B475" s="138">
        <v>0.875</v>
      </c>
      <c r="C475" s="97" t="s">
        <v>468</v>
      </c>
      <c r="D475" s="68">
        <v>51</v>
      </c>
      <c r="E475" s="68" t="s">
        <v>172</v>
      </c>
      <c r="F475" s="68" t="s">
        <v>469</v>
      </c>
      <c r="G475" s="69">
        <v>44599</v>
      </c>
      <c r="H475" s="65">
        <v>8474</v>
      </c>
      <c r="I475" s="30">
        <v>5</v>
      </c>
      <c r="J475" s="32" t="s">
        <v>470</v>
      </c>
      <c r="K475" s="39"/>
      <c r="L475" s="40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47.25" x14ac:dyDescent="0.25">
      <c r="A476" s="35"/>
      <c r="B476" s="138">
        <v>0.91666666666666663</v>
      </c>
      <c r="C476" s="97" t="s">
        <v>471</v>
      </c>
      <c r="D476" s="146" t="s">
        <v>472</v>
      </c>
      <c r="E476" s="68"/>
      <c r="F476" s="68"/>
      <c r="G476" s="68"/>
      <c r="H476" s="65"/>
      <c r="I476" s="30"/>
      <c r="J476" s="32"/>
      <c r="K476" s="39"/>
      <c r="L476" s="40"/>
      <c r="T476" s="17"/>
      <c r="U476" s="17"/>
      <c r="V476" s="17"/>
      <c r="W476" s="17"/>
      <c r="X476" s="17"/>
      <c r="Y476" s="17"/>
      <c r="Z476" s="17"/>
    </row>
    <row r="477" spans="1:26" x14ac:dyDescent="0.25">
      <c r="A477" s="35"/>
      <c r="B477" s="139">
        <v>0.94791666666666663</v>
      </c>
      <c r="C477" s="35"/>
      <c r="D477" s="65"/>
      <c r="E477" s="65"/>
      <c r="F477" s="65"/>
      <c r="G477" s="65"/>
      <c r="H477" s="65"/>
      <c r="I477" s="30"/>
      <c r="J477" s="32"/>
      <c r="K477" s="39"/>
      <c r="L477" s="40"/>
      <c r="T477" s="17"/>
      <c r="U477" s="17"/>
      <c r="V477" s="17"/>
      <c r="W477" s="17"/>
      <c r="X477" s="17"/>
      <c r="Y477" s="17"/>
      <c r="Z477" s="17"/>
    </row>
    <row r="478" spans="1:26" x14ac:dyDescent="0.25">
      <c r="A478" s="80"/>
      <c r="B478" s="132"/>
      <c r="C478" s="132"/>
      <c r="D478" s="132"/>
      <c r="E478" s="132"/>
      <c r="F478" s="132"/>
      <c r="G478" s="133"/>
      <c r="H478" s="51">
        <f t="shared" ref="H478:I478" si="22">SUM(H460:H477)</f>
        <v>34461</v>
      </c>
      <c r="I478" s="51">
        <f t="shared" si="22"/>
        <v>17</v>
      </c>
      <c r="J478" s="52"/>
      <c r="K478" s="51">
        <f>SUM(K460:K477)</f>
        <v>0</v>
      </c>
      <c r="L478" s="40"/>
      <c r="T478" s="17"/>
      <c r="U478" s="17"/>
      <c r="V478" s="17"/>
      <c r="W478" s="17"/>
      <c r="X478" s="17"/>
      <c r="Y478" s="17"/>
      <c r="Z478" s="17"/>
    </row>
    <row r="479" spans="1:26" ht="47.25" x14ac:dyDescent="0.25">
      <c r="A479" s="33">
        <f>A460+1</f>
        <v>44596</v>
      </c>
      <c r="B479" s="134" t="s">
        <v>54</v>
      </c>
      <c r="C479" s="55" t="s">
        <v>473</v>
      </c>
      <c r="D479" s="68">
        <v>54</v>
      </c>
      <c r="E479" s="68" t="s">
        <v>100</v>
      </c>
      <c r="F479" s="68" t="s">
        <v>474</v>
      </c>
      <c r="G479" s="69">
        <v>44600</v>
      </c>
      <c r="H479" s="67">
        <v>4284</v>
      </c>
      <c r="I479" s="218">
        <v>2</v>
      </c>
      <c r="K479" s="39"/>
      <c r="L479" s="40"/>
      <c r="T479" s="17"/>
      <c r="U479" s="17"/>
      <c r="V479" s="17"/>
      <c r="W479" s="17"/>
      <c r="X479" s="17"/>
      <c r="Y479" s="17"/>
      <c r="Z479" s="17"/>
    </row>
    <row r="480" spans="1:26" ht="31.5" x14ac:dyDescent="0.25">
      <c r="A480" s="41" t="s">
        <v>56</v>
      </c>
      <c r="B480" s="135" t="s">
        <v>57</v>
      </c>
      <c r="C480" s="55" t="s">
        <v>475</v>
      </c>
      <c r="D480" s="57"/>
      <c r="E480" s="57"/>
      <c r="F480" s="57"/>
      <c r="G480" s="57"/>
      <c r="H480" s="65"/>
      <c r="I480" s="30"/>
      <c r="K480" s="39"/>
      <c r="L480" s="40"/>
      <c r="T480" s="17"/>
      <c r="U480" s="17"/>
      <c r="V480" s="17"/>
      <c r="W480" s="17"/>
      <c r="X480" s="17"/>
      <c r="Y480" s="17"/>
      <c r="Z480" s="17"/>
    </row>
    <row r="481" spans="1:26" ht="63" x14ac:dyDescent="0.25">
      <c r="A481" s="35"/>
      <c r="B481" s="135" t="s">
        <v>58</v>
      </c>
      <c r="C481" s="55" t="s">
        <v>476</v>
      </c>
      <c r="D481" s="57">
        <v>60</v>
      </c>
      <c r="E481" s="57" t="s">
        <v>248</v>
      </c>
      <c r="F481" s="57" t="s">
        <v>477</v>
      </c>
      <c r="G481" s="125">
        <v>44600</v>
      </c>
      <c r="H481" s="65">
        <v>3053</v>
      </c>
      <c r="I481" s="30">
        <v>1</v>
      </c>
      <c r="K481" s="39"/>
      <c r="L481" s="40"/>
      <c r="T481" s="17"/>
      <c r="U481" s="17"/>
      <c r="V481" s="17"/>
      <c r="W481" s="17"/>
      <c r="X481" s="17"/>
      <c r="Y481" s="17"/>
      <c r="Z481" s="17"/>
    </row>
    <row r="482" spans="1:26" ht="63" x14ac:dyDescent="0.25">
      <c r="A482" s="35"/>
      <c r="B482" s="135" t="s">
        <v>59</v>
      </c>
      <c r="C482" s="97" t="s">
        <v>478</v>
      </c>
      <c r="D482" s="68">
        <v>60</v>
      </c>
      <c r="E482" s="68" t="s">
        <v>248</v>
      </c>
      <c r="F482" s="68" t="s">
        <v>479</v>
      </c>
      <c r="G482" s="69">
        <v>44600</v>
      </c>
      <c r="H482" s="65">
        <v>3025</v>
      </c>
      <c r="I482" s="30">
        <v>1</v>
      </c>
      <c r="J482" s="32"/>
      <c r="K482" s="39"/>
      <c r="L482" s="40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x14ac:dyDescent="0.25">
      <c r="A483" s="43"/>
      <c r="B483" s="135" t="s">
        <v>60</v>
      </c>
      <c r="C483" s="35"/>
      <c r="D483" s="65"/>
      <c r="E483" s="65"/>
      <c r="F483" s="65"/>
      <c r="G483" s="65"/>
      <c r="H483" s="65"/>
      <c r="I483" s="30"/>
      <c r="J483" s="32"/>
      <c r="K483" s="39"/>
      <c r="L483" s="40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63" x14ac:dyDescent="0.25">
      <c r="A484" s="35"/>
      <c r="B484" s="135" t="s">
        <v>61</v>
      </c>
      <c r="C484" s="55" t="s">
        <v>480</v>
      </c>
      <c r="D484" s="68">
        <v>68</v>
      </c>
      <c r="E484" s="68" t="s">
        <v>481</v>
      </c>
      <c r="F484" s="68" t="s">
        <v>482</v>
      </c>
      <c r="G484" s="69">
        <v>44600</v>
      </c>
      <c r="H484" s="67">
        <v>3585</v>
      </c>
      <c r="I484" s="218">
        <v>1</v>
      </c>
      <c r="J484" s="32"/>
      <c r="K484" s="39"/>
      <c r="L484" s="40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47.25" x14ac:dyDescent="0.25">
      <c r="A485" s="35"/>
      <c r="B485" s="135" t="s">
        <v>62</v>
      </c>
      <c r="C485" s="97" t="s">
        <v>483</v>
      </c>
      <c r="D485" s="68">
        <v>72</v>
      </c>
      <c r="E485" s="68" t="s">
        <v>70</v>
      </c>
      <c r="F485" s="68" t="s">
        <v>484</v>
      </c>
      <c r="G485" s="69">
        <v>44602</v>
      </c>
      <c r="H485" s="65">
        <v>12975</v>
      </c>
      <c r="I485" s="30">
        <v>4</v>
      </c>
      <c r="J485" s="32"/>
      <c r="K485" s="39"/>
      <c r="L485" s="40"/>
      <c r="T485" s="17"/>
      <c r="U485" s="17"/>
      <c r="V485" s="17"/>
      <c r="W485" s="17"/>
      <c r="X485" s="17"/>
      <c r="Y485" s="17"/>
      <c r="Z485" s="17"/>
    </row>
    <row r="486" spans="1:26" ht="63" x14ac:dyDescent="0.25">
      <c r="A486" s="35"/>
      <c r="B486" s="135" t="s">
        <v>63</v>
      </c>
      <c r="C486" s="97" t="s">
        <v>485</v>
      </c>
      <c r="D486" s="68"/>
      <c r="E486" s="68"/>
      <c r="F486" s="68"/>
      <c r="G486" s="68"/>
      <c r="H486" s="65"/>
      <c r="I486" s="30"/>
      <c r="J486" s="32"/>
      <c r="K486" s="39"/>
      <c r="L486" s="40"/>
      <c r="T486" s="17"/>
      <c r="U486" s="17"/>
      <c r="V486" s="17"/>
      <c r="W486" s="17"/>
      <c r="X486" s="17"/>
      <c r="Y486" s="17"/>
      <c r="Z486" s="17"/>
    </row>
    <row r="487" spans="1:26" x14ac:dyDescent="0.25">
      <c r="A487" s="35"/>
      <c r="B487" s="135" t="s">
        <v>64</v>
      </c>
      <c r="C487" s="35"/>
      <c r="D487" s="65"/>
      <c r="E487" s="65"/>
      <c r="F487" s="65"/>
      <c r="G487" s="65"/>
      <c r="H487" s="65"/>
      <c r="I487" s="30"/>
      <c r="J487" s="32"/>
      <c r="K487" s="39"/>
      <c r="L487" s="40"/>
      <c r="T487" s="17"/>
      <c r="U487" s="17"/>
      <c r="V487" s="17"/>
      <c r="W487" s="17"/>
      <c r="X487" s="17"/>
      <c r="Y487" s="17"/>
      <c r="Z487" s="17"/>
    </row>
    <row r="488" spans="1:26" x14ac:dyDescent="0.25">
      <c r="A488" s="35"/>
      <c r="B488" s="135" t="s">
        <v>65</v>
      </c>
      <c r="C488" s="35"/>
      <c r="D488" s="65"/>
      <c r="E488" s="65"/>
      <c r="F488" s="65"/>
      <c r="G488" s="65"/>
      <c r="H488" s="65"/>
      <c r="I488" s="30"/>
      <c r="J488" s="32"/>
      <c r="K488" s="39"/>
      <c r="L488" s="40"/>
      <c r="T488" s="17"/>
      <c r="U488" s="17"/>
      <c r="V488" s="17"/>
      <c r="W488" s="17"/>
      <c r="X488" s="17"/>
      <c r="Y488" s="17"/>
      <c r="Z488" s="17"/>
    </row>
    <row r="489" spans="1:26" ht="110.25" x14ac:dyDescent="0.25">
      <c r="A489" s="35"/>
      <c r="B489" s="135" t="s">
        <v>66</v>
      </c>
      <c r="C489" s="55" t="s">
        <v>486</v>
      </c>
      <c r="D489" s="68">
        <v>72</v>
      </c>
      <c r="E489" s="68" t="s">
        <v>91</v>
      </c>
      <c r="F489" s="68" t="s">
        <v>385</v>
      </c>
      <c r="G489" s="69">
        <v>44602</v>
      </c>
      <c r="H489" s="67">
        <v>3097</v>
      </c>
      <c r="I489" s="218">
        <v>1</v>
      </c>
      <c r="J489" s="32"/>
      <c r="K489" s="39"/>
      <c r="L489" s="40"/>
      <c r="T489" s="17"/>
      <c r="U489" s="17"/>
      <c r="V489" s="17"/>
      <c r="W489" s="17"/>
      <c r="X489" s="17"/>
      <c r="Y489" s="17"/>
      <c r="Z489" s="17"/>
    </row>
    <row r="490" spans="1:26" ht="63" x14ac:dyDescent="0.25">
      <c r="A490" s="35"/>
      <c r="B490" s="135" t="s">
        <v>67</v>
      </c>
      <c r="C490" s="97" t="s">
        <v>487</v>
      </c>
      <c r="D490" s="68">
        <v>72</v>
      </c>
      <c r="E490" s="68" t="s">
        <v>204</v>
      </c>
      <c r="F490" s="68" t="s">
        <v>488</v>
      </c>
      <c r="G490" s="69">
        <v>44606</v>
      </c>
      <c r="H490" s="65">
        <v>2244</v>
      </c>
      <c r="I490" s="30">
        <v>1</v>
      </c>
      <c r="J490" s="32"/>
      <c r="K490" s="39"/>
      <c r="L490" s="40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78.75" x14ac:dyDescent="0.25">
      <c r="A491" s="35"/>
      <c r="B491" s="135" t="s">
        <v>68</v>
      </c>
      <c r="C491" s="97" t="s">
        <v>489</v>
      </c>
      <c r="D491" s="68">
        <v>72</v>
      </c>
      <c r="E491" s="68" t="s">
        <v>91</v>
      </c>
      <c r="F491" s="68" t="s">
        <v>490</v>
      </c>
      <c r="G491" s="69">
        <v>44602</v>
      </c>
      <c r="H491" s="65">
        <v>3200</v>
      </c>
      <c r="I491" s="30">
        <v>1</v>
      </c>
      <c r="J491" s="32"/>
      <c r="K491" s="39"/>
      <c r="L491" s="40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78.75" x14ac:dyDescent="0.25">
      <c r="A492" s="35"/>
      <c r="B492" s="138">
        <v>0.79166666666666663</v>
      </c>
      <c r="C492" s="97" t="s">
        <v>491</v>
      </c>
      <c r="D492" s="68">
        <v>72</v>
      </c>
      <c r="E492" s="68" t="s">
        <v>280</v>
      </c>
      <c r="F492" s="68" t="s">
        <v>492</v>
      </c>
      <c r="G492" s="69">
        <v>44606</v>
      </c>
      <c r="H492" s="65">
        <v>3686</v>
      </c>
      <c r="I492" s="30">
        <v>1</v>
      </c>
      <c r="J492" s="32"/>
      <c r="K492" s="39"/>
      <c r="L492" s="40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x14ac:dyDescent="0.25">
      <c r="A493" s="35"/>
      <c r="B493" s="138">
        <v>0.83333333333333337</v>
      </c>
      <c r="C493" s="71"/>
      <c r="D493" s="67"/>
      <c r="E493" s="67"/>
      <c r="F493" s="67"/>
      <c r="G493" s="67"/>
      <c r="H493" s="67"/>
      <c r="J493" s="32"/>
      <c r="K493" s="39"/>
      <c r="L493" s="40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x14ac:dyDescent="0.25">
      <c r="A494" s="35"/>
      <c r="B494" s="138">
        <v>0.875</v>
      </c>
      <c r="C494" s="71"/>
      <c r="D494" s="67"/>
      <c r="E494" s="67"/>
      <c r="F494" s="67"/>
      <c r="G494" s="67"/>
      <c r="H494" s="67"/>
      <c r="J494" s="32"/>
      <c r="K494" s="39"/>
      <c r="L494" s="40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x14ac:dyDescent="0.25">
      <c r="A495" s="35"/>
      <c r="B495" s="138">
        <v>0.91666666666666663</v>
      </c>
      <c r="C495" s="71"/>
      <c r="D495" s="67"/>
      <c r="E495" s="67"/>
      <c r="F495" s="67"/>
      <c r="G495" s="67"/>
      <c r="H495" s="67"/>
      <c r="J495" s="32"/>
      <c r="K495" s="39"/>
      <c r="L495" s="40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x14ac:dyDescent="0.25">
      <c r="A496" s="35"/>
      <c r="B496" s="139">
        <v>0.94791666666666663</v>
      </c>
      <c r="C496" s="71"/>
      <c r="D496" s="67"/>
      <c r="E496" s="67"/>
      <c r="F496" s="67"/>
      <c r="G496" s="67"/>
      <c r="H496" s="67"/>
      <c r="J496" s="32"/>
      <c r="K496" s="39"/>
      <c r="L496" s="40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x14ac:dyDescent="0.25">
      <c r="A497" s="80"/>
      <c r="B497" s="131"/>
      <c r="C497" s="132"/>
      <c r="D497" s="132"/>
      <c r="E497" s="132"/>
      <c r="F497" s="132"/>
      <c r="G497" s="133"/>
      <c r="H497" s="51">
        <f t="shared" ref="H497:I497" si="23">SUM(H475:H496)</f>
        <v>82084</v>
      </c>
      <c r="I497" s="51">
        <f t="shared" si="23"/>
        <v>35</v>
      </c>
      <c r="J497" s="52"/>
      <c r="K497" s="51">
        <f>SUM(K479:K496)</f>
        <v>0</v>
      </c>
      <c r="L497" s="40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63" x14ac:dyDescent="0.25">
      <c r="A498" s="33">
        <f>A479+3</f>
        <v>44599</v>
      </c>
      <c r="B498" s="134" t="s">
        <v>54</v>
      </c>
      <c r="C498" s="97" t="s">
        <v>493</v>
      </c>
      <c r="D498" s="60" t="s">
        <v>494</v>
      </c>
      <c r="E498" s="60" t="s">
        <v>300</v>
      </c>
      <c r="F498" s="60" t="s">
        <v>495</v>
      </c>
      <c r="G498" s="61">
        <v>44601</v>
      </c>
      <c r="H498" s="86">
        <v>28600</v>
      </c>
      <c r="I498" s="30">
        <v>8</v>
      </c>
      <c r="J498" s="32"/>
      <c r="K498" s="39"/>
      <c r="L498" s="40"/>
      <c r="T498" s="17"/>
      <c r="U498" s="17"/>
      <c r="V498" s="17"/>
      <c r="W498" s="17"/>
      <c r="X498" s="17"/>
      <c r="Y498" s="17"/>
      <c r="Z498" s="17"/>
    </row>
    <row r="499" spans="1:26" ht="126" x14ac:dyDescent="0.25">
      <c r="A499" s="41" t="s">
        <v>72</v>
      </c>
      <c r="B499" s="135" t="s">
        <v>57</v>
      </c>
      <c r="C499" s="97" t="s">
        <v>496</v>
      </c>
      <c r="D499" s="60" t="s">
        <v>497</v>
      </c>
      <c r="E499" s="60"/>
      <c r="F499" s="60">
        <v>2</v>
      </c>
      <c r="G499" s="60"/>
      <c r="H499" s="86"/>
      <c r="I499" s="30"/>
      <c r="J499" s="32"/>
      <c r="K499" s="39"/>
      <c r="L499" s="40"/>
      <c r="T499" s="17"/>
      <c r="U499" s="17"/>
      <c r="V499" s="17"/>
      <c r="W499" s="17"/>
      <c r="X499" s="17"/>
      <c r="Y499" s="17"/>
      <c r="Z499" s="17"/>
    </row>
    <row r="500" spans="1:26" x14ac:dyDescent="0.25">
      <c r="A500" s="35"/>
      <c r="B500" s="135" t="s">
        <v>58</v>
      </c>
      <c r="C500" s="35"/>
      <c r="D500" s="86"/>
      <c r="E500" s="86"/>
      <c r="F500" s="86">
        <v>3</v>
      </c>
      <c r="G500" s="86"/>
      <c r="H500" s="86"/>
      <c r="I500" s="30"/>
      <c r="J500" s="32"/>
      <c r="K500" s="39"/>
      <c r="L500" s="40"/>
      <c r="T500" s="17"/>
      <c r="U500" s="17"/>
      <c r="V500" s="17"/>
      <c r="W500" s="17"/>
      <c r="X500" s="17"/>
      <c r="Y500" s="17"/>
      <c r="Z500" s="17"/>
    </row>
    <row r="501" spans="1:26" x14ac:dyDescent="0.25">
      <c r="A501" s="35"/>
      <c r="B501" s="135" t="s">
        <v>59</v>
      </c>
      <c r="C501" s="35"/>
      <c r="D501" s="86"/>
      <c r="E501" s="86"/>
      <c r="F501" s="86">
        <v>4</v>
      </c>
      <c r="G501" s="86"/>
      <c r="H501" s="86"/>
      <c r="I501" s="30"/>
      <c r="J501" s="32"/>
      <c r="K501" s="39"/>
      <c r="L501" s="40"/>
      <c r="T501" s="17"/>
      <c r="U501" s="17"/>
      <c r="V501" s="17"/>
      <c r="W501" s="17"/>
      <c r="X501" s="17"/>
      <c r="Y501" s="17"/>
      <c r="Z501" s="17"/>
    </row>
    <row r="502" spans="1:26" x14ac:dyDescent="0.25">
      <c r="A502" s="35"/>
      <c r="B502" s="135" t="s">
        <v>60</v>
      </c>
      <c r="C502" s="35"/>
      <c r="D502" s="86"/>
      <c r="E502" s="86"/>
      <c r="F502" s="86">
        <v>5</v>
      </c>
      <c r="G502" s="86"/>
      <c r="H502" s="86"/>
      <c r="I502" s="30"/>
      <c r="J502" s="32"/>
      <c r="K502" s="39"/>
      <c r="L502" s="40"/>
      <c r="T502" s="17"/>
      <c r="U502" s="17"/>
      <c r="V502" s="17"/>
      <c r="W502" s="17"/>
      <c r="X502" s="17"/>
      <c r="Y502" s="17"/>
      <c r="Z502" s="17"/>
    </row>
    <row r="503" spans="1:26" x14ac:dyDescent="0.25">
      <c r="A503" s="35"/>
      <c r="B503" s="135" t="s">
        <v>61</v>
      </c>
      <c r="C503" s="35"/>
      <c r="D503" s="86"/>
      <c r="E503" s="86"/>
      <c r="F503" s="86">
        <v>6</v>
      </c>
      <c r="G503" s="86"/>
      <c r="H503" s="86"/>
      <c r="I503" s="30"/>
      <c r="J503" s="32"/>
      <c r="K503" s="39"/>
      <c r="L503" s="40"/>
      <c r="T503" s="17"/>
      <c r="U503" s="17"/>
      <c r="V503" s="17"/>
      <c r="W503" s="17"/>
      <c r="X503" s="17"/>
      <c r="Y503" s="17"/>
      <c r="Z503" s="17"/>
    </row>
    <row r="504" spans="1:26" x14ac:dyDescent="0.25">
      <c r="A504" s="35"/>
      <c r="B504" s="135" t="s">
        <v>62</v>
      </c>
      <c r="C504" s="35"/>
      <c r="D504" s="62">
        <v>141419</v>
      </c>
      <c r="E504" s="62"/>
      <c r="F504" s="62"/>
      <c r="G504" s="62"/>
      <c r="H504" s="62"/>
      <c r="K504" s="39"/>
      <c r="L504" s="40"/>
      <c r="T504" s="17"/>
      <c r="U504" s="17"/>
      <c r="V504" s="17"/>
      <c r="W504" s="17"/>
      <c r="X504" s="17"/>
      <c r="Y504" s="17"/>
      <c r="Z504" s="17"/>
    </row>
    <row r="505" spans="1:26" x14ac:dyDescent="0.25">
      <c r="A505" s="35"/>
      <c r="B505" s="135" t="s">
        <v>63</v>
      </c>
      <c r="C505" s="35"/>
      <c r="D505" s="62"/>
      <c r="E505" s="62"/>
      <c r="F505" s="62"/>
      <c r="G505" s="62"/>
      <c r="H505" s="62"/>
      <c r="K505" s="39"/>
      <c r="L505" s="40"/>
      <c r="T505" s="17"/>
      <c r="U505" s="17"/>
      <c r="V505" s="17"/>
      <c r="W505" s="17"/>
      <c r="X505" s="17"/>
      <c r="Y505" s="17"/>
      <c r="Z505" s="17"/>
    </row>
    <row r="506" spans="1:26" x14ac:dyDescent="0.25">
      <c r="A506" s="35"/>
      <c r="B506" s="135" t="s">
        <v>64</v>
      </c>
      <c r="C506" s="35"/>
      <c r="D506" s="86"/>
      <c r="E506" s="86"/>
      <c r="F506" s="86">
        <v>7</v>
      </c>
      <c r="G506" s="86"/>
      <c r="H506" s="86"/>
      <c r="I506" s="30"/>
      <c r="J506" s="32"/>
      <c r="K506" s="39"/>
      <c r="L506" s="40"/>
      <c r="T506" s="17"/>
      <c r="U506" s="17"/>
      <c r="V506" s="17"/>
      <c r="W506" s="17"/>
      <c r="X506" s="17"/>
      <c r="Y506" s="17"/>
      <c r="Z506" s="17"/>
    </row>
    <row r="507" spans="1:26" x14ac:dyDescent="0.25">
      <c r="A507" s="35"/>
      <c r="B507" s="135" t="s">
        <v>65</v>
      </c>
      <c r="C507" s="35"/>
      <c r="D507" s="86"/>
      <c r="E507" s="86"/>
      <c r="F507" s="86">
        <v>8</v>
      </c>
      <c r="G507" s="86"/>
      <c r="H507" s="86"/>
      <c r="I507" s="30"/>
      <c r="J507" s="32"/>
      <c r="K507" s="39"/>
      <c r="L507" s="40"/>
      <c r="T507" s="17"/>
      <c r="U507" s="17"/>
      <c r="V507" s="17"/>
      <c r="W507" s="17"/>
      <c r="X507" s="17"/>
      <c r="Y507" s="17"/>
      <c r="Z507" s="17"/>
    </row>
    <row r="508" spans="1:26" ht="45.75" x14ac:dyDescent="0.25">
      <c r="A508" s="35"/>
      <c r="B508" s="135" t="s">
        <v>66</v>
      </c>
      <c r="C508" s="35"/>
      <c r="D508" s="86"/>
      <c r="E508" s="86"/>
      <c r="F508" s="86"/>
      <c r="G508" s="86"/>
      <c r="H508" s="86"/>
      <c r="I508" s="218">
        <v>2</v>
      </c>
      <c r="J508" s="147" t="s">
        <v>498</v>
      </c>
      <c r="K508" s="39"/>
      <c r="L508" s="40"/>
      <c r="T508" s="17"/>
      <c r="U508" s="17"/>
      <c r="V508" s="17"/>
      <c r="W508" s="17"/>
      <c r="X508" s="17"/>
      <c r="Y508" s="17"/>
      <c r="Z508" s="17"/>
    </row>
    <row r="509" spans="1:26" x14ac:dyDescent="0.25">
      <c r="A509" s="35"/>
      <c r="B509" s="135" t="s">
        <v>67</v>
      </c>
      <c r="C509" s="35"/>
      <c r="D509" s="86"/>
      <c r="E509" s="86"/>
      <c r="F509" s="86"/>
      <c r="G509" s="86"/>
      <c r="H509" s="86"/>
      <c r="J509" s="32"/>
      <c r="K509" s="39"/>
      <c r="L509" s="40"/>
      <c r="T509" s="17"/>
      <c r="U509" s="17"/>
      <c r="V509" s="17"/>
      <c r="W509" s="17"/>
      <c r="X509" s="17"/>
      <c r="Y509" s="17"/>
      <c r="Z509" s="17"/>
    </row>
    <row r="510" spans="1:26" ht="47.25" x14ac:dyDescent="0.25">
      <c r="A510" s="35"/>
      <c r="B510" s="135" t="s">
        <v>68</v>
      </c>
      <c r="C510" s="97" t="s">
        <v>499</v>
      </c>
      <c r="D510" s="60">
        <v>72</v>
      </c>
      <c r="E510" s="60" t="s">
        <v>151</v>
      </c>
      <c r="F510" s="60" t="s">
        <v>500</v>
      </c>
      <c r="G510" s="61">
        <v>44606</v>
      </c>
      <c r="H510" s="86">
        <v>4057</v>
      </c>
      <c r="I510" s="30">
        <v>1</v>
      </c>
      <c r="J510" s="32"/>
      <c r="K510" s="39"/>
      <c r="L510" s="40"/>
      <c r="T510" s="17"/>
      <c r="U510" s="17"/>
      <c r="V510" s="17"/>
      <c r="W510" s="17"/>
      <c r="X510" s="17"/>
      <c r="Y510" s="17"/>
      <c r="Z510" s="17"/>
    </row>
    <row r="511" spans="1:26" ht="31.5" x14ac:dyDescent="0.25">
      <c r="A511" s="35"/>
      <c r="B511" s="138">
        <v>0.79166666666666663</v>
      </c>
      <c r="C511" s="97" t="s">
        <v>501</v>
      </c>
      <c r="D511" s="60"/>
      <c r="E511" s="60"/>
      <c r="F511" s="60"/>
      <c r="G511" s="60"/>
      <c r="H511" s="86"/>
      <c r="I511" s="30"/>
      <c r="J511" s="32"/>
      <c r="K511" s="39"/>
      <c r="L511" s="40"/>
      <c r="T511" s="17"/>
      <c r="U511" s="17"/>
      <c r="V511" s="17"/>
      <c r="W511" s="17"/>
      <c r="X511" s="17"/>
      <c r="Y511" s="17"/>
      <c r="Z511" s="17"/>
    </row>
    <row r="512" spans="1:26" ht="47.25" x14ac:dyDescent="0.25">
      <c r="A512" s="35"/>
      <c r="B512" s="138">
        <v>0.83333333333333337</v>
      </c>
      <c r="C512" s="55" t="s">
        <v>502</v>
      </c>
      <c r="D512" s="103">
        <v>52.5</v>
      </c>
      <c r="E512" s="84" t="s">
        <v>70</v>
      </c>
      <c r="F512" s="84" t="s">
        <v>503</v>
      </c>
      <c r="G512" s="84" t="s">
        <v>504</v>
      </c>
      <c r="H512" s="62">
        <v>14000</v>
      </c>
      <c r="I512" s="218">
        <v>14</v>
      </c>
      <c r="J512" s="32"/>
      <c r="K512" s="39"/>
      <c r="L512" s="40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73.25" x14ac:dyDescent="0.25">
      <c r="A513" s="35"/>
      <c r="B513" s="138">
        <v>0.875</v>
      </c>
      <c r="C513" s="55" t="s">
        <v>505</v>
      </c>
      <c r="D513" s="122" t="s">
        <v>506</v>
      </c>
      <c r="E513" s="67"/>
      <c r="F513" s="67">
        <v>2</v>
      </c>
      <c r="G513" s="57"/>
      <c r="H513" s="67"/>
      <c r="I513" s="218"/>
      <c r="J513" s="32"/>
      <c r="K513" s="39"/>
      <c r="L513" s="40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x14ac:dyDescent="0.25">
      <c r="A514" s="35"/>
      <c r="B514" s="138">
        <v>0.91666666666666663</v>
      </c>
      <c r="C514" s="35"/>
      <c r="D514" s="67"/>
      <c r="E514" s="67"/>
      <c r="F514" s="67">
        <v>3</v>
      </c>
      <c r="G514" s="67"/>
      <c r="H514" s="67"/>
      <c r="I514" s="218"/>
      <c r="J514" s="32"/>
      <c r="K514" s="39"/>
      <c r="L514" s="40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x14ac:dyDescent="0.25">
      <c r="A515" s="35"/>
      <c r="B515" s="139">
        <v>0.94791666666666663</v>
      </c>
      <c r="C515" s="35"/>
      <c r="D515" s="65"/>
      <c r="E515" s="65"/>
      <c r="F515" s="65"/>
      <c r="G515" s="65"/>
      <c r="H515" s="65"/>
      <c r="I515" s="30"/>
      <c r="J515" s="32"/>
      <c r="K515" s="39"/>
      <c r="L515" s="40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x14ac:dyDescent="0.25">
      <c r="A516" s="80"/>
      <c r="B516" s="132"/>
      <c r="C516" s="132"/>
      <c r="D516" s="148"/>
      <c r="E516" s="148"/>
      <c r="F516" s="148"/>
      <c r="G516" s="149"/>
      <c r="H516" s="150">
        <f t="shared" ref="H516:I516" si="24">SUM(H475:H515)</f>
        <v>210825</v>
      </c>
      <c r="I516" s="51">
        <f t="shared" si="24"/>
        <v>95</v>
      </c>
      <c r="J516" s="52"/>
      <c r="K516" s="51">
        <f>SUM(K498:K515)</f>
        <v>0</v>
      </c>
      <c r="L516" s="40"/>
      <c r="T516" s="17"/>
      <c r="U516" s="17"/>
      <c r="V516" s="17"/>
      <c r="W516" s="17"/>
      <c r="X516" s="17"/>
      <c r="Y516" s="17"/>
      <c r="Z516" s="17"/>
    </row>
    <row r="517" spans="1:26" x14ac:dyDescent="0.25">
      <c r="A517" s="33">
        <f>A498+1</f>
        <v>44600</v>
      </c>
      <c r="B517" s="134" t="s">
        <v>54</v>
      </c>
      <c r="C517" s="87" t="s">
        <v>507</v>
      </c>
      <c r="D517" s="67"/>
      <c r="E517" s="67"/>
      <c r="F517" s="67">
        <v>4</v>
      </c>
      <c r="G517" s="67"/>
      <c r="H517" s="67"/>
      <c r="J517" s="32"/>
      <c r="K517" s="39"/>
      <c r="L517" s="40"/>
      <c r="T517" s="17"/>
      <c r="U517" s="17"/>
      <c r="V517" s="17"/>
      <c r="W517" s="17"/>
      <c r="X517" s="17"/>
      <c r="Y517" s="17"/>
      <c r="Z517" s="17"/>
    </row>
    <row r="518" spans="1:26" x14ac:dyDescent="0.25">
      <c r="A518" s="41" t="s">
        <v>102</v>
      </c>
      <c r="B518" s="135" t="s">
        <v>57</v>
      </c>
      <c r="C518" s="35"/>
      <c r="D518" s="67"/>
      <c r="E518" s="67"/>
      <c r="F518" s="67">
        <v>5</v>
      </c>
      <c r="G518" s="67"/>
      <c r="H518" s="67"/>
      <c r="J518" s="32"/>
      <c r="K518" s="39"/>
      <c r="L518" s="40"/>
      <c r="T518" s="17"/>
      <c r="U518" s="17"/>
      <c r="V518" s="17"/>
      <c r="W518" s="17"/>
      <c r="X518" s="17"/>
      <c r="Y518" s="17"/>
      <c r="Z518" s="17"/>
    </row>
    <row r="519" spans="1:26" x14ac:dyDescent="0.25">
      <c r="A519" s="35"/>
      <c r="B519" s="135" t="s">
        <v>58</v>
      </c>
      <c r="C519" s="35"/>
      <c r="D519" s="67"/>
      <c r="E519" s="67"/>
      <c r="F519" s="67">
        <v>6</v>
      </c>
      <c r="G519" s="67"/>
      <c r="H519" s="67"/>
      <c r="J519" s="32"/>
      <c r="K519" s="39"/>
      <c r="L519" s="40"/>
      <c r="T519" s="17"/>
      <c r="U519" s="17"/>
      <c r="V519" s="17"/>
      <c r="W519" s="17"/>
      <c r="X519" s="17"/>
      <c r="Y519" s="17"/>
      <c r="Z519" s="17"/>
    </row>
    <row r="520" spans="1:26" x14ac:dyDescent="0.25">
      <c r="A520" s="35"/>
      <c r="B520" s="135" t="s">
        <v>59</v>
      </c>
      <c r="C520" s="35"/>
      <c r="D520" s="67"/>
      <c r="E520" s="67"/>
      <c r="F520" s="67">
        <v>7</v>
      </c>
      <c r="G520" s="67"/>
      <c r="H520" s="67"/>
      <c r="I520" s="218"/>
      <c r="J520" s="32"/>
      <c r="K520" s="39"/>
      <c r="L520" s="40"/>
      <c r="T520" s="17"/>
      <c r="U520" s="17"/>
      <c r="V520" s="17"/>
      <c r="W520" s="17"/>
      <c r="X520" s="17"/>
      <c r="Y520" s="17"/>
      <c r="Z520" s="17"/>
    </row>
    <row r="521" spans="1:26" x14ac:dyDescent="0.25">
      <c r="A521" s="35"/>
      <c r="B521" s="135" t="s">
        <v>60</v>
      </c>
      <c r="C521" s="35"/>
      <c r="D521" s="67"/>
      <c r="E521" s="67"/>
      <c r="F521" s="67">
        <v>8</v>
      </c>
      <c r="G521" s="67"/>
      <c r="H521" s="67"/>
      <c r="I521" s="218"/>
      <c r="J521" s="32"/>
      <c r="K521" s="39"/>
      <c r="L521" s="40"/>
      <c r="T521" s="17"/>
      <c r="U521" s="17"/>
      <c r="V521" s="17"/>
      <c r="W521" s="17"/>
      <c r="X521" s="17"/>
      <c r="Y521" s="17"/>
      <c r="Z521" s="17"/>
    </row>
    <row r="522" spans="1:26" x14ac:dyDescent="0.25">
      <c r="A522" s="35"/>
      <c r="B522" s="135" t="s">
        <v>61</v>
      </c>
      <c r="C522" s="35"/>
      <c r="D522" s="67"/>
      <c r="E522" s="67"/>
      <c r="F522" s="67">
        <v>9</v>
      </c>
      <c r="G522" s="67"/>
      <c r="H522" s="67"/>
      <c r="I522" s="218"/>
      <c r="J522" s="32"/>
      <c r="K522" s="39"/>
      <c r="L522" s="40"/>
      <c r="T522" s="17"/>
      <c r="U522" s="17"/>
      <c r="V522" s="17"/>
      <c r="W522" s="17"/>
      <c r="X522" s="17"/>
      <c r="Y522" s="17"/>
      <c r="Z522" s="17"/>
    </row>
    <row r="523" spans="1:26" x14ac:dyDescent="0.25">
      <c r="A523" s="35"/>
      <c r="B523" s="135" t="s">
        <v>62</v>
      </c>
      <c r="C523" s="35"/>
      <c r="D523" s="67"/>
      <c r="E523" s="67"/>
      <c r="F523" s="67">
        <v>10</v>
      </c>
      <c r="G523" s="67"/>
      <c r="H523" s="67"/>
      <c r="J523" s="32"/>
      <c r="K523" s="39"/>
      <c r="L523" s="40"/>
      <c r="T523" s="17"/>
      <c r="U523" s="17"/>
      <c r="V523" s="17"/>
      <c r="W523" s="17"/>
      <c r="X523" s="17"/>
      <c r="Y523" s="17"/>
      <c r="Z523" s="17"/>
    </row>
    <row r="524" spans="1:26" x14ac:dyDescent="0.25">
      <c r="A524" s="35"/>
      <c r="B524" s="135" t="s">
        <v>63</v>
      </c>
      <c r="C524" s="35"/>
      <c r="D524" s="67"/>
      <c r="E524" s="67"/>
      <c r="F524" s="67">
        <v>11</v>
      </c>
      <c r="G524" s="67"/>
      <c r="H524" s="67"/>
      <c r="I524" s="218"/>
      <c r="J524" s="32"/>
      <c r="K524" s="39"/>
      <c r="L524" s="40"/>
      <c r="M524" s="17"/>
      <c r="T524" s="17"/>
      <c r="U524" s="17"/>
      <c r="V524" s="17"/>
      <c r="W524" s="17"/>
      <c r="X524" s="17"/>
      <c r="Y524" s="17"/>
      <c r="Z524" s="17"/>
    </row>
    <row r="525" spans="1:26" x14ac:dyDescent="0.25">
      <c r="A525" s="35"/>
      <c r="B525" s="135" t="s">
        <v>64</v>
      </c>
      <c r="C525" s="35"/>
      <c r="D525" s="67"/>
      <c r="E525" s="67"/>
      <c r="F525" s="67">
        <v>12</v>
      </c>
      <c r="G525" s="67"/>
      <c r="H525" s="67"/>
      <c r="I525" s="218"/>
      <c r="J525" s="32"/>
      <c r="K525" s="39"/>
      <c r="L525" s="40"/>
      <c r="M525" s="17"/>
      <c r="T525" s="17"/>
      <c r="U525" s="17"/>
      <c r="V525" s="17"/>
      <c r="W525" s="17"/>
      <c r="X525" s="17"/>
      <c r="Y525" s="17"/>
      <c r="Z525" s="17"/>
    </row>
    <row r="526" spans="1:26" x14ac:dyDescent="0.25">
      <c r="A526" s="35"/>
      <c r="B526" s="135" t="s">
        <v>65</v>
      </c>
      <c r="C526" s="35"/>
      <c r="D526" s="67"/>
      <c r="E526" s="67"/>
      <c r="F526" s="67">
        <v>13</v>
      </c>
      <c r="G526" s="67"/>
      <c r="H526" s="67"/>
      <c r="I526" s="218"/>
      <c r="J526" s="32"/>
      <c r="K526" s="39"/>
      <c r="L526" s="40"/>
      <c r="M526" s="17"/>
      <c r="T526" s="17"/>
      <c r="U526" s="17"/>
      <c r="V526" s="17"/>
      <c r="W526" s="17"/>
      <c r="X526" s="17"/>
      <c r="Y526" s="17"/>
      <c r="Z526" s="17"/>
    </row>
    <row r="527" spans="1:26" x14ac:dyDescent="0.25">
      <c r="A527" s="35"/>
      <c r="B527" s="135" t="s">
        <v>66</v>
      </c>
      <c r="C527" s="35"/>
      <c r="D527" s="67"/>
      <c r="E527" s="67"/>
      <c r="F527" s="67">
        <v>14</v>
      </c>
      <c r="G527" s="67"/>
      <c r="H527" s="67"/>
      <c r="I527" s="218"/>
      <c r="J527" s="32"/>
      <c r="K527" s="39"/>
      <c r="L527" s="40"/>
      <c r="M527" s="17"/>
      <c r="T527" s="17"/>
      <c r="U527" s="17"/>
      <c r="V527" s="17"/>
      <c r="W527" s="17"/>
      <c r="X527" s="17"/>
      <c r="Y527" s="17"/>
      <c r="Z527" s="17"/>
    </row>
    <row r="528" spans="1:26" x14ac:dyDescent="0.25">
      <c r="A528" s="35"/>
      <c r="B528" s="135" t="s">
        <v>67</v>
      </c>
      <c r="C528" s="35"/>
      <c r="D528" s="67"/>
      <c r="E528" s="67"/>
      <c r="F528" s="67">
        <v>15</v>
      </c>
      <c r="G528" s="67"/>
      <c r="H528" s="67"/>
      <c r="I528" s="218"/>
      <c r="J528" s="32"/>
      <c r="K528" s="39"/>
      <c r="L528" s="40"/>
      <c r="M528" s="17"/>
      <c r="T528" s="17"/>
      <c r="U528" s="17"/>
      <c r="V528" s="17"/>
      <c r="W528" s="17"/>
      <c r="X528" s="17"/>
      <c r="Y528" s="17"/>
      <c r="Z528" s="17"/>
    </row>
    <row r="529" spans="1:26" x14ac:dyDescent="0.25">
      <c r="A529" s="35"/>
      <c r="B529" s="135" t="s">
        <v>68</v>
      </c>
      <c r="C529" s="35"/>
      <c r="D529" s="67"/>
      <c r="E529" s="67"/>
      <c r="F529" s="67">
        <v>16</v>
      </c>
      <c r="G529" s="67"/>
      <c r="H529" s="67"/>
      <c r="I529" s="218"/>
      <c r="J529" s="32"/>
      <c r="K529" s="39"/>
      <c r="L529" s="40"/>
      <c r="M529" s="17"/>
      <c r="T529" s="17"/>
      <c r="U529" s="17"/>
      <c r="V529" s="17"/>
      <c r="W529" s="17"/>
      <c r="X529" s="17"/>
      <c r="Y529" s="17"/>
      <c r="Z529" s="17"/>
    </row>
    <row r="530" spans="1:26" x14ac:dyDescent="0.25">
      <c r="A530" s="35"/>
      <c r="B530" s="138">
        <v>0.79166666666666663</v>
      </c>
      <c r="C530" s="35"/>
      <c r="D530" s="67"/>
      <c r="E530" s="67"/>
      <c r="F530" s="67"/>
      <c r="G530" s="67"/>
      <c r="H530" s="67"/>
      <c r="I530" s="218"/>
      <c r="J530" s="32"/>
      <c r="K530" s="39"/>
      <c r="L530" s="40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x14ac:dyDescent="0.25">
      <c r="A531" s="35"/>
      <c r="B531" s="138">
        <v>0.83333333333333337</v>
      </c>
      <c r="C531" s="35"/>
      <c r="D531" s="65"/>
      <c r="E531" s="65"/>
      <c r="F531" s="65"/>
      <c r="G531" s="65"/>
      <c r="H531" s="65"/>
      <c r="I531" s="30"/>
      <c r="J531" s="32"/>
      <c r="K531" s="39"/>
      <c r="L531" s="40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x14ac:dyDescent="0.25">
      <c r="A532" s="35"/>
      <c r="B532" s="138">
        <v>0.875</v>
      </c>
      <c r="C532" s="35"/>
      <c r="D532" s="65"/>
      <c r="E532" s="65"/>
      <c r="F532" s="65"/>
      <c r="G532" s="65"/>
      <c r="H532" s="65"/>
      <c r="I532" s="30"/>
      <c r="J532" s="32"/>
      <c r="K532" s="39"/>
      <c r="L532" s="40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x14ac:dyDescent="0.25">
      <c r="A533" s="35"/>
      <c r="B533" s="138">
        <v>0.91666666666666663</v>
      </c>
      <c r="C533" s="35"/>
      <c r="D533" s="65"/>
      <c r="E533" s="65"/>
      <c r="F533" s="65"/>
      <c r="G533" s="65"/>
      <c r="H533" s="65"/>
      <c r="I533" s="30"/>
      <c r="J533" s="32"/>
      <c r="K533" s="39"/>
      <c r="L533" s="40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x14ac:dyDescent="0.25">
      <c r="A534" s="35"/>
      <c r="B534" s="139">
        <v>0.94791666666666663</v>
      </c>
      <c r="C534" s="35"/>
      <c r="D534" s="65"/>
      <c r="E534" s="65"/>
      <c r="F534" s="65"/>
      <c r="G534" s="65"/>
      <c r="H534" s="65"/>
      <c r="I534" s="30"/>
      <c r="J534" s="32"/>
      <c r="K534" s="39"/>
      <c r="L534" s="40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x14ac:dyDescent="0.25">
      <c r="A535" s="80"/>
      <c r="B535" s="132"/>
      <c r="C535" s="132"/>
      <c r="D535" s="132"/>
      <c r="E535" s="132"/>
      <c r="F535" s="132"/>
      <c r="G535" s="133"/>
      <c r="H535" s="51">
        <f t="shared" ref="H535:I535" si="25">SUM(H531:H534)</f>
        <v>0</v>
      </c>
      <c r="I535" s="51">
        <f t="shared" si="25"/>
        <v>0</v>
      </c>
      <c r="J535" s="52"/>
      <c r="K535" s="51">
        <f>SUM(K517:K534)</f>
        <v>0</v>
      </c>
      <c r="L535" s="40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x14ac:dyDescent="0.25">
      <c r="A536" s="33">
        <f>A517+1</f>
        <v>44601</v>
      </c>
      <c r="B536" s="134" t="s">
        <v>54</v>
      </c>
      <c r="C536" s="87" t="s">
        <v>507</v>
      </c>
      <c r="D536" s="86"/>
      <c r="E536" s="62"/>
      <c r="F536" s="62">
        <v>17</v>
      </c>
      <c r="G536" s="62"/>
      <c r="H536" s="62"/>
      <c r="I536" s="218">
        <v>6</v>
      </c>
      <c r="K536" s="39"/>
      <c r="L536" s="40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x14ac:dyDescent="0.25">
      <c r="A537" s="41" t="s">
        <v>117</v>
      </c>
      <c r="B537" s="135" t="s">
        <v>57</v>
      </c>
      <c r="C537" s="35"/>
      <c r="D537" s="62"/>
      <c r="E537" s="62"/>
      <c r="F537" s="62">
        <v>18</v>
      </c>
      <c r="G537" s="62"/>
      <c r="H537" s="62"/>
      <c r="K537" s="39"/>
      <c r="L537" s="40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x14ac:dyDescent="0.25">
      <c r="A538" s="43"/>
      <c r="B538" s="135" t="s">
        <v>58</v>
      </c>
      <c r="C538" s="35"/>
      <c r="D538" s="151"/>
      <c r="E538" s="152" t="s">
        <v>40</v>
      </c>
      <c r="F538" s="151"/>
      <c r="G538" s="153"/>
      <c r="H538" s="153"/>
      <c r="I538" s="30">
        <v>0.5</v>
      </c>
      <c r="K538" s="39"/>
      <c r="L538" s="40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63" x14ac:dyDescent="0.25">
      <c r="A539" s="35"/>
      <c r="B539" s="135" t="s">
        <v>59</v>
      </c>
      <c r="C539" s="97" t="s">
        <v>508</v>
      </c>
      <c r="D539" s="60">
        <v>66.667000000000002</v>
      </c>
      <c r="E539" s="60" t="s">
        <v>332</v>
      </c>
      <c r="F539" s="60" t="s">
        <v>509</v>
      </c>
      <c r="G539" s="61">
        <v>44602</v>
      </c>
      <c r="H539" s="86">
        <v>26801</v>
      </c>
      <c r="I539" s="30">
        <v>8</v>
      </c>
      <c r="K539" s="39"/>
      <c r="L539" s="40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6" x14ac:dyDescent="0.25">
      <c r="A540" s="35"/>
      <c r="B540" s="135" t="s">
        <v>60</v>
      </c>
      <c r="C540" s="97" t="s">
        <v>510</v>
      </c>
      <c r="D540" s="60" t="s">
        <v>511</v>
      </c>
      <c r="E540" s="60"/>
      <c r="F540" s="60">
        <v>2</v>
      </c>
      <c r="G540" s="60"/>
      <c r="H540" s="86"/>
      <c r="I540" s="30"/>
      <c r="K540" s="39"/>
      <c r="L540" s="40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x14ac:dyDescent="0.25">
      <c r="A541" s="35"/>
      <c r="B541" s="135" t="s">
        <v>61</v>
      </c>
      <c r="C541" s="35"/>
      <c r="D541" s="86"/>
      <c r="E541" s="86"/>
      <c r="F541" s="86">
        <v>3</v>
      </c>
      <c r="G541" s="86"/>
      <c r="H541" s="86"/>
      <c r="I541" s="30"/>
      <c r="K541" s="39"/>
      <c r="L541" s="40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x14ac:dyDescent="0.25">
      <c r="A542" s="35"/>
      <c r="B542" s="135" t="s">
        <v>62</v>
      </c>
      <c r="C542" s="35"/>
      <c r="D542" s="86"/>
      <c r="E542" s="86"/>
      <c r="F542" s="86">
        <v>4</v>
      </c>
      <c r="G542" s="86"/>
      <c r="H542" s="86"/>
      <c r="I542" s="30"/>
      <c r="K542" s="39"/>
      <c r="L542" s="40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x14ac:dyDescent="0.25">
      <c r="A543" s="35"/>
      <c r="B543" s="135" t="s">
        <v>63</v>
      </c>
      <c r="C543" s="35"/>
      <c r="D543" s="86"/>
      <c r="E543" s="86"/>
      <c r="F543" s="86">
        <v>5</v>
      </c>
      <c r="G543" s="86"/>
      <c r="H543" s="86"/>
      <c r="I543" s="30"/>
      <c r="K543" s="39"/>
      <c r="L543" s="40"/>
      <c r="T543" s="17"/>
      <c r="U543" s="17"/>
      <c r="V543" s="17"/>
      <c r="W543" s="17"/>
      <c r="X543" s="17"/>
      <c r="Y543" s="17"/>
      <c r="Z543" s="17"/>
    </row>
    <row r="544" spans="1:26" x14ac:dyDescent="0.25">
      <c r="A544" s="35"/>
      <c r="B544" s="135" t="s">
        <v>64</v>
      </c>
      <c r="C544" s="35"/>
      <c r="D544" s="86"/>
      <c r="E544" s="86"/>
      <c r="F544" s="86">
        <v>6</v>
      </c>
      <c r="G544" s="86"/>
      <c r="H544" s="86"/>
      <c r="I544" s="30"/>
      <c r="K544" s="39"/>
      <c r="L544" s="40"/>
      <c r="T544" s="17"/>
      <c r="U544" s="17"/>
      <c r="V544" s="17"/>
      <c r="W544" s="17"/>
      <c r="X544" s="17"/>
      <c r="Y544" s="17"/>
      <c r="Z544" s="17"/>
    </row>
    <row r="545" spans="1:26" x14ac:dyDescent="0.25">
      <c r="A545" s="35"/>
      <c r="B545" s="135" t="s">
        <v>65</v>
      </c>
      <c r="C545" s="35"/>
      <c r="D545" s="86"/>
      <c r="E545" s="86"/>
      <c r="F545" s="86">
        <v>7</v>
      </c>
      <c r="G545" s="86"/>
      <c r="H545" s="86"/>
      <c r="I545" s="30"/>
      <c r="K545" s="39"/>
      <c r="L545" s="40"/>
      <c r="T545" s="17"/>
      <c r="U545" s="17"/>
      <c r="V545" s="17"/>
      <c r="W545" s="17"/>
      <c r="X545" s="17"/>
      <c r="Y545" s="17"/>
      <c r="Z545" s="17"/>
    </row>
    <row r="546" spans="1:26" x14ac:dyDescent="0.25">
      <c r="A546" s="35"/>
      <c r="B546" s="135" t="s">
        <v>66</v>
      </c>
      <c r="C546" s="35"/>
      <c r="D546" s="86"/>
      <c r="E546" s="86"/>
      <c r="F546" s="86">
        <v>8</v>
      </c>
      <c r="G546" s="86"/>
      <c r="H546" s="86"/>
      <c r="I546" s="30"/>
      <c r="J546" s="32"/>
      <c r="K546" s="39"/>
      <c r="L546" s="40"/>
      <c r="T546" s="17"/>
      <c r="U546" s="17"/>
      <c r="V546" s="17"/>
      <c r="W546" s="17"/>
      <c r="X546" s="17"/>
      <c r="Y546" s="17"/>
      <c r="Z546" s="17"/>
    </row>
    <row r="547" spans="1:26" x14ac:dyDescent="0.25">
      <c r="A547" s="41" t="s">
        <v>127</v>
      </c>
      <c r="B547" s="135" t="s">
        <v>67</v>
      </c>
      <c r="C547" s="35"/>
      <c r="D547" s="151"/>
      <c r="E547" s="152" t="s">
        <v>40</v>
      </c>
      <c r="F547" s="151"/>
      <c r="G547" s="153"/>
      <c r="H547" s="153"/>
      <c r="I547" s="30">
        <v>0.5</v>
      </c>
      <c r="J547" s="32"/>
      <c r="K547" s="39"/>
      <c r="L547" s="40"/>
      <c r="T547" s="17"/>
      <c r="U547" s="17"/>
      <c r="V547" s="17"/>
      <c r="W547" s="17"/>
      <c r="X547" s="17"/>
      <c r="Y547" s="17"/>
      <c r="Z547" s="17"/>
    </row>
    <row r="548" spans="1:26" ht="94.5" x14ac:dyDescent="0.25">
      <c r="A548" s="35"/>
      <c r="B548" s="135" t="s">
        <v>68</v>
      </c>
      <c r="C548" s="55" t="s">
        <v>512</v>
      </c>
      <c r="D548" s="60">
        <v>48</v>
      </c>
      <c r="E548" s="60" t="s">
        <v>85</v>
      </c>
      <c r="F548" s="60" t="s">
        <v>513</v>
      </c>
      <c r="G548" s="61">
        <v>44610</v>
      </c>
      <c r="H548" s="62">
        <v>2264</v>
      </c>
      <c r="I548" s="218">
        <v>1</v>
      </c>
      <c r="J548" s="32"/>
      <c r="K548" s="39"/>
      <c r="L548" s="40"/>
      <c r="T548" s="17"/>
      <c r="U548" s="17"/>
      <c r="V548" s="17"/>
      <c r="W548" s="17"/>
      <c r="X548" s="17"/>
      <c r="Y548" s="17"/>
      <c r="Z548" s="17"/>
    </row>
    <row r="549" spans="1:26" ht="110.25" x14ac:dyDescent="0.25">
      <c r="A549" s="35"/>
      <c r="B549" s="138">
        <v>0.79166666666666663</v>
      </c>
      <c r="C549" s="97" t="s">
        <v>514</v>
      </c>
      <c r="D549" s="60">
        <v>48</v>
      </c>
      <c r="E549" s="60" t="s">
        <v>248</v>
      </c>
      <c r="F549" s="60" t="s">
        <v>515</v>
      </c>
      <c r="G549" s="61">
        <v>44604</v>
      </c>
      <c r="H549" s="86">
        <v>2141</v>
      </c>
      <c r="I549" s="30">
        <v>1</v>
      </c>
      <c r="J549" s="32"/>
      <c r="K549" s="39"/>
      <c r="L549" s="40"/>
      <c r="T549" s="17"/>
      <c r="U549" s="17"/>
      <c r="V549" s="17"/>
      <c r="W549" s="17"/>
      <c r="X549" s="17"/>
      <c r="Y549" s="17"/>
      <c r="Z549" s="17"/>
    </row>
    <row r="550" spans="1:26" ht="63" x14ac:dyDescent="0.25">
      <c r="A550" s="35"/>
      <c r="B550" s="138">
        <v>0.83333333333333337</v>
      </c>
      <c r="C550" s="97" t="s">
        <v>516</v>
      </c>
      <c r="D550" s="60">
        <v>54</v>
      </c>
      <c r="E550" s="60" t="s">
        <v>125</v>
      </c>
      <c r="F550" s="60" t="s">
        <v>517</v>
      </c>
      <c r="G550" s="61">
        <v>44602</v>
      </c>
      <c r="H550" s="86">
        <v>2165</v>
      </c>
      <c r="I550" s="30">
        <v>1</v>
      </c>
      <c r="J550" s="32"/>
      <c r="K550" s="39"/>
      <c r="L550" s="40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47.25" x14ac:dyDescent="0.25">
      <c r="A551" s="35"/>
      <c r="B551" s="138">
        <v>0.875</v>
      </c>
      <c r="C551" s="97" t="s">
        <v>518</v>
      </c>
      <c r="D551" s="60">
        <v>54</v>
      </c>
      <c r="E551" s="60" t="s">
        <v>100</v>
      </c>
      <c r="F551" s="60" t="s">
        <v>519</v>
      </c>
      <c r="G551" s="61">
        <v>44610</v>
      </c>
      <c r="H551" s="62">
        <v>4347</v>
      </c>
      <c r="I551" s="218">
        <v>2</v>
      </c>
      <c r="J551" s="32"/>
      <c r="K551" s="39"/>
      <c r="L551" s="40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31.5" x14ac:dyDescent="0.25">
      <c r="A552" s="35"/>
      <c r="B552" s="138">
        <v>0.91666666666666663</v>
      </c>
      <c r="C552" s="97" t="s">
        <v>520</v>
      </c>
      <c r="D552" s="86"/>
      <c r="E552" s="86"/>
      <c r="F552" s="86"/>
      <c r="G552" s="86"/>
      <c r="H552" s="86"/>
      <c r="I552" s="30"/>
      <c r="J552" s="32"/>
      <c r="K552" s="39"/>
      <c r="L552" s="40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x14ac:dyDescent="0.25">
      <c r="A553" s="35"/>
      <c r="B553" s="139">
        <v>0.94791666666666663</v>
      </c>
      <c r="C553" s="35"/>
      <c r="D553" s="86"/>
      <c r="E553" s="86"/>
      <c r="F553" s="86"/>
      <c r="G553" s="86"/>
      <c r="H553" s="86"/>
      <c r="I553" s="30"/>
      <c r="J553" s="32"/>
      <c r="K553" s="39"/>
      <c r="L553" s="40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x14ac:dyDescent="0.25">
      <c r="A554" s="80"/>
      <c r="B554" s="132"/>
      <c r="C554" s="132"/>
      <c r="D554" s="132"/>
      <c r="E554" s="132"/>
      <c r="F554" s="132"/>
      <c r="G554" s="133"/>
      <c r="H554" s="51">
        <f t="shared" ref="H554:I554" si="26">SUM(H536:H553)</f>
        <v>37718</v>
      </c>
      <c r="I554" s="51">
        <f t="shared" si="26"/>
        <v>20</v>
      </c>
      <c r="J554" s="52"/>
      <c r="K554" s="51">
        <f>SUM(K536:K553)</f>
        <v>0</v>
      </c>
      <c r="L554" s="40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94.5" x14ac:dyDescent="0.25">
      <c r="A555" s="33">
        <f>A536+1</f>
        <v>44602</v>
      </c>
      <c r="B555" s="134" t="s">
        <v>54</v>
      </c>
      <c r="C555" s="97" t="s">
        <v>2862</v>
      </c>
      <c r="D555" s="68">
        <v>60</v>
      </c>
      <c r="E555" s="68" t="s">
        <v>204</v>
      </c>
      <c r="F555" s="68" t="s">
        <v>521</v>
      </c>
      <c r="G555" s="69">
        <v>44606</v>
      </c>
      <c r="H555" s="65">
        <v>1492</v>
      </c>
      <c r="I555" s="30">
        <v>1</v>
      </c>
      <c r="J555" s="32"/>
      <c r="K555" s="39"/>
      <c r="L555" s="40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78.75" x14ac:dyDescent="0.25">
      <c r="A556" s="41" t="s">
        <v>137</v>
      </c>
      <c r="B556" s="135" t="s">
        <v>57</v>
      </c>
      <c r="C556" s="97" t="s">
        <v>2863</v>
      </c>
      <c r="D556" s="68">
        <v>72</v>
      </c>
      <c r="E556" s="68" t="s">
        <v>522</v>
      </c>
      <c r="F556" s="68" t="s">
        <v>523</v>
      </c>
      <c r="G556" s="69">
        <v>44607</v>
      </c>
      <c r="H556" s="67">
        <v>2187</v>
      </c>
      <c r="I556" s="218">
        <v>1</v>
      </c>
      <c r="J556" s="32"/>
      <c r="K556" s="39"/>
      <c r="L556" s="40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47.25" x14ac:dyDescent="0.25">
      <c r="A557" s="35"/>
      <c r="B557" s="135" t="s">
        <v>58</v>
      </c>
      <c r="C557" s="97" t="s">
        <v>524</v>
      </c>
      <c r="D557" s="68">
        <v>72</v>
      </c>
      <c r="E557" s="68" t="s">
        <v>70</v>
      </c>
      <c r="F557" s="68" t="s">
        <v>525</v>
      </c>
      <c r="G557" s="69">
        <v>44603</v>
      </c>
      <c r="H557" s="67">
        <v>6426</v>
      </c>
      <c r="I557" s="218">
        <v>2</v>
      </c>
      <c r="J557" s="32"/>
      <c r="K557" s="39"/>
      <c r="L557" s="40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31.5" x14ac:dyDescent="0.25">
      <c r="A558" s="35"/>
      <c r="B558" s="135" t="s">
        <v>59</v>
      </c>
      <c r="C558" s="142"/>
      <c r="D558" s="154"/>
      <c r="E558" s="154"/>
      <c r="F558" s="154" t="s">
        <v>526</v>
      </c>
      <c r="G558" s="154"/>
      <c r="H558" s="67"/>
      <c r="J558" s="32"/>
      <c r="K558" s="39"/>
      <c r="L558" s="40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47.25" x14ac:dyDescent="0.25">
      <c r="A559" s="35"/>
      <c r="B559" s="135" t="s">
        <v>60</v>
      </c>
      <c r="C559" s="97" t="s">
        <v>527</v>
      </c>
      <c r="D559" s="68">
        <v>72</v>
      </c>
      <c r="E559" s="68" t="s">
        <v>85</v>
      </c>
      <c r="F559" s="68" t="s">
        <v>378</v>
      </c>
      <c r="G559" s="69">
        <v>44602</v>
      </c>
      <c r="H559" s="65">
        <v>9900</v>
      </c>
      <c r="I559" s="30">
        <v>3</v>
      </c>
      <c r="J559" s="32"/>
      <c r="K559" s="39"/>
      <c r="L559" s="40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x14ac:dyDescent="0.25">
      <c r="A560" s="35"/>
      <c r="B560" s="135" t="s">
        <v>61</v>
      </c>
      <c r="C560" s="35"/>
      <c r="D560" s="65"/>
      <c r="E560" s="65"/>
      <c r="F560" s="65"/>
      <c r="G560" s="65"/>
      <c r="H560" s="65"/>
      <c r="I560" s="30"/>
      <c r="J560" s="32"/>
      <c r="K560" s="39"/>
      <c r="L560" s="40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x14ac:dyDescent="0.25">
      <c r="A561" s="35"/>
      <c r="B561" s="135" t="s">
        <v>62</v>
      </c>
      <c r="C561" s="35"/>
      <c r="D561" s="65"/>
      <c r="E561" s="65"/>
      <c r="F561" s="65"/>
      <c r="G561" s="65"/>
      <c r="H561" s="65"/>
      <c r="I561" s="30"/>
      <c r="J561" s="32"/>
      <c r="K561" s="39"/>
      <c r="L561" s="40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x14ac:dyDescent="0.25">
      <c r="A562" s="35"/>
      <c r="B562" s="135" t="s">
        <v>63</v>
      </c>
      <c r="C562" s="35"/>
      <c r="D562" s="67"/>
      <c r="E562" s="67"/>
      <c r="F562" s="67"/>
      <c r="G562" s="67"/>
      <c r="H562" s="67"/>
      <c r="J562" s="32"/>
      <c r="K562" s="39"/>
      <c r="L562" s="40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78.75" x14ac:dyDescent="0.25">
      <c r="A563" s="35"/>
      <c r="B563" s="135" t="s">
        <v>64</v>
      </c>
      <c r="C563" s="55" t="s">
        <v>2864</v>
      </c>
      <c r="D563" s="68">
        <v>72</v>
      </c>
      <c r="E563" s="68" t="s">
        <v>85</v>
      </c>
      <c r="F563" s="68" t="s">
        <v>88</v>
      </c>
      <c r="G563" s="68" t="s">
        <v>2865</v>
      </c>
      <c r="H563" s="65">
        <v>9700</v>
      </c>
      <c r="I563" s="30">
        <v>3</v>
      </c>
      <c r="J563" s="32"/>
      <c r="K563" s="39"/>
      <c r="L563" s="40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x14ac:dyDescent="0.25">
      <c r="A564" s="35"/>
      <c r="B564" s="135" t="s">
        <v>65</v>
      </c>
      <c r="C564" s="35"/>
      <c r="D564" s="65"/>
      <c r="E564" s="65"/>
      <c r="F564" s="65">
        <v>2</v>
      </c>
      <c r="G564" s="65"/>
      <c r="H564" s="65"/>
      <c r="I564" s="30"/>
      <c r="J564" s="32"/>
      <c r="K564" s="39"/>
      <c r="L564" s="40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x14ac:dyDescent="0.25">
      <c r="A565" s="35"/>
      <c r="B565" s="135" t="s">
        <v>66</v>
      </c>
      <c r="C565" s="35"/>
      <c r="D565" s="65"/>
      <c r="E565" s="65"/>
      <c r="F565" s="65">
        <v>3</v>
      </c>
      <c r="G565" s="65"/>
      <c r="H565" s="65"/>
      <c r="I565" s="30"/>
      <c r="J565" s="32"/>
      <c r="K565" s="39"/>
      <c r="L565" s="40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x14ac:dyDescent="0.25">
      <c r="A566" s="35"/>
      <c r="B566" s="135" t="s">
        <v>67</v>
      </c>
      <c r="C566" s="35"/>
      <c r="D566" s="65"/>
      <c r="E566" s="65"/>
      <c r="F566" s="65"/>
      <c r="G566" s="65"/>
      <c r="H566" s="65"/>
      <c r="J566" s="32"/>
      <c r="K566" s="39"/>
      <c r="L566" s="40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x14ac:dyDescent="0.25">
      <c r="A567" s="35"/>
      <c r="B567" s="135" t="s">
        <v>68</v>
      </c>
      <c r="C567" s="35"/>
      <c r="D567" s="65"/>
      <c r="E567" s="65"/>
      <c r="F567" s="65"/>
      <c r="G567" s="65"/>
      <c r="H567" s="65"/>
      <c r="J567" s="32"/>
      <c r="K567" s="39"/>
      <c r="L567" s="40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x14ac:dyDescent="0.25">
      <c r="A568" s="35"/>
      <c r="B568" s="138">
        <v>0.79166666666666663</v>
      </c>
      <c r="C568" s="35"/>
      <c r="D568" s="155" t="s">
        <v>528</v>
      </c>
      <c r="E568" s="155"/>
      <c r="F568" s="155"/>
      <c r="G568" s="155"/>
      <c r="H568" s="155"/>
      <c r="J568" s="32"/>
      <c r="K568" s="39"/>
      <c r="L568" s="40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x14ac:dyDescent="0.25">
      <c r="A569" s="35"/>
      <c r="B569" s="138">
        <v>0.83333333333333337</v>
      </c>
      <c r="C569" s="35"/>
      <c r="D569" s="155"/>
      <c r="E569" s="155"/>
      <c r="F569" s="155"/>
      <c r="G569" s="155"/>
      <c r="H569" s="155"/>
      <c r="J569" s="32"/>
      <c r="K569" s="39"/>
      <c r="L569" s="40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x14ac:dyDescent="0.25">
      <c r="A570" s="35"/>
      <c r="B570" s="138">
        <v>0.875</v>
      </c>
      <c r="C570" s="35"/>
      <c r="D570" s="155"/>
      <c r="E570" s="155"/>
      <c r="F570" s="155"/>
      <c r="G570" s="155"/>
      <c r="H570" s="155"/>
      <c r="J570" s="32"/>
      <c r="K570" s="39"/>
      <c r="L570" s="40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x14ac:dyDescent="0.25">
      <c r="A571" s="35"/>
      <c r="B571" s="138">
        <v>0.91666666666666663</v>
      </c>
      <c r="C571" s="35"/>
      <c r="D571" s="155"/>
      <c r="E571" s="155"/>
      <c r="F571" s="155"/>
      <c r="G571" s="155"/>
      <c r="H571" s="155"/>
      <c r="I571" s="30"/>
      <c r="J571" s="32"/>
      <c r="K571" s="39"/>
      <c r="L571" s="40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x14ac:dyDescent="0.25">
      <c r="A572" s="35"/>
      <c r="B572" s="139">
        <v>0.94791666666666663</v>
      </c>
      <c r="C572" s="35"/>
      <c r="D572" s="155"/>
      <c r="E572" s="155"/>
      <c r="F572" s="155"/>
      <c r="G572" s="155"/>
      <c r="H572" s="155"/>
      <c r="I572" s="30"/>
      <c r="J572" s="32"/>
      <c r="K572" s="39"/>
      <c r="L572" s="40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x14ac:dyDescent="0.25">
      <c r="A573" s="80"/>
      <c r="B573" s="132"/>
      <c r="C573" s="132"/>
      <c r="D573" s="132"/>
      <c r="E573" s="132"/>
      <c r="F573" s="132"/>
      <c r="G573" s="133"/>
      <c r="H573" s="51">
        <f t="shared" ref="H573:I573" si="27">SUM(H555:H572)</f>
        <v>29705</v>
      </c>
      <c r="I573" s="51">
        <f t="shared" si="27"/>
        <v>10</v>
      </c>
      <c r="J573" s="52"/>
      <c r="K573" s="51">
        <f>SUM(K555:K572)</f>
        <v>0</v>
      </c>
      <c r="L573" s="40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63" x14ac:dyDescent="0.25">
      <c r="A574" s="156">
        <v>44603</v>
      </c>
      <c r="B574" s="134" t="s">
        <v>54</v>
      </c>
      <c r="C574" s="97" t="s">
        <v>529</v>
      </c>
      <c r="D574" s="68">
        <v>68</v>
      </c>
      <c r="E574" s="68" t="s">
        <v>530</v>
      </c>
      <c r="F574" s="68" t="s">
        <v>531</v>
      </c>
      <c r="G574" s="69">
        <v>44602</v>
      </c>
      <c r="H574" s="67">
        <v>9401</v>
      </c>
      <c r="I574" s="218">
        <v>4</v>
      </c>
      <c r="J574" s="32"/>
      <c r="K574" s="39"/>
      <c r="L574" s="40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63" x14ac:dyDescent="0.25">
      <c r="A575" s="41" t="s">
        <v>56</v>
      </c>
      <c r="B575" s="135" t="s">
        <v>57</v>
      </c>
      <c r="C575" s="97" t="s">
        <v>532</v>
      </c>
      <c r="D575" s="68">
        <v>500</v>
      </c>
      <c r="E575" s="68"/>
      <c r="F575" s="68"/>
      <c r="G575" s="68"/>
      <c r="H575" s="67"/>
      <c r="J575" s="32"/>
      <c r="K575" s="39"/>
      <c r="L575" s="40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x14ac:dyDescent="0.25">
      <c r="A576" s="35"/>
      <c r="B576" s="135" t="s">
        <v>58</v>
      </c>
      <c r="C576" s="35"/>
      <c r="D576" s="67"/>
      <c r="E576" s="67"/>
      <c r="F576" s="67"/>
      <c r="G576" s="67"/>
      <c r="H576" s="67"/>
      <c r="J576" s="32"/>
      <c r="K576" s="39"/>
      <c r="L576" s="40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x14ac:dyDescent="0.25">
      <c r="A577" s="35"/>
      <c r="B577" s="135" t="s">
        <v>59</v>
      </c>
      <c r="C577" s="35"/>
      <c r="D577" s="67"/>
      <c r="E577" s="67"/>
      <c r="F577" s="67"/>
      <c r="G577" s="67"/>
      <c r="H577" s="67"/>
      <c r="J577" s="32"/>
      <c r="K577" s="39"/>
      <c r="L577" s="40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x14ac:dyDescent="0.25">
      <c r="A578" s="43"/>
      <c r="B578" s="135" t="s">
        <v>60</v>
      </c>
      <c r="C578" s="35"/>
      <c r="D578" s="62"/>
      <c r="E578" s="62"/>
      <c r="F578" s="62"/>
      <c r="G578" s="62"/>
      <c r="H578" s="62"/>
      <c r="J578" s="32"/>
      <c r="K578" s="39"/>
      <c r="L578" s="40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x14ac:dyDescent="0.25">
      <c r="A579" s="35"/>
      <c r="B579" s="135" t="s">
        <v>61</v>
      </c>
      <c r="C579" s="35"/>
      <c r="D579" s="62"/>
      <c r="E579" s="62"/>
      <c r="F579" s="62"/>
      <c r="G579" s="62"/>
      <c r="H579" s="62"/>
      <c r="J579" s="32"/>
      <c r="K579" s="39"/>
      <c r="L579" s="40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31.5" x14ac:dyDescent="0.25">
      <c r="A580" s="35"/>
      <c r="B580" s="135" t="s">
        <v>62</v>
      </c>
      <c r="C580" s="55" t="s">
        <v>533</v>
      </c>
      <c r="D580" s="103">
        <v>48</v>
      </c>
      <c r="E580" s="84" t="s">
        <v>534</v>
      </c>
      <c r="F580" s="84" t="s">
        <v>535</v>
      </c>
      <c r="G580" s="84" t="s">
        <v>536</v>
      </c>
      <c r="H580" s="86">
        <v>5600</v>
      </c>
      <c r="I580" s="30">
        <v>6</v>
      </c>
      <c r="J580" s="32"/>
      <c r="K580" s="39"/>
      <c r="L580" s="40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63" x14ac:dyDescent="0.25">
      <c r="A581" s="35"/>
      <c r="B581" s="135" t="s">
        <v>63</v>
      </c>
      <c r="C581" s="55" t="s">
        <v>537</v>
      </c>
      <c r="D581" s="84"/>
      <c r="E581" s="84"/>
      <c r="F581" s="84">
        <v>2</v>
      </c>
      <c r="G581" s="84"/>
      <c r="H581" s="86"/>
      <c r="I581" s="30"/>
      <c r="J581" s="32"/>
      <c r="K581" s="39"/>
      <c r="L581" s="40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x14ac:dyDescent="0.25">
      <c r="A582" s="35"/>
      <c r="B582" s="135" t="s">
        <v>64</v>
      </c>
      <c r="C582" s="71"/>
      <c r="D582" s="84"/>
      <c r="E582" s="84"/>
      <c r="F582" s="84">
        <v>3</v>
      </c>
      <c r="G582" s="84"/>
      <c r="H582" s="86"/>
      <c r="I582" s="30">
        <v>3</v>
      </c>
      <c r="J582" s="32"/>
      <c r="K582" s="39"/>
      <c r="L582" s="40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x14ac:dyDescent="0.25">
      <c r="A583" s="35"/>
      <c r="B583" s="135" t="s">
        <v>65</v>
      </c>
      <c r="C583" s="35"/>
      <c r="D583" s="86"/>
      <c r="E583" s="86"/>
      <c r="F583" s="86">
        <v>4</v>
      </c>
      <c r="G583" s="86"/>
      <c r="H583" s="86"/>
      <c r="I583" s="30"/>
      <c r="J583" s="32"/>
      <c r="K583" s="39"/>
      <c r="L583" s="40"/>
      <c r="T583" s="17"/>
      <c r="U583" s="17"/>
      <c r="V583" s="17"/>
      <c r="W583" s="17"/>
      <c r="X583" s="17"/>
      <c r="Y583" s="17"/>
      <c r="Z583" s="17"/>
    </row>
    <row r="584" spans="1:26" x14ac:dyDescent="0.25">
      <c r="A584" s="35"/>
      <c r="B584" s="135" t="s">
        <v>66</v>
      </c>
      <c r="C584" s="35"/>
      <c r="D584" s="86"/>
      <c r="E584" s="86"/>
      <c r="F584" s="86">
        <v>5</v>
      </c>
      <c r="G584" s="86"/>
      <c r="H584" s="86"/>
      <c r="J584" s="32"/>
      <c r="K584" s="39"/>
      <c r="L584" s="40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x14ac:dyDescent="0.25">
      <c r="A585" s="35"/>
      <c r="B585" s="135" t="s">
        <v>67</v>
      </c>
      <c r="C585" s="35"/>
      <c r="D585" s="62"/>
      <c r="E585" s="62"/>
      <c r="F585" s="62"/>
      <c r="G585" s="62"/>
      <c r="H585" s="62"/>
      <c r="J585" s="32"/>
      <c r="K585" s="39"/>
      <c r="L585" s="40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78.75" x14ac:dyDescent="0.25">
      <c r="A586" s="35"/>
      <c r="B586" s="135" t="s">
        <v>68</v>
      </c>
      <c r="C586" s="97" t="s">
        <v>538</v>
      </c>
      <c r="D586" s="60">
        <v>48</v>
      </c>
      <c r="E586" s="60" t="s">
        <v>70</v>
      </c>
      <c r="F586" s="60" t="s">
        <v>539</v>
      </c>
      <c r="G586" s="60" t="s">
        <v>540</v>
      </c>
      <c r="H586" s="62">
        <v>2097</v>
      </c>
      <c r="I586" s="218">
        <v>1</v>
      </c>
      <c r="J586" s="32"/>
      <c r="K586" s="39"/>
      <c r="L586" s="40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47.25" x14ac:dyDescent="0.25">
      <c r="A587" s="35"/>
      <c r="B587" s="138">
        <v>0.79166666666666663</v>
      </c>
      <c r="C587" s="55" t="s">
        <v>541</v>
      </c>
      <c r="D587" s="60">
        <v>51</v>
      </c>
      <c r="E587" s="60" t="s">
        <v>121</v>
      </c>
      <c r="F587" s="60" t="s">
        <v>542</v>
      </c>
      <c r="G587" s="61">
        <v>44609</v>
      </c>
      <c r="H587" s="121">
        <v>5123</v>
      </c>
      <c r="I587" s="218">
        <v>3</v>
      </c>
      <c r="J587" s="32"/>
      <c r="K587" s="39"/>
      <c r="L587" s="40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47.25" x14ac:dyDescent="0.25">
      <c r="A588" s="35"/>
      <c r="B588" s="138">
        <v>0.83333333333333337</v>
      </c>
      <c r="C588" s="55" t="s">
        <v>543</v>
      </c>
      <c r="D588" s="60"/>
      <c r="E588" s="60"/>
      <c r="F588" s="60"/>
      <c r="G588" s="60"/>
      <c r="H588" s="121"/>
      <c r="J588" s="32"/>
      <c r="K588" s="39"/>
      <c r="L588" s="40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x14ac:dyDescent="0.25">
      <c r="A589" s="35"/>
      <c r="B589" s="138">
        <v>0.875</v>
      </c>
      <c r="C589" s="35"/>
      <c r="D589" s="62"/>
      <c r="E589" s="62"/>
      <c r="F589" s="62"/>
      <c r="G589" s="62"/>
      <c r="H589" s="62"/>
      <c r="J589" s="32"/>
      <c r="K589" s="39"/>
      <c r="L589" s="40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x14ac:dyDescent="0.25">
      <c r="A590" s="35"/>
      <c r="B590" s="138">
        <v>0.91666666666666663</v>
      </c>
      <c r="C590" s="35"/>
      <c r="D590" s="86"/>
      <c r="E590" s="86"/>
      <c r="F590" s="86"/>
      <c r="G590" s="86"/>
      <c r="H590" s="86"/>
      <c r="I590" s="30"/>
      <c r="J590" s="32"/>
      <c r="K590" s="39"/>
      <c r="L590" s="40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x14ac:dyDescent="0.25">
      <c r="A591" s="35"/>
      <c r="B591" s="139">
        <v>0.94791666666666663</v>
      </c>
      <c r="C591" s="35"/>
      <c r="D591" s="86"/>
      <c r="E591" s="86"/>
      <c r="F591" s="86"/>
      <c r="G591" s="86"/>
      <c r="H591" s="86"/>
      <c r="I591" s="30"/>
      <c r="J591" s="32"/>
      <c r="K591" s="39"/>
      <c r="L591" s="40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x14ac:dyDescent="0.25">
      <c r="A592" s="80"/>
      <c r="B592" s="131"/>
      <c r="C592" s="132"/>
      <c r="D592" s="132"/>
      <c r="E592" s="132"/>
      <c r="F592" s="132"/>
      <c r="G592" s="133"/>
      <c r="H592" s="51">
        <f t="shared" ref="H592:I592" si="28">SUM(H578:H591)</f>
        <v>12820</v>
      </c>
      <c r="I592" s="51">
        <f t="shared" si="28"/>
        <v>13</v>
      </c>
      <c r="J592" s="52"/>
      <c r="K592" s="51">
        <f>SUM(K574:K591)</f>
        <v>0</v>
      </c>
      <c r="L592" s="40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63" x14ac:dyDescent="0.25">
      <c r="A593" s="33">
        <f>A574+3</f>
        <v>44606</v>
      </c>
      <c r="B593" s="134" t="s">
        <v>54</v>
      </c>
      <c r="C593" s="97" t="s">
        <v>544</v>
      </c>
      <c r="D593" s="60">
        <v>60</v>
      </c>
      <c r="E593" s="60" t="s">
        <v>248</v>
      </c>
      <c r="F593" s="60" t="s">
        <v>545</v>
      </c>
      <c r="G593" s="61">
        <v>44607</v>
      </c>
      <c r="H593" s="62">
        <v>3000</v>
      </c>
      <c r="I593" s="218">
        <v>1</v>
      </c>
      <c r="K593" s="39"/>
      <c r="L593" s="40"/>
      <c r="U593" s="17"/>
      <c r="V593" s="17"/>
      <c r="W593" s="17"/>
      <c r="X593" s="17"/>
      <c r="Y593" s="17"/>
      <c r="Z593" s="17"/>
    </row>
    <row r="594" spans="1:26" ht="78.75" x14ac:dyDescent="0.25">
      <c r="A594" s="41" t="s">
        <v>72</v>
      </c>
      <c r="B594" s="135" t="s">
        <v>57</v>
      </c>
      <c r="C594" s="55" t="s">
        <v>546</v>
      </c>
      <c r="D594" s="60">
        <v>60</v>
      </c>
      <c r="E594" s="60" t="s">
        <v>248</v>
      </c>
      <c r="F594" s="60" t="s">
        <v>547</v>
      </c>
      <c r="G594" s="69">
        <v>44609</v>
      </c>
      <c r="H594" s="122">
        <v>3000</v>
      </c>
      <c r="I594" s="218">
        <v>1.5</v>
      </c>
      <c r="K594" s="39"/>
      <c r="L594" s="40"/>
      <c r="U594" s="17"/>
      <c r="V594" s="17"/>
      <c r="W594" s="17"/>
      <c r="X594" s="17"/>
      <c r="Y594" s="17"/>
      <c r="Z594" s="17"/>
    </row>
    <row r="595" spans="1:26" ht="110.25" x14ac:dyDescent="0.25">
      <c r="A595" s="35"/>
      <c r="B595" s="135" t="s">
        <v>58</v>
      </c>
      <c r="C595" s="97" t="s">
        <v>548</v>
      </c>
      <c r="D595" s="60">
        <v>60</v>
      </c>
      <c r="E595" s="60" t="s">
        <v>140</v>
      </c>
      <c r="F595" s="60" t="s">
        <v>549</v>
      </c>
      <c r="G595" s="61">
        <v>44607</v>
      </c>
      <c r="H595" s="62">
        <v>1500</v>
      </c>
      <c r="I595" s="218">
        <v>1</v>
      </c>
      <c r="K595" s="39"/>
      <c r="L595" s="40"/>
      <c r="U595" s="17"/>
      <c r="V595" s="17"/>
      <c r="W595" s="17"/>
      <c r="X595" s="17"/>
      <c r="Y595" s="17"/>
      <c r="Z595" s="17"/>
    </row>
    <row r="596" spans="1:26" ht="94.5" x14ac:dyDescent="0.25">
      <c r="A596" s="35"/>
      <c r="B596" s="135" t="s">
        <v>59</v>
      </c>
      <c r="C596" s="55" t="s">
        <v>550</v>
      </c>
      <c r="D596" s="60">
        <v>72</v>
      </c>
      <c r="E596" s="60" t="s">
        <v>140</v>
      </c>
      <c r="F596" s="60" t="s">
        <v>551</v>
      </c>
      <c r="G596" s="61">
        <v>44610</v>
      </c>
      <c r="H596" s="62">
        <v>1997</v>
      </c>
      <c r="I596" s="218">
        <v>1</v>
      </c>
      <c r="K596" s="39"/>
      <c r="L596" s="40"/>
      <c r="U596" s="17"/>
      <c r="V596" s="17"/>
      <c r="W596" s="17"/>
      <c r="X596" s="17"/>
      <c r="Y596" s="17"/>
      <c r="Z596" s="17"/>
    </row>
    <row r="597" spans="1:26" ht="110.25" x14ac:dyDescent="0.25">
      <c r="A597" s="35"/>
      <c r="B597" s="135" t="s">
        <v>60</v>
      </c>
      <c r="C597" s="97" t="s">
        <v>552</v>
      </c>
      <c r="D597" s="60">
        <v>72</v>
      </c>
      <c r="E597" s="60" t="s">
        <v>151</v>
      </c>
      <c r="F597" s="60" t="s">
        <v>553</v>
      </c>
      <c r="G597" s="61">
        <v>44603</v>
      </c>
      <c r="H597" s="62">
        <v>5794</v>
      </c>
      <c r="I597" s="218">
        <v>3</v>
      </c>
      <c r="K597" s="39"/>
      <c r="L597" s="40"/>
      <c r="U597" s="17"/>
      <c r="V597" s="17"/>
      <c r="W597" s="17"/>
      <c r="X597" s="17"/>
      <c r="Y597" s="17"/>
      <c r="Z597" s="17"/>
    </row>
    <row r="598" spans="1:26" ht="31.5" x14ac:dyDescent="0.25">
      <c r="A598" s="35"/>
      <c r="B598" s="135" t="s">
        <v>61</v>
      </c>
      <c r="C598" s="97" t="s">
        <v>554</v>
      </c>
      <c r="D598" s="60"/>
      <c r="E598" s="60"/>
      <c r="F598" s="60"/>
      <c r="G598" s="60" t="s">
        <v>555</v>
      </c>
      <c r="H598" s="62"/>
      <c r="K598" s="39"/>
      <c r="L598" s="40"/>
      <c r="U598" s="17"/>
      <c r="V598" s="17"/>
      <c r="W598" s="17"/>
      <c r="X598" s="17"/>
      <c r="Y598" s="17"/>
      <c r="Z598" s="17"/>
    </row>
    <row r="599" spans="1:26" x14ac:dyDescent="0.25">
      <c r="A599" s="35"/>
      <c r="B599" s="135" t="s">
        <v>62</v>
      </c>
      <c r="C599" s="35"/>
      <c r="D599" s="60"/>
      <c r="E599" s="60"/>
      <c r="F599" s="60"/>
      <c r="G599" s="60"/>
      <c r="H599" s="60"/>
      <c r="K599" s="39"/>
      <c r="L599" s="40"/>
      <c r="U599" s="17"/>
      <c r="V599" s="17"/>
      <c r="W599" s="17"/>
      <c r="X599" s="17"/>
      <c r="Y599" s="17"/>
      <c r="Z599" s="17"/>
    </row>
    <row r="600" spans="1:26" x14ac:dyDescent="0.25">
      <c r="A600" s="35"/>
      <c r="B600" s="135" t="s">
        <v>63</v>
      </c>
      <c r="C600" s="35"/>
      <c r="D600" s="62"/>
      <c r="E600" s="62"/>
      <c r="F600" s="62"/>
      <c r="G600" s="62"/>
      <c r="H600" s="62"/>
      <c r="K600" s="39"/>
      <c r="L600" s="40"/>
      <c r="U600" s="17"/>
      <c r="V600" s="17"/>
      <c r="W600" s="17"/>
      <c r="X600" s="17"/>
      <c r="Y600" s="17"/>
      <c r="Z600" s="17"/>
    </row>
    <row r="601" spans="1:26" ht="47.25" x14ac:dyDescent="0.25">
      <c r="A601" s="35"/>
      <c r="B601" s="135" t="s">
        <v>64</v>
      </c>
      <c r="C601" s="55" t="s">
        <v>556</v>
      </c>
      <c r="D601" s="84">
        <v>72</v>
      </c>
      <c r="E601" s="84" t="s">
        <v>248</v>
      </c>
      <c r="F601" s="84" t="s">
        <v>557</v>
      </c>
      <c r="G601" s="136">
        <v>44613</v>
      </c>
      <c r="H601" s="86">
        <v>11021</v>
      </c>
      <c r="I601" s="30">
        <v>3</v>
      </c>
      <c r="K601" s="39"/>
      <c r="L601" s="40"/>
      <c r="U601" s="17"/>
      <c r="V601" s="17"/>
      <c r="W601" s="17"/>
      <c r="X601" s="17"/>
      <c r="Y601" s="17"/>
      <c r="Z601" s="17"/>
    </row>
    <row r="602" spans="1:26" ht="47.25" x14ac:dyDescent="0.25">
      <c r="A602" s="35"/>
      <c r="B602" s="135" t="s">
        <v>65</v>
      </c>
      <c r="C602" s="55" t="s">
        <v>558</v>
      </c>
      <c r="D602" s="84"/>
      <c r="E602" s="84"/>
      <c r="F602" s="84"/>
      <c r="G602" s="84"/>
      <c r="H602" s="86"/>
      <c r="I602" s="30"/>
      <c r="K602" s="39"/>
      <c r="L602" s="40"/>
      <c r="U602" s="17"/>
      <c r="V602" s="17"/>
      <c r="W602" s="17"/>
      <c r="X602" s="17"/>
      <c r="Y602" s="17"/>
      <c r="Z602" s="17"/>
    </row>
    <row r="603" spans="1:26" x14ac:dyDescent="0.25">
      <c r="A603" s="35"/>
      <c r="B603" s="135" t="s">
        <v>66</v>
      </c>
      <c r="C603" s="71"/>
      <c r="D603" s="84"/>
      <c r="E603" s="84"/>
      <c r="F603" s="84"/>
      <c r="G603" s="84"/>
      <c r="H603" s="86"/>
      <c r="I603" s="30"/>
      <c r="K603" s="39"/>
      <c r="L603" s="40"/>
      <c r="U603" s="17"/>
      <c r="V603" s="17"/>
      <c r="W603" s="17"/>
      <c r="X603" s="17"/>
      <c r="Y603" s="17"/>
      <c r="Z603" s="17"/>
    </row>
    <row r="604" spans="1:26" ht="63" x14ac:dyDescent="0.25">
      <c r="A604" s="35"/>
      <c r="B604" s="135" t="s">
        <v>67</v>
      </c>
      <c r="C604" s="55" t="s">
        <v>559</v>
      </c>
      <c r="D604" s="84">
        <v>72</v>
      </c>
      <c r="E604" s="84" t="s">
        <v>204</v>
      </c>
      <c r="F604" s="84" t="s">
        <v>560</v>
      </c>
      <c r="G604" s="136">
        <v>44615</v>
      </c>
      <c r="H604" s="86">
        <v>3763</v>
      </c>
      <c r="I604" s="30">
        <v>1.5</v>
      </c>
      <c r="K604" s="39"/>
      <c r="L604" s="40"/>
      <c r="U604" s="17"/>
      <c r="V604" s="17"/>
      <c r="W604" s="17"/>
      <c r="X604" s="17"/>
      <c r="Y604" s="17"/>
      <c r="Z604" s="17"/>
    </row>
    <row r="605" spans="1:26" ht="31.5" x14ac:dyDescent="0.25">
      <c r="A605" s="35"/>
      <c r="B605" s="135" t="s">
        <v>68</v>
      </c>
      <c r="C605" s="55" t="s">
        <v>561</v>
      </c>
      <c r="D605" s="84"/>
      <c r="E605" s="84"/>
      <c r="F605" s="84"/>
      <c r="G605" s="84"/>
      <c r="H605" s="86"/>
      <c r="I605" s="30"/>
      <c r="K605" s="39"/>
      <c r="L605" s="40"/>
      <c r="U605" s="17"/>
      <c r="V605" s="17"/>
      <c r="W605" s="17"/>
      <c r="X605" s="17"/>
      <c r="Y605" s="17"/>
      <c r="Z605" s="17"/>
    </row>
    <row r="606" spans="1:26" x14ac:dyDescent="0.25">
      <c r="A606" s="35"/>
      <c r="B606" s="138">
        <v>0.79166666666666663</v>
      </c>
      <c r="C606" s="35"/>
      <c r="D606" s="62"/>
      <c r="E606" s="62"/>
      <c r="F606" s="62"/>
      <c r="G606" s="62"/>
      <c r="H606" s="62"/>
      <c r="K606" s="39"/>
      <c r="L606" s="40"/>
      <c r="U606" s="17"/>
      <c r="V606" s="17"/>
      <c r="W606" s="17"/>
      <c r="X606" s="17"/>
      <c r="Y606" s="17"/>
      <c r="Z606" s="17"/>
    </row>
    <row r="607" spans="1:26" x14ac:dyDescent="0.25">
      <c r="A607" s="35"/>
      <c r="B607" s="138">
        <v>0.83333333333333337</v>
      </c>
      <c r="C607" s="35"/>
      <c r="D607" s="62"/>
      <c r="E607" s="62"/>
      <c r="F607" s="62"/>
      <c r="G607" s="62"/>
      <c r="H607" s="62"/>
      <c r="K607" s="39"/>
      <c r="L607" s="40"/>
      <c r="U607" s="17"/>
      <c r="V607" s="17"/>
      <c r="W607" s="17"/>
      <c r="X607" s="17"/>
      <c r="Y607" s="17"/>
      <c r="Z607" s="17"/>
    </row>
    <row r="608" spans="1:26" x14ac:dyDescent="0.25">
      <c r="A608" s="35"/>
      <c r="B608" s="138">
        <v>0.875</v>
      </c>
      <c r="C608" s="35"/>
      <c r="D608" s="62"/>
      <c r="E608" s="62"/>
      <c r="F608" s="62"/>
      <c r="G608" s="62"/>
      <c r="H608" s="62"/>
      <c r="K608" s="39"/>
      <c r="L608" s="40"/>
      <c r="U608" s="17"/>
      <c r="V608" s="17"/>
      <c r="W608" s="17"/>
      <c r="X608" s="17"/>
      <c r="Y608" s="17"/>
      <c r="Z608" s="17"/>
    </row>
    <row r="609" spans="1:26" x14ac:dyDescent="0.25">
      <c r="A609" s="35"/>
      <c r="B609" s="138">
        <v>0.91666666666666663</v>
      </c>
      <c r="C609" s="35"/>
      <c r="D609" s="62"/>
      <c r="E609" s="62"/>
      <c r="F609" s="62"/>
      <c r="G609" s="62"/>
      <c r="H609" s="62"/>
      <c r="K609" s="39"/>
      <c r="L609" s="40"/>
      <c r="U609" s="17"/>
      <c r="V609" s="17"/>
      <c r="W609" s="17"/>
      <c r="X609" s="17"/>
      <c r="Y609" s="17"/>
      <c r="Z609" s="17"/>
    </row>
    <row r="610" spans="1:26" x14ac:dyDescent="0.25">
      <c r="A610" s="35"/>
      <c r="B610" s="139">
        <v>0.94791666666666663</v>
      </c>
      <c r="C610" s="35"/>
      <c r="D610" s="62"/>
      <c r="E610" s="62"/>
      <c r="F610" s="62"/>
      <c r="G610" s="62"/>
      <c r="H610" s="62"/>
      <c r="K610" s="39"/>
      <c r="L610" s="40"/>
      <c r="U610" s="17"/>
      <c r="V610" s="17"/>
      <c r="W610" s="17"/>
      <c r="X610" s="17"/>
      <c r="Y610" s="17"/>
      <c r="Z610" s="17"/>
    </row>
    <row r="611" spans="1:26" x14ac:dyDescent="0.25">
      <c r="A611" s="80"/>
      <c r="B611" s="132"/>
      <c r="C611" s="132"/>
      <c r="D611" s="132"/>
      <c r="E611" s="132"/>
      <c r="F611" s="132"/>
      <c r="G611" s="133"/>
      <c r="H611" s="51">
        <f t="shared" ref="H611:I611" si="29">SUM(H593:H610)</f>
        <v>30075</v>
      </c>
      <c r="I611" s="51">
        <f t="shared" si="29"/>
        <v>12</v>
      </c>
      <c r="J611" s="52"/>
      <c r="K611" s="51">
        <f>SUM(K593:K610)</f>
        <v>0</v>
      </c>
      <c r="L611" s="40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63" x14ac:dyDescent="0.25">
      <c r="A612" s="33">
        <f>A593+1</f>
        <v>44607</v>
      </c>
      <c r="B612" s="134" t="s">
        <v>54</v>
      </c>
      <c r="C612" s="97" t="s">
        <v>562</v>
      </c>
      <c r="D612" s="60">
        <v>68</v>
      </c>
      <c r="E612" s="60" t="s">
        <v>563</v>
      </c>
      <c r="F612" s="60" t="s">
        <v>564</v>
      </c>
      <c r="G612" s="61">
        <v>44607</v>
      </c>
      <c r="H612" s="86">
        <v>25858</v>
      </c>
      <c r="I612" s="30">
        <v>8</v>
      </c>
      <c r="J612" s="32"/>
      <c r="K612" s="39"/>
      <c r="L612" s="40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47.25" x14ac:dyDescent="0.25">
      <c r="A613" s="41" t="s">
        <v>102</v>
      </c>
      <c r="B613" s="135" t="s">
        <v>57</v>
      </c>
      <c r="C613" s="97" t="s">
        <v>565</v>
      </c>
      <c r="D613" s="60" t="s">
        <v>497</v>
      </c>
      <c r="E613" s="60"/>
      <c r="F613" s="60" t="s">
        <v>566</v>
      </c>
      <c r="G613" s="60"/>
      <c r="H613" s="62"/>
      <c r="J613" s="32"/>
      <c r="K613" s="39"/>
      <c r="L613" s="40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x14ac:dyDescent="0.25">
      <c r="A614" s="35"/>
      <c r="B614" s="135" t="s">
        <v>58</v>
      </c>
      <c r="C614" s="35"/>
      <c r="D614" s="62"/>
      <c r="E614" s="62"/>
      <c r="F614" s="62">
        <v>3</v>
      </c>
      <c r="G614" s="62"/>
      <c r="H614" s="62"/>
      <c r="J614" s="32"/>
      <c r="K614" s="39"/>
      <c r="L614" s="40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x14ac:dyDescent="0.25">
      <c r="A615" s="35"/>
      <c r="B615" s="135" t="s">
        <v>59</v>
      </c>
      <c r="C615" s="35"/>
      <c r="D615" s="62"/>
      <c r="E615" s="62"/>
      <c r="F615" s="62">
        <v>4</v>
      </c>
      <c r="G615" s="62"/>
      <c r="H615" s="62"/>
      <c r="J615" s="32"/>
      <c r="K615" s="39"/>
      <c r="L615" s="40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x14ac:dyDescent="0.25">
      <c r="A616" s="35"/>
      <c r="B616" s="135" t="s">
        <v>60</v>
      </c>
      <c r="C616" s="35"/>
      <c r="D616" s="86"/>
      <c r="E616" s="86"/>
      <c r="F616" s="86">
        <v>5</v>
      </c>
      <c r="G616" s="86"/>
      <c r="H616" s="86"/>
      <c r="I616" s="30"/>
      <c r="J616" s="32"/>
      <c r="K616" s="39"/>
      <c r="L616" s="40"/>
      <c r="T616" s="17"/>
      <c r="U616" s="17"/>
      <c r="V616" s="17"/>
      <c r="W616" s="17"/>
      <c r="X616" s="17"/>
      <c r="Y616" s="17"/>
      <c r="Z616" s="17"/>
    </row>
    <row r="617" spans="1:26" x14ac:dyDescent="0.25">
      <c r="A617" s="35"/>
      <c r="B617" s="135" t="s">
        <v>61</v>
      </c>
      <c r="C617" s="35"/>
      <c r="D617" s="86"/>
      <c r="E617" s="86"/>
      <c r="F617" s="86">
        <v>6</v>
      </c>
      <c r="G617" s="86"/>
      <c r="H617" s="86"/>
      <c r="I617" s="30"/>
      <c r="J617" s="32"/>
      <c r="K617" s="39"/>
      <c r="L617" s="40"/>
      <c r="T617" s="17"/>
      <c r="U617" s="17"/>
      <c r="V617" s="17"/>
      <c r="W617" s="17"/>
      <c r="X617" s="17"/>
      <c r="Y617" s="17"/>
      <c r="Z617" s="17"/>
    </row>
    <row r="618" spans="1:26" x14ac:dyDescent="0.25">
      <c r="A618" s="35"/>
      <c r="B618" s="135" t="s">
        <v>62</v>
      </c>
      <c r="C618" s="35"/>
      <c r="D618" s="65"/>
      <c r="E618" s="65"/>
      <c r="F618" s="65">
        <v>7</v>
      </c>
      <c r="G618" s="65"/>
      <c r="H618" s="65"/>
      <c r="I618" s="30"/>
      <c r="J618" s="32"/>
      <c r="K618" s="39"/>
      <c r="L618" s="40"/>
      <c r="T618" s="17"/>
      <c r="U618" s="17"/>
      <c r="V618" s="17"/>
      <c r="W618" s="17"/>
      <c r="X618" s="17"/>
      <c r="Y618" s="17"/>
      <c r="Z618" s="17"/>
    </row>
    <row r="619" spans="1:26" x14ac:dyDescent="0.25">
      <c r="A619" s="35"/>
      <c r="B619" s="135" t="s">
        <v>63</v>
      </c>
      <c r="C619" s="35"/>
      <c r="D619" s="65"/>
      <c r="E619" s="65"/>
      <c r="F619" s="65">
        <v>8</v>
      </c>
      <c r="G619" s="65"/>
      <c r="H619" s="65"/>
      <c r="I619" s="30"/>
      <c r="J619" s="32"/>
      <c r="K619" s="39"/>
      <c r="L619" s="40"/>
      <c r="T619" s="17"/>
      <c r="U619" s="17"/>
      <c r="V619" s="17"/>
      <c r="W619" s="17"/>
      <c r="X619" s="17"/>
      <c r="Y619" s="17"/>
      <c r="Z619" s="17"/>
    </row>
    <row r="620" spans="1:26" x14ac:dyDescent="0.25">
      <c r="A620" s="35"/>
      <c r="B620" s="135" t="s">
        <v>64</v>
      </c>
      <c r="C620" s="35"/>
      <c r="D620" s="65"/>
      <c r="E620" s="65"/>
      <c r="F620" s="65"/>
      <c r="G620" s="65"/>
      <c r="H620" s="65"/>
      <c r="I620" s="30">
        <v>2</v>
      </c>
      <c r="J620" s="32" t="s">
        <v>567</v>
      </c>
      <c r="K620" s="39"/>
      <c r="L620" s="40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x14ac:dyDescent="0.25">
      <c r="A621" s="35"/>
      <c r="B621" s="135" t="s">
        <v>65</v>
      </c>
      <c r="C621" s="35"/>
      <c r="D621" s="65"/>
      <c r="E621" s="65"/>
      <c r="F621" s="65"/>
      <c r="G621" s="65"/>
      <c r="H621" s="65"/>
      <c r="I621" s="30"/>
      <c r="J621" s="32"/>
      <c r="K621" s="39"/>
      <c r="L621" s="40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63" x14ac:dyDescent="0.25">
      <c r="A622" s="35"/>
      <c r="B622" s="135" t="s">
        <v>66</v>
      </c>
      <c r="C622" s="97" t="s">
        <v>568</v>
      </c>
      <c r="D622" s="68">
        <v>68</v>
      </c>
      <c r="E622" s="68" t="s">
        <v>343</v>
      </c>
      <c r="F622" s="68" t="s">
        <v>569</v>
      </c>
      <c r="G622" s="69">
        <v>44607</v>
      </c>
      <c r="H622" s="65">
        <v>24599</v>
      </c>
      <c r="I622" s="30">
        <v>4</v>
      </c>
      <c r="J622" s="32"/>
      <c r="K622" s="39"/>
      <c r="L622" s="40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x14ac:dyDescent="0.25">
      <c r="A623" s="35"/>
      <c r="B623" s="135" t="s">
        <v>67</v>
      </c>
      <c r="C623" s="35"/>
      <c r="D623" s="65" t="s">
        <v>570</v>
      </c>
      <c r="E623" s="65"/>
      <c r="F623" s="65">
        <v>2</v>
      </c>
      <c r="G623" s="65"/>
      <c r="H623" s="65"/>
      <c r="I623" s="30"/>
      <c r="J623" s="32"/>
      <c r="K623" s="39"/>
      <c r="L623" s="40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x14ac:dyDescent="0.25">
      <c r="A624" s="35"/>
      <c r="B624" s="135" t="s">
        <v>68</v>
      </c>
      <c r="C624" s="35"/>
      <c r="D624" s="65"/>
      <c r="E624" s="65"/>
      <c r="F624" s="65">
        <v>3</v>
      </c>
      <c r="G624" s="65"/>
      <c r="H624" s="65"/>
      <c r="I624" s="30"/>
      <c r="J624" s="32"/>
      <c r="K624" s="39"/>
      <c r="L624" s="40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x14ac:dyDescent="0.25">
      <c r="A625" s="35"/>
      <c r="B625" s="138">
        <v>0.79166666666666663</v>
      </c>
      <c r="C625" s="35"/>
      <c r="D625" s="65"/>
      <c r="E625" s="65"/>
      <c r="F625" s="65">
        <v>4</v>
      </c>
      <c r="G625" s="65"/>
      <c r="H625" s="65"/>
      <c r="I625" s="30"/>
      <c r="J625" s="32"/>
      <c r="K625" s="39"/>
      <c r="L625" s="40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x14ac:dyDescent="0.25">
      <c r="A626" s="35"/>
      <c r="B626" s="138">
        <v>0.83333333333333337</v>
      </c>
      <c r="C626" s="35"/>
      <c r="D626" s="65"/>
      <c r="E626" s="65"/>
      <c r="F626" s="65"/>
      <c r="G626" s="65"/>
      <c r="H626" s="65"/>
      <c r="I626" s="30"/>
      <c r="J626" s="32"/>
      <c r="K626" s="39"/>
      <c r="L626" s="40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x14ac:dyDescent="0.25">
      <c r="A627" s="35"/>
      <c r="B627" s="138">
        <v>0.875</v>
      </c>
      <c r="C627" s="35"/>
      <c r="D627" s="65"/>
      <c r="E627" s="65"/>
      <c r="F627" s="65"/>
      <c r="G627" s="65"/>
      <c r="H627" s="65"/>
      <c r="I627" s="30"/>
      <c r="J627" s="32"/>
      <c r="K627" s="39"/>
      <c r="L627" s="40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x14ac:dyDescent="0.25">
      <c r="A628" s="35"/>
      <c r="B628" s="138">
        <v>0.91666666666666663</v>
      </c>
      <c r="C628" s="35"/>
      <c r="D628" s="65"/>
      <c r="E628" s="65"/>
      <c r="F628" s="65"/>
      <c r="G628" s="65"/>
      <c r="H628" s="65"/>
      <c r="I628" s="30"/>
      <c r="J628" s="32"/>
      <c r="K628" s="39"/>
      <c r="L628" s="40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x14ac:dyDescent="0.25">
      <c r="A629" s="35"/>
      <c r="B629" s="139">
        <v>0.94791666666666663</v>
      </c>
      <c r="C629" s="35"/>
      <c r="D629" s="65"/>
      <c r="E629" s="65"/>
      <c r="F629" s="65"/>
      <c r="G629" s="65"/>
      <c r="H629" s="65"/>
      <c r="I629" s="30"/>
      <c r="J629" s="32"/>
      <c r="K629" s="39"/>
      <c r="L629" s="40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x14ac:dyDescent="0.25">
      <c r="A630" s="80"/>
      <c r="B630" s="132"/>
      <c r="C630" s="132"/>
      <c r="D630" s="132"/>
      <c r="E630" s="132"/>
      <c r="F630" s="132"/>
      <c r="G630" s="133"/>
      <c r="H630" s="51">
        <f t="shared" ref="H630:I630" si="30">SUM(H612:H629)</f>
        <v>50457</v>
      </c>
      <c r="I630" s="51">
        <f t="shared" si="30"/>
        <v>14</v>
      </c>
      <c r="J630" s="52"/>
      <c r="K630" s="51">
        <f>SUM(K612:K629)</f>
        <v>0</v>
      </c>
      <c r="L630" s="40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x14ac:dyDescent="0.25">
      <c r="A631" s="33">
        <f>A612+1</f>
        <v>44608</v>
      </c>
      <c r="B631" s="134" t="s">
        <v>54</v>
      </c>
      <c r="C631" s="43" t="s">
        <v>571</v>
      </c>
      <c r="D631" s="65"/>
      <c r="E631" s="65"/>
      <c r="F631" s="65">
        <v>5</v>
      </c>
      <c r="G631" s="65"/>
      <c r="H631" s="65"/>
      <c r="I631" s="218">
        <v>3</v>
      </c>
      <c r="J631" s="32"/>
      <c r="K631" s="39"/>
      <c r="L631" s="40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x14ac:dyDescent="0.25">
      <c r="A632" s="41" t="s">
        <v>117</v>
      </c>
      <c r="B632" s="135" t="s">
        <v>57</v>
      </c>
      <c r="C632" s="35"/>
      <c r="D632" s="65"/>
      <c r="E632" s="65"/>
      <c r="F632" s="65">
        <v>6</v>
      </c>
      <c r="G632" s="65"/>
      <c r="H632" s="65"/>
      <c r="J632" s="32"/>
      <c r="K632" s="39"/>
      <c r="L632" s="40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x14ac:dyDescent="0.25">
      <c r="A633" s="43"/>
      <c r="B633" s="135" t="s">
        <v>58</v>
      </c>
      <c r="C633" s="35"/>
      <c r="D633" s="65"/>
      <c r="E633" s="65"/>
      <c r="F633" s="65">
        <v>7</v>
      </c>
      <c r="G633" s="65"/>
      <c r="H633" s="65"/>
      <c r="J633" s="32"/>
      <c r="K633" s="39"/>
      <c r="L633" s="40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x14ac:dyDescent="0.25">
      <c r="A634" s="35"/>
      <c r="B634" s="135" t="s">
        <v>59</v>
      </c>
      <c r="C634" s="35"/>
      <c r="D634" s="65"/>
      <c r="E634" s="65"/>
      <c r="F634" s="65"/>
      <c r="G634" s="65"/>
      <c r="H634" s="65"/>
      <c r="I634" s="218">
        <v>2</v>
      </c>
      <c r="J634" s="32" t="s">
        <v>567</v>
      </c>
      <c r="K634" s="39"/>
      <c r="L634" s="40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x14ac:dyDescent="0.25">
      <c r="A635" s="35"/>
      <c r="B635" s="135" t="s">
        <v>60</v>
      </c>
      <c r="C635" s="35"/>
      <c r="D635" s="13"/>
      <c r="E635" s="14" t="s">
        <v>40</v>
      </c>
      <c r="F635" s="13"/>
      <c r="G635" s="15"/>
      <c r="H635" s="15"/>
      <c r="I635" s="30">
        <v>0.5</v>
      </c>
      <c r="J635" s="32"/>
      <c r="K635" s="39"/>
      <c r="L635" s="40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63" x14ac:dyDescent="0.25">
      <c r="A636" s="35"/>
      <c r="B636" s="135" t="s">
        <v>61</v>
      </c>
      <c r="C636" s="97" t="s">
        <v>572</v>
      </c>
      <c r="D636" s="68">
        <v>66.667000000000002</v>
      </c>
      <c r="E636" s="68" t="s">
        <v>573</v>
      </c>
      <c r="F636" s="68" t="s">
        <v>574</v>
      </c>
      <c r="G636" s="69">
        <v>44608</v>
      </c>
      <c r="H636" s="65">
        <v>26871</v>
      </c>
      <c r="I636" s="30">
        <v>8</v>
      </c>
      <c r="J636" s="32"/>
      <c r="K636" s="39"/>
      <c r="L636" s="40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6" x14ac:dyDescent="0.25">
      <c r="A637" s="35"/>
      <c r="B637" s="135" t="s">
        <v>62</v>
      </c>
      <c r="C637" s="97" t="s">
        <v>575</v>
      </c>
      <c r="D637" s="68" t="s">
        <v>576</v>
      </c>
      <c r="E637" s="68"/>
      <c r="F637" s="68">
        <v>2</v>
      </c>
      <c r="G637" s="68"/>
      <c r="H637" s="65"/>
      <c r="I637" s="30"/>
      <c r="J637" s="32"/>
      <c r="K637" s="39"/>
      <c r="L637" s="40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x14ac:dyDescent="0.25">
      <c r="A638" s="35"/>
      <c r="B638" s="135" t="s">
        <v>63</v>
      </c>
      <c r="C638" s="35"/>
      <c r="D638" s="65"/>
      <c r="E638" s="65"/>
      <c r="F638" s="65">
        <v>3</v>
      </c>
      <c r="G638" s="65"/>
      <c r="H638" s="65"/>
      <c r="I638" s="30"/>
      <c r="J638" s="32"/>
      <c r="K638" s="39"/>
      <c r="L638" s="40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x14ac:dyDescent="0.25">
      <c r="A639" s="35"/>
      <c r="B639" s="135" t="s">
        <v>64</v>
      </c>
      <c r="C639" s="35"/>
      <c r="D639" s="65"/>
      <c r="E639" s="65"/>
      <c r="F639" s="65">
        <v>4</v>
      </c>
      <c r="G639" s="65"/>
      <c r="H639" s="65"/>
      <c r="I639" s="30"/>
      <c r="J639" s="32"/>
      <c r="K639" s="39"/>
      <c r="L639" s="40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x14ac:dyDescent="0.25">
      <c r="A640" s="35"/>
      <c r="B640" s="135" t="s">
        <v>65</v>
      </c>
      <c r="C640" s="35"/>
      <c r="D640" s="65"/>
      <c r="E640" s="65"/>
      <c r="F640" s="65">
        <v>5</v>
      </c>
      <c r="G640" s="65"/>
      <c r="H640" s="65"/>
      <c r="I640" s="30"/>
      <c r="J640" s="32"/>
      <c r="K640" s="39"/>
      <c r="L640" s="40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x14ac:dyDescent="0.25">
      <c r="A641" s="35"/>
      <c r="B641" s="135" t="s">
        <v>66</v>
      </c>
      <c r="C641" s="35"/>
      <c r="D641" s="65"/>
      <c r="E641" s="65"/>
      <c r="F641" s="65">
        <v>5</v>
      </c>
      <c r="G641" s="65"/>
      <c r="H641" s="65"/>
      <c r="I641" s="30"/>
      <c r="J641" s="32"/>
      <c r="K641" s="39"/>
      <c r="L641" s="40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x14ac:dyDescent="0.25">
      <c r="A642" s="41" t="s">
        <v>127</v>
      </c>
      <c r="B642" s="135" t="s">
        <v>67</v>
      </c>
      <c r="C642" s="35"/>
      <c r="D642" s="65"/>
      <c r="E642" s="65"/>
      <c r="F642" s="65">
        <v>6</v>
      </c>
      <c r="G642" s="65"/>
      <c r="H642" s="65"/>
      <c r="I642" s="30"/>
      <c r="J642" s="32"/>
      <c r="K642" s="39"/>
      <c r="L642" s="40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x14ac:dyDescent="0.25">
      <c r="A643" s="35"/>
      <c r="B643" s="135" t="s">
        <v>68</v>
      </c>
      <c r="C643" s="35"/>
      <c r="D643" s="65"/>
      <c r="E643" s="65"/>
      <c r="F643" s="65">
        <v>7</v>
      </c>
      <c r="G643" s="65"/>
      <c r="H643" s="65"/>
      <c r="J643" s="32"/>
      <c r="K643" s="39"/>
      <c r="L643" s="40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x14ac:dyDescent="0.25">
      <c r="A644" s="35"/>
      <c r="B644" s="138">
        <v>0.79166666666666663</v>
      </c>
      <c r="C644" s="35"/>
      <c r="D644" s="65"/>
      <c r="E644" s="65"/>
      <c r="F644" s="65">
        <v>8</v>
      </c>
      <c r="G644" s="65"/>
      <c r="H644" s="65"/>
      <c r="I644" s="30"/>
      <c r="J644" s="32"/>
      <c r="K644" s="39"/>
      <c r="L644" s="40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x14ac:dyDescent="0.25">
      <c r="A645" s="35"/>
      <c r="B645" s="138">
        <v>0.83333333333333337</v>
      </c>
      <c r="C645" s="35"/>
      <c r="D645" s="157"/>
      <c r="E645" s="158" t="s">
        <v>40</v>
      </c>
      <c r="F645" s="157"/>
      <c r="G645" s="159"/>
      <c r="H645" s="159"/>
      <c r="I645" s="30">
        <v>0.5</v>
      </c>
      <c r="J645" s="32"/>
      <c r="K645" s="39"/>
      <c r="L645" s="40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78.75" x14ac:dyDescent="0.25">
      <c r="A646" s="35"/>
      <c r="B646" s="138">
        <v>0.875</v>
      </c>
      <c r="C646" s="97" t="s">
        <v>577</v>
      </c>
      <c r="D646" s="68">
        <v>48</v>
      </c>
      <c r="E646" s="68" t="s">
        <v>100</v>
      </c>
      <c r="F646" s="68" t="s">
        <v>578</v>
      </c>
      <c r="G646" s="69">
        <v>44615</v>
      </c>
      <c r="H646" s="67">
        <v>2399</v>
      </c>
      <c r="I646" s="218">
        <v>1</v>
      </c>
      <c r="J646" s="32"/>
      <c r="K646" s="39"/>
      <c r="L646" s="40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94.5" x14ac:dyDescent="0.25">
      <c r="A647" s="35"/>
      <c r="B647" s="138">
        <v>0.91666666666666663</v>
      </c>
      <c r="C647" s="97" t="s">
        <v>579</v>
      </c>
      <c r="D647" s="68">
        <v>48</v>
      </c>
      <c r="E647" s="68" t="s">
        <v>70</v>
      </c>
      <c r="F647" s="68" t="s">
        <v>580</v>
      </c>
      <c r="G647" s="68" t="s">
        <v>581</v>
      </c>
      <c r="H647" s="67">
        <v>2213</v>
      </c>
      <c r="I647" s="218">
        <v>1</v>
      </c>
      <c r="J647" s="32"/>
      <c r="K647" s="39"/>
      <c r="L647" s="40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63" x14ac:dyDescent="0.25">
      <c r="A648" s="35"/>
      <c r="B648" s="139">
        <v>0.94791666666666663</v>
      </c>
      <c r="C648" s="97" t="s">
        <v>582</v>
      </c>
      <c r="D648" s="68">
        <v>48</v>
      </c>
      <c r="E648" s="68" t="s">
        <v>85</v>
      </c>
      <c r="F648" s="68" t="s">
        <v>583</v>
      </c>
      <c r="G648" s="69">
        <v>44609</v>
      </c>
      <c r="H648" s="67">
        <v>2218</v>
      </c>
      <c r="I648" s="218">
        <v>1</v>
      </c>
      <c r="J648" s="32"/>
      <c r="K648" s="39"/>
      <c r="L648" s="40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x14ac:dyDescent="0.25">
      <c r="A649" s="80"/>
      <c r="B649" s="132"/>
      <c r="C649" s="132"/>
      <c r="D649" s="132"/>
      <c r="E649" s="132"/>
      <c r="F649" s="132"/>
      <c r="G649" s="133"/>
      <c r="H649" s="51">
        <f t="shared" ref="H649:I649" si="31">SUM(H631:H648)</f>
        <v>33701</v>
      </c>
      <c r="I649" s="51">
        <f t="shared" si="31"/>
        <v>17</v>
      </c>
      <c r="J649" s="52"/>
      <c r="K649" s="51">
        <f>SUM(K631:K648)</f>
        <v>0</v>
      </c>
      <c r="L649" s="40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63" x14ac:dyDescent="0.25">
      <c r="A650" s="33">
        <f>A631+1</f>
        <v>44609</v>
      </c>
      <c r="B650" s="134" t="s">
        <v>54</v>
      </c>
      <c r="C650" s="97" t="s">
        <v>584</v>
      </c>
      <c r="D650" s="68">
        <v>48</v>
      </c>
      <c r="E650" s="68" t="s">
        <v>85</v>
      </c>
      <c r="F650" s="68" t="s">
        <v>585</v>
      </c>
      <c r="G650" s="69">
        <v>44609</v>
      </c>
      <c r="H650" s="67">
        <v>2249</v>
      </c>
      <c r="I650" s="218">
        <v>1</v>
      </c>
      <c r="J650" s="32"/>
      <c r="K650" s="39"/>
      <c r="L650" s="40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10.25" x14ac:dyDescent="0.25">
      <c r="A651" s="41" t="s">
        <v>137</v>
      </c>
      <c r="B651" s="135" t="s">
        <v>57</v>
      </c>
      <c r="C651" s="97" t="s">
        <v>586</v>
      </c>
      <c r="D651" s="68">
        <v>60</v>
      </c>
      <c r="E651" s="68" t="s">
        <v>140</v>
      </c>
      <c r="F651" s="68" t="s">
        <v>587</v>
      </c>
      <c r="G651" s="69">
        <v>44604</v>
      </c>
      <c r="H651" s="67">
        <v>3481</v>
      </c>
      <c r="I651" s="218">
        <v>2</v>
      </c>
      <c r="J651" s="32"/>
      <c r="K651" s="39"/>
      <c r="L651" s="40"/>
      <c r="T651" s="17"/>
      <c r="U651" s="17"/>
      <c r="V651" s="17"/>
      <c r="W651" s="17"/>
      <c r="X651" s="17"/>
      <c r="Y651" s="17"/>
      <c r="Z651" s="17"/>
    </row>
    <row r="652" spans="1:26" ht="31.5" x14ac:dyDescent="0.25">
      <c r="A652" s="35"/>
      <c r="B652" s="135" t="s">
        <v>58</v>
      </c>
      <c r="C652" s="97" t="s">
        <v>588</v>
      </c>
      <c r="D652" s="68"/>
      <c r="E652" s="68"/>
      <c r="F652" s="68"/>
      <c r="G652" s="68" t="s">
        <v>589</v>
      </c>
      <c r="H652" s="67"/>
      <c r="J652" s="32"/>
      <c r="K652" s="39"/>
      <c r="L652" s="40"/>
      <c r="T652" s="17"/>
      <c r="U652" s="17"/>
      <c r="V652" s="17"/>
      <c r="W652" s="17"/>
      <c r="X652" s="17"/>
      <c r="Y652" s="17"/>
      <c r="Z652" s="17"/>
    </row>
    <row r="653" spans="1:26" ht="126" x14ac:dyDescent="0.25">
      <c r="A653" s="35"/>
      <c r="B653" s="135" t="s">
        <v>59</v>
      </c>
      <c r="C653" s="97" t="s">
        <v>590</v>
      </c>
      <c r="D653" s="68">
        <v>60</v>
      </c>
      <c r="E653" s="68" t="s">
        <v>151</v>
      </c>
      <c r="F653" s="68" t="s">
        <v>591</v>
      </c>
      <c r="G653" s="69">
        <v>44613</v>
      </c>
      <c r="H653" s="67">
        <v>4066</v>
      </c>
      <c r="I653" s="218">
        <v>1</v>
      </c>
      <c r="J653" s="32"/>
      <c r="K653" s="39"/>
      <c r="L653" s="40"/>
      <c r="T653" s="17"/>
      <c r="U653" s="17"/>
      <c r="V653" s="17"/>
      <c r="W653" s="17"/>
      <c r="X653" s="17"/>
      <c r="Y653" s="17"/>
      <c r="Z653" s="17"/>
    </row>
    <row r="654" spans="1:26" ht="94.5" x14ac:dyDescent="0.25">
      <c r="A654" s="35"/>
      <c r="B654" s="135" t="s">
        <v>60</v>
      </c>
      <c r="C654" s="97" t="s">
        <v>592</v>
      </c>
      <c r="D654" s="68">
        <v>72</v>
      </c>
      <c r="E654" s="68" t="s">
        <v>18</v>
      </c>
      <c r="F654" s="68" t="s">
        <v>272</v>
      </c>
      <c r="G654" s="68" t="s">
        <v>593</v>
      </c>
      <c r="H654" s="67">
        <v>3865</v>
      </c>
      <c r="I654" s="218">
        <v>1</v>
      </c>
      <c r="J654" s="32"/>
      <c r="K654" s="39"/>
      <c r="L654" s="40"/>
      <c r="T654" s="17"/>
      <c r="U654" s="17"/>
      <c r="V654" s="17"/>
      <c r="W654" s="17"/>
      <c r="X654" s="17"/>
      <c r="Y654" s="17"/>
      <c r="Z654" s="17"/>
    </row>
    <row r="655" spans="1:26" x14ac:dyDescent="0.25">
      <c r="A655" s="35"/>
      <c r="B655" s="135" t="s">
        <v>61</v>
      </c>
      <c r="C655" s="35"/>
      <c r="D655" s="62"/>
      <c r="E655" s="62"/>
      <c r="F655" s="62"/>
      <c r="G655" s="62"/>
      <c r="H655" s="62"/>
      <c r="J655" s="32"/>
      <c r="K655" s="39"/>
      <c r="L655" s="40"/>
      <c r="T655" s="17"/>
      <c r="U655" s="17"/>
      <c r="V655" s="17"/>
      <c r="W655" s="17"/>
      <c r="X655" s="17"/>
      <c r="Y655" s="17"/>
      <c r="Z655" s="17"/>
    </row>
    <row r="656" spans="1:26" x14ac:dyDescent="0.25">
      <c r="A656" s="35"/>
      <c r="B656" s="135" t="s">
        <v>62</v>
      </c>
      <c r="C656" s="35"/>
      <c r="D656" s="62"/>
      <c r="E656" s="62"/>
      <c r="F656" s="62"/>
      <c r="G656" s="62"/>
      <c r="H656" s="62"/>
      <c r="J656" s="32"/>
      <c r="K656" s="39"/>
      <c r="L656" s="40"/>
      <c r="T656" s="17"/>
      <c r="U656" s="17"/>
      <c r="V656" s="17"/>
      <c r="W656" s="17"/>
      <c r="X656" s="17"/>
      <c r="Y656" s="17"/>
      <c r="Z656" s="17"/>
    </row>
    <row r="657" spans="1:26" x14ac:dyDescent="0.25">
      <c r="A657" s="35"/>
      <c r="B657" s="135" t="s">
        <v>63</v>
      </c>
      <c r="C657" s="35"/>
      <c r="D657" s="62"/>
      <c r="E657" s="62"/>
      <c r="F657" s="62"/>
      <c r="G657" s="62"/>
      <c r="H657" s="62"/>
      <c r="J657" s="32"/>
      <c r="K657" s="39"/>
      <c r="L657" s="40"/>
      <c r="T657" s="17"/>
      <c r="U657" s="17"/>
      <c r="V657" s="17"/>
      <c r="W657" s="17"/>
      <c r="X657" s="17"/>
      <c r="Y657" s="17"/>
      <c r="Z657" s="17"/>
    </row>
    <row r="658" spans="1:26" ht="47.25" x14ac:dyDescent="0.25">
      <c r="A658" s="35"/>
      <c r="B658" s="135" t="s">
        <v>64</v>
      </c>
      <c r="C658" s="55" t="s">
        <v>594</v>
      </c>
      <c r="D658" s="84">
        <v>72</v>
      </c>
      <c r="E658" s="84" t="s">
        <v>151</v>
      </c>
      <c r="F658" s="84" t="s">
        <v>595</v>
      </c>
      <c r="G658" s="136">
        <v>44615</v>
      </c>
      <c r="H658" s="86">
        <v>8543</v>
      </c>
      <c r="I658" s="30">
        <v>3</v>
      </c>
      <c r="J658" s="32"/>
      <c r="K658" s="39"/>
      <c r="L658" s="40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47.25" x14ac:dyDescent="0.25">
      <c r="A659" s="35"/>
      <c r="B659" s="135" t="s">
        <v>65</v>
      </c>
      <c r="C659" s="55" t="s">
        <v>596</v>
      </c>
      <c r="D659" s="84"/>
      <c r="E659" s="84"/>
      <c r="F659" s="84"/>
      <c r="G659" s="84"/>
      <c r="H659" s="86"/>
      <c r="I659" s="30"/>
      <c r="J659" s="32"/>
      <c r="K659" s="39"/>
      <c r="L659" s="40"/>
      <c r="T659" s="17"/>
      <c r="U659" s="17"/>
      <c r="V659" s="17"/>
      <c r="W659" s="17"/>
      <c r="X659" s="17"/>
      <c r="Y659" s="17"/>
      <c r="Z659" s="17"/>
    </row>
    <row r="660" spans="1:26" x14ac:dyDescent="0.25">
      <c r="A660" s="35"/>
      <c r="B660" s="135" t="s">
        <v>66</v>
      </c>
      <c r="C660" s="71"/>
      <c r="D660" s="84"/>
      <c r="E660" s="84"/>
      <c r="F660" s="84"/>
      <c r="G660" s="84"/>
      <c r="H660" s="86"/>
      <c r="I660" s="30"/>
      <c r="J660" s="32"/>
      <c r="K660" s="39"/>
      <c r="L660" s="40"/>
      <c r="T660" s="17"/>
      <c r="U660" s="17"/>
      <c r="V660" s="17"/>
      <c r="W660" s="17"/>
      <c r="X660" s="17"/>
      <c r="Y660" s="17"/>
      <c r="Z660" s="17"/>
    </row>
    <row r="661" spans="1:26" ht="47.25" x14ac:dyDescent="0.25">
      <c r="A661" s="35"/>
      <c r="B661" s="135" t="s">
        <v>67</v>
      </c>
      <c r="C661" s="55" t="s">
        <v>597</v>
      </c>
      <c r="D661" s="84">
        <v>72</v>
      </c>
      <c r="E661" s="84" t="s">
        <v>70</v>
      </c>
      <c r="F661" s="84" t="s">
        <v>598</v>
      </c>
      <c r="G661" s="136">
        <v>44615</v>
      </c>
      <c r="H661" s="86">
        <v>12698</v>
      </c>
      <c r="I661" s="30">
        <v>4</v>
      </c>
      <c r="J661" s="32"/>
      <c r="K661" s="39"/>
      <c r="L661" s="40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63" x14ac:dyDescent="0.25">
      <c r="A662" s="35"/>
      <c r="B662" s="135" t="s">
        <v>68</v>
      </c>
      <c r="C662" s="55" t="s">
        <v>599</v>
      </c>
      <c r="D662" s="84"/>
      <c r="E662" s="84"/>
      <c r="F662" s="84"/>
      <c r="G662" s="84"/>
      <c r="H662" s="86"/>
      <c r="I662" s="30"/>
      <c r="J662" s="32"/>
      <c r="K662" s="39"/>
      <c r="L662" s="40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x14ac:dyDescent="0.25">
      <c r="A663" s="35"/>
      <c r="B663" s="138">
        <v>0.79166666666666663</v>
      </c>
      <c r="C663" s="35"/>
      <c r="D663" s="86"/>
      <c r="E663" s="86"/>
      <c r="F663" s="86"/>
      <c r="G663" s="86"/>
      <c r="H663" s="86"/>
      <c r="I663" s="30"/>
      <c r="J663" s="32"/>
      <c r="K663" s="39"/>
      <c r="L663" s="40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x14ac:dyDescent="0.25">
      <c r="A664" s="35"/>
      <c r="B664" s="138">
        <v>0.83333333333333337</v>
      </c>
      <c r="C664" s="35"/>
      <c r="D664" s="86"/>
      <c r="E664" s="86"/>
      <c r="F664" s="86"/>
      <c r="G664" s="86"/>
      <c r="H664" s="86"/>
      <c r="I664" s="30"/>
      <c r="J664" s="32"/>
      <c r="K664" s="39"/>
      <c r="L664" s="40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x14ac:dyDescent="0.25">
      <c r="A665" s="35"/>
      <c r="B665" s="138">
        <v>0.875</v>
      </c>
      <c r="C665" s="35"/>
      <c r="D665" s="86"/>
      <c r="E665" s="86"/>
      <c r="F665" s="86"/>
      <c r="G665" s="86"/>
      <c r="H665" s="86"/>
      <c r="I665" s="30"/>
      <c r="J665" s="32"/>
      <c r="K665" s="39"/>
      <c r="L665" s="40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x14ac:dyDescent="0.25">
      <c r="A666" s="35"/>
      <c r="B666" s="138">
        <v>0.91666666666666663</v>
      </c>
      <c r="C666" s="35"/>
      <c r="D666" s="86"/>
      <c r="E666" s="86"/>
      <c r="F666" s="86"/>
      <c r="G666" s="86"/>
      <c r="H666" s="86"/>
      <c r="I666" s="30"/>
      <c r="J666" s="32"/>
      <c r="K666" s="39"/>
      <c r="L666" s="40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x14ac:dyDescent="0.25">
      <c r="A667" s="35"/>
      <c r="B667" s="139">
        <v>0.94791666666666663</v>
      </c>
      <c r="C667" s="35"/>
      <c r="D667" s="86"/>
      <c r="E667" s="86"/>
      <c r="F667" s="86"/>
      <c r="G667" s="86"/>
      <c r="H667" s="86"/>
      <c r="I667" s="30"/>
      <c r="J667" s="32"/>
      <c r="K667" s="39"/>
      <c r="L667" s="40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x14ac:dyDescent="0.25">
      <c r="A668" s="80"/>
      <c r="B668" s="132"/>
      <c r="C668" s="132"/>
      <c r="D668" s="132"/>
      <c r="E668" s="132"/>
      <c r="F668" s="132"/>
      <c r="G668" s="133"/>
      <c r="H668" s="51">
        <f t="shared" ref="H668:I668" si="32">SUM(H650:H667)</f>
        <v>34902</v>
      </c>
      <c r="I668" s="51">
        <f t="shared" si="32"/>
        <v>12</v>
      </c>
      <c r="J668" s="52"/>
      <c r="K668" s="51">
        <f>SUM(K650:K667)</f>
        <v>0</v>
      </c>
      <c r="L668" s="40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x14ac:dyDescent="0.25">
      <c r="A669" s="33">
        <f>A650+1</f>
        <v>44610</v>
      </c>
      <c r="B669" s="134" t="s">
        <v>54</v>
      </c>
      <c r="C669" s="35"/>
      <c r="J669" s="32"/>
      <c r="K669" s="39"/>
      <c r="L669" s="40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94.5" x14ac:dyDescent="0.25">
      <c r="A670" s="41" t="s">
        <v>56</v>
      </c>
      <c r="B670" s="135" t="s">
        <v>57</v>
      </c>
      <c r="C670" s="55" t="s">
        <v>600</v>
      </c>
      <c r="D670" s="60">
        <v>60</v>
      </c>
      <c r="E670" s="60" t="s">
        <v>70</v>
      </c>
      <c r="F670" s="60" t="s">
        <v>601</v>
      </c>
      <c r="G670" s="61">
        <v>44610</v>
      </c>
      <c r="H670" s="62">
        <v>2643</v>
      </c>
      <c r="I670" s="218">
        <v>1</v>
      </c>
      <c r="J670" s="32"/>
      <c r="K670" s="39"/>
      <c r="L670" s="40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63" x14ac:dyDescent="0.25">
      <c r="A671" s="35"/>
      <c r="B671" s="135" t="s">
        <v>58</v>
      </c>
      <c r="C671" s="97" t="s">
        <v>602</v>
      </c>
      <c r="D671" s="60">
        <v>72</v>
      </c>
      <c r="E671" s="60" t="s">
        <v>91</v>
      </c>
      <c r="F671" s="60" t="s">
        <v>603</v>
      </c>
      <c r="G671" s="61">
        <v>44609</v>
      </c>
      <c r="H671" s="62">
        <v>3142</v>
      </c>
      <c r="I671" s="218">
        <v>1</v>
      </c>
      <c r="J671" s="32"/>
      <c r="K671" s="39"/>
      <c r="L671" s="40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94.5" x14ac:dyDescent="0.25">
      <c r="A672" s="35"/>
      <c r="B672" s="135" t="s">
        <v>59</v>
      </c>
      <c r="C672" s="55" t="s">
        <v>604</v>
      </c>
      <c r="D672" s="60">
        <v>72</v>
      </c>
      <c r="E672" s="60" t="s">
        <v>91</v>
      </c>
      <c r="F672" s="60" t="s">
        <v>605</v>
      </c>
      <c r="G672" s="61">
        <v>44610</v>
      </c>
      <c r="H672" s="62">
        <v>3155</v>
      </c>
      <c r="I672" s="218">
        <v>1</v>
      </c>
      <c r="J672" s="32"/>
      <c r="K672" s="39"/>
      <c r="L672" s="40"/>
      <c r="T672" s="17"/>
      <c r="U672" s="17"/>
      <c r="V672" s="17"/>
      <c r="W672" s="17"/>
      <c r="X672" s="17"/>
      <c r="Y672" s="17"/>
      <c r="Z672" s="17"/>
    </row>
    <row r="673" spans="1:26" ht="47.25" x14ac:dyDescent="0.25">
      <c r="A673" s="43"/>
      <c r="B673" s="135" t="s">
        <v>60</v>
      </c>
      <c r="C673" s="97" t="s">
        <v>606</v>
      </c>
      <c r="D673" s="60">
        <v>72</v>
      </c>
      <c r="E673" s="60" t="s">
        <v>70</v>
      </c>
      <c r="F673" s="60" t="s">
        <v>607</v>
      </c>
      <c r="G673" s="61">
        <v>44617</v>
      </c>
      <c r="H673" s="86">
        <v>6455</v>
      </c>
      <c r="I673" s="30">
        <v>2</v>
      </c>
      <c r="J673" s="32"/>
      <c r="K673" s="39"/>
      <c r="L673" s="40"/>
      <c r="T673" s="17"/>
      <c r="U673" s="17"/>
      <c r="V673" s="17"/>
      <c r="W673" s="17"/>
      <c r="X673" s="17"/>
      <c r="Y673" s="17"/>
      <c r="Z673" s="17"/>
    </row>
    <row r="674" spans="1:26" ht="31.5" x14ac:dyDescent="0.25">
      <c r="A674" s="35"/>
      <c r="B674" s="135" t="s">
        <v>61</v>
      </c>
      <c r="C674" s="97" t="s">
        <v>608</v>
      </c>
      <c r="D674" s="60"/>
      <c r="E674" s="60"/>
      <c r="F674" s="60"/>
      <c r="G674" s="60"/>
      <c r="H674" s="86"/>
      <c r="I674" s="30"/>
      <c r="J674" s="32"/>
      <c r="K674" s="39"/>
      <c r="L674" s="40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78.75" x14ac:dyDescent="0.25">
      <c r="A675" s="35"/>
      <c r="B675" s="135" t="s">
        <v>62</v>
      </c>
      <c r="C675" s="55" t="s">
        <v>609</v>
      </c>
      <c r="D675" s="84">
        <v>72</v>
      </c>
      <c r="E675" s="84" t="s">
        <v>610</v>
      </c>
      <c r="F675" s="84" t="s">
        <v>611</v>
      </c>
      <c r="G675" s="136">
        <v>44614</v>
      </c>
      <c r="H675" s="86">
        <v>4427</v>
      </c>
      <c r="I675" s="30">
        <v>2</v>
      </c>
      <c r="J675" s="32"/>
      <c r="K675" s="39"/>
      <c r="L675" s="40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31.5" x14ac:dyDescent="0.25">
      <c r="A676" s="35"/>
      <c r="B676" s="135" t="s">
        <v>63</v>
      </c>
      <c r="C676" s="55" t="s">
        <v>612</v>
      </c>
      <c r="D676" s="86"/>
      <c r="E676" s="86"/>
      <c r="F676" s="86"/>
      <c r="G676" s="86" t="s">
        <v>613</v>
      </c>
      <c r="H676" s="86"/>
      <c r="I676" s="30"/>
      <c r="J676" s="32"/>
      <c r="K676" s="39"/>
      <c r="L676" s="40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x14ac:dyDescent="0.25">
      <c r="A677" s="35"/>
      <c r="B677" s="135" t="s">
        <v>64</v>
      </c>
      <c r="C677" s="35"/>
      <c r="D677" s="160" t="s">
        <v>614</v>
      </c>
      <c r="E677" s="160"/>
      <c r="F677" s="160"/>
      <c r="G677" s="160"/>
      <c r="H677" s="160"/>
      <c r="J677" s="32"/>
      <c r="K677" s="39"/>
      <c r="L677" s="40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x14ac:dyDescent="0.25">
      <c r="A678" s="35"/>
      <c r="B678" s="135" t="s">
        <v>65</v>
      </c>
      <c r="C678" s="35"/>
      <c r="D678" s="160"/>
      <c r="E678" s="160"/>
      <c r="F678" s="160"/>
      <c r="G678" s="160"/>
      <c r="H678" s="160"/>
      <c r="J678" s="32"/>
      <c r="K678" s="39"/>
      <c r="L678" s="40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x14ac:dyDescent="0.25">
      <c r="A679" s="35"/>
      <c r="B679" s="135" t="s">
        <v>66</v>
      </c>
      <c r="C679" s="35"/>
      <c r="D679" s="160"/>
      <c r="E679" s="160"/>
      <c r="F679" s="160"/>
      <c r="G679" s="160"/>
      <c r="H679" s="160"/>
      <c r="J679" s="32"/>
      <c r="K679" s="39"/>
      <c r="L679" s="40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x14ac:dyDescent="0.25">
      <c r="A680" s="35"/>
      <c r="B680" s="135" t="s">
        <v>67</v>
      </c>
      <c r="C680" s="35"/>
      <c r="D680" s="160"/>
      <c r="E680" s="160"/>
      <c r="F680" s="160"/>
      <c r="G680" s="160"/>
      <c r="H680" s="160"/>
      <c r="J680" s="32"/>
      <c r="K680" s="39"/>
      <c r="L680" s="40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x14ac:dyDescent="0.25">
      <c r="A681" s="35"/>
      <c r="B681" s="135" t="s">
        <v>68</v>
      </c>
      <c r="C681" s="35"/>
      <c r="D681" s="161"/>
      <c r="E681" s="161"/>
      <c r="F681" s="161"/>
      <c r="G681" s="161"/>
      <c r="H681" s="161"/>
      <c r="I681" s="30"/>
      <c r="J681" s="32"/>
      <c r="K681" s="39"/>
      <c r="L681" s="40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x14ac:dyDescent="0.25">
      <c r="A682" s="35"/>
      <c r="B682" s="138">
        <v>0.79166666666666663</v>
      </c>
      <c r="C682" s="35"/>
      <c r="D682" s="161"/>
      <c r="E682" s="161"/>
      <c r="F682" s="161"/>
      <c r="G682" s="161"/>
      <c r="H682" s="161"/>
      <c r="I682" s="30"/>
      <c r="J682" s="32"/>
      <c r="K682" s="39"/>
      <c r="L682" s="40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x14ac:dyDescent="0.25">
      <c r="A683" s="35"/>
      <c r="B683" s="138">
        <v>0.83333333333333337</v>
      </c>
      <c r="C683" s="35"/>
      <c r="D683" s="161"/>
      <c r="E683" s="161"/>
      <c r="F683" s="161"/>
      <c r="G683" s="161"/>
      <c r="H683" s="161"/>
      <c r="I683" s="30"/>
      <c r="J683" s="32"/>
      <c r="K683" s="39"/>
      <c r="L683" s="40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x14ac:dyDescent="0.25">
      <c r="A684" s="35"/>
      <c r="B684" s="138">
        <v>0.875</v>
      </c>
      <c r="C684" s="35"/>
      <c r="D684" s="161"/>
      <c r="E684" s="161"/>
      <c r="F684" s="161"/>
      <c r="G684" s="161"/>
      <c r="H684" s="161"/>
      <c r="I684" s="30"/>
      <c r="J684" s="32"/>
      <c r="K684" s="39"/>
      <c r="L684" s="40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x14ac:dyDescent="0.25">
      <c r="A685" s="35"/>
      <c r="B685" s="138">
        <v>0.91666666666666663</v>
      </c>
      <c r="C685" s="35"/>
      <c r="D685" s="32"/>
      <c r="E685" s="32"/>
      <c r="F685" s="32"/>
      <c r="G685" s="32"/>
      <c r="H685" s="32"/>
      <c r="I685" s="30"/>
      <c r="J685" s="32"/>
      <c r="K685" s="39"/>
      <c r="L685" s="40"/>
      <c r="T685" s="17"/>
      <c r="U685" s="17"/>
      <c r="V685" s="17"/>
      <c r="W685" s="17"/>
      <c r="X685" s="17"/>
      <c r="Y685" s="17"/>
      <c r="Z685" s="17"/>
    </row>
    <row r="686" spans="1:26" x14ac:dyDescent="0.25">
      <c r="A686" s="35"/>
      <c r="B686" s="139">
        <v>0.94791666666666663</v>
      </c>
      <c r="C686" s="35"/>
      <c r="D686" s="32"/>
      <c r="E686" s="32"/>
      <c r="F686" s="32"/>
      <c r="G686" s="32"/>
      <c r="H686" s="32"/>
      <c r="I686" s="30"/>
      <c r="J686" s="32"/>
      <c r="K686" s="39"/>
      <c r="L686" s="40"/>
      <c r="T686" s="17"/>
      <c r="U686" s="17"/>
      <c r="V686" s="17"/>
      <c r="W686" s="17"/>
      <c r="X686" s="17"/>
      <c r="Y686" s="17"/>
      <c r="Z686" s="17"/>
    </row>
    <row r="687" spans="1:26" x14ac:dyDescent="0.25">
      <c r="A687" s="80"/>
      <c r="B687" s="131"/>
      <c r="C687" s="132"/>
      <c r="D687" s="132"/>
      <c r="E687" s="132"/>
      <c r="F687" s="132"/>
      <c r="G687" s="133"/>
      <c r="H687" s="51">
        <f t="shared" ref="H687:I687" si="33">SUM(H670:H686)</f>
        <v>19822</v>
      </c>
      <c r="I687" s="51">
        <f t="shared" si="33"/>
        <v>7</v>
      </c>
      <c r="J687" s="52"/>
      <c r="K687" s="51">
        <f>SUM(K669:K686)</f>
        <v>0</v>
      </c>
      <c r="L687" s="40"/>
      <c r="T687" s="17"/>
      <c r="U687" s="17"/>
      <c r="V687" s="17"/>
      <c r="W687" s="17"/>
      <c r="X687" s="17"/>
      <c r="Y687" s="17"/>
      <c r="Z687" s="17"/>
    </row>
    <row r="688" spans="1:26" x14ac:dyDescent="0.25">
      <c r="A688" s="33">
        <f>A669+3</f>
        <v>44613</v>
      </c>
      <c r="B688" s="134" t="s">
        <v>54</v>
      </c>
      <c r="C688" s="35"/>
      <c r="D688" s="162" t="s">
        <v>615</v>
      </c>
      <c r="E688" s="162"/>
      <c r="F688" s="162"/>
      <c r="G688" s="162"/>
      <c r="H688" s="163"/>
      <c r="I688" s="218">
        <v>1</v>
      </c>
      <c r="J688" s="32"/>
      <c r="K688" s="39"/>
      <c r="L688" s="40"/>
      <c r="T688" s="17"/>
      <c r="U688" s="17"/>
      <c r="V688" s="17"/>
      <c r="W688" s="17"/>
      <c r="X688" s="17"/>
      <c r="Y688" s="17"/>
      <c r="Z688" s="17"/>
    </row>
    <row r="689" spans="1:26" ht="47.25" x14ac:dyDescent="0.25">
      <c r="A689" s="41" t="s">
        <v>72</v>
      </c>
      <c r="B689" s="135" t="s">
        <v>57</v>
      </c>
      <c r="C689" s="97" t="s">
        <v>616</v>
      </c>
      <c r="D689" s="60">
        <v>60</v>
      </c>
      <c r="E689" s="60" t="s">
        <v>70</v>
      </c>
      <c r="F689" s="60" t="s">
        <v>617</v>
      </c>
      <c r="G689" s="61">
        <v>44616</v>
      </c>
      <c r="H689" s="86">
        <v>5245</v>
      </c>
      <c r="I689" s="30">
        <v>2</v>
      </c>
      <c r="J689" s="32"/>
      <c r="K689" s="39"/>
      <c r="L689" s="40"/>
      <c r="T689" s="17"/>
      <c r="U689" s="17"/>
      <c r="V689" s="17"/>
      <c r="W689" s="17"/>
      <c r="X689" s="17"/>
      <c r="Y689" s="17"/>
      <c r="Z689" s="17"/>
    </row>
    <row r="690" spans="1:26" ht="31.5" x14ac:dyDescent="0.25">
      <c r="A690" s="35"/>
      <c r="B690" s="135" t="s">
        <v>58</v>
      </c>
      <c r="C690" s="97" t="s">
        <v>618</v>
      </c>
      <c r="D690" s="60"/>
      <c r="E690" s="60"/>
      <c r="F690" s="60"/>
      <c r="G690" s="60"/>
      <c r="H690" s="86"/>
      <c r="I690" s="30"/>
      <c r="J690" s="32"/>
      <c r="K690" s="39"/>
      <c r="L690" s="40"/>
      <c r="T690" s="17"/>
      <c r="U690" s="17"/>
      <c r="V690" s="17"/>
      <c r="W690" s="17"/>
      <c r="X690" s="17"/>
      <c r="Y690" s="17"/>
      <c r="Z690" s="17"/>
    </row>
    <row r="691" spans="1:26" ht="47.25" x14ac:dyDescent="0.25">
      <c r="A691" s="35"/>
      <c r="B691" s="135" t="s">
        <v>59</v>
      </c>
      <c r="C691" s="97" t="s">
        <v>619</v>
      </c>
      <c r="D691" s="60">
        <v>72</v>
      </c>
      <c r="E691" s="60" t="s">
        <v>70</v>
      </c>
      <c r="F691" s="60" t="s">
        <v>620</v>
      </c>
      <c r="G691" s="61">
        <v>44617</v>
      </c>
      <c r="H691" s="86">
        <v>6318</v>
      </c>
      <c r="I691" s="30">
        <v>2</v>
      </c>
      <c r="J691" s="32"/>
      <c r="K691" s="39"/>
      <c r="L691" s="40"/>
      <c r="T691" s="17"/>
      <c r="U691" s="17"/>
      <c r="V691" s="17"/>
      <c r="W691" s="17"/>
      <c r="X691" s="17"/>
      <c r="Y691" s="17"/>
      <c r="Z691" s="17"/>
    </row>
    <row r="692" spans="1:26" ht="31.5" x14ac:dyDescent="0.25">
      <c r="A692" s="35"/>
      <c r="B692" s="135" t="s">
        <v>60</v>
      </c>
      <c r="C692" s="97" t="s">
        <v>621</v>
      </c>
      <c r="D692" s="60"/>
      <c r="E692" s="60"/>
      <c r="F692" s="60"/>
      <c r="G692" s="60"/>
      <c r="H692" s="86"/>
      <c r="I692" s="30"/>
      <c r="J692" s="32"/>
      <c r="K692" s="39"/>
      <c r="L692" s="40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63" x14ac:dyDescent="0.25">
      <c r="A693" s="35"/>
      <c r="B693" s="135" t="s">
        <v>61</v>
      </c>
      <c r="C693" s="55" t="s">
        <v>622</v>
      </c>
      <c r="D693" s="84">
        <v>72</v>
      </c>
      <c r="E693" s="84" t="s">
        <v>25</v>
      </c>
      <c r="F693" s="84" t="s">
        <v>623</v>
      </c>
      <c r="G693" s="136">
        <v>44617</v>
      </c>
      <c r="H693" s="86">
        <v>6100</v>
      </c>
      <c r="I693" s="30">
        <v>2</v>
      </c>
      <c r="J693" s="32"/>
      <c r="K693" s="39"/>
      <c r="L693" s="40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31.5" x14ac:dyDescent="0.25">
      <c r="A694" s="35"/>
      <c r="B694" s="135" t="s">
        <v>62</v>
      </c>
      <c r="C694" s="55" t="s">
        <v>624</v>
      </c>
      <c r="D694" s="86"/>
      <c r="E694" s="86"/>
      <c r="F694" s="86"/>
      <c r="G694" s="86"/>
      <c r="H694" s="86"/>
      <c r="I694" s="30"/>
      <c r="J694" s="32"/>
      <c r="K694" s="39"/>
      <c r="L694" s="40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x14ac:dyDescent="0.25">
      <c r="A695" s="35"/>
      <c r="B695" s="135" t="s">
        <v>63</v>
      </c>
      <c r="C695" s="35"/>
      <c r="D695" s="86"/>
      <c r="E695" s="86"/>
      <c r="F695" s="86"/>
      <c r="G695" s="86"/>
      <c r="H695" s="86"/>
      <c r="I695" s="30"/>
      <c r="J695" s="32"/>
      <c r="K695" s="39"/>
      <c r="L695" s="40"/>
      <c r="T695" s="17"/>
      <c r="U695" s="17"/>
      <c r="V695" s="17"/>
      <c r="W695" s="17"/>
      <c r="X695" s="17"/>
      <c r="Y695" s="17"/>
      <c r="Z695" s="17"/>
    </row>
    <row r="696" spans="1:26" ht="78.75" x14ac:dyDescent="0.25">
      <c r="A696" s="35"/>
      <c r="B696" s="135" t="s">
        <v>64</v>
      </c>
      <c r="C696" s="55" t="s">
        <v>2866</v>
      </c>
      <c r="D696" s="60">
        <v>72</v>
      </c>
      <c r="E696" s="60" t="s">
        <v>85</v>
      </c>
      <c r="F696" s="60" t="s">
        <v>88</v>
      </c>
      <c r="G696" s="60" t="s">
        <v>625</v>
      </c>
      <c r="H696" s="62">
        <v>9700</v>
      </c>
      <c r="I696" s="218">
        <v>3</v>
      </c>
      <c r="J696" s="32"/>
      <c r="K696" s="39"/>
      <c r="L696" s="40"/>
      <c r="T696" s="17"/>
      <c r="U696" s="17"/>
      <c r="V696" s="17"/>
      <c r="W696" s="17"/>
      <c r="X696" s="17"/>
      <c r="Y696" s="17"/>
      <c r="Z696" s="17"/>
    </row>
    <row r="697" spans="1:26" x14ac:dyDescent="0.25">
      <c r="A697" s="35"/>
      <c r="B697" s="135" t="s">
        <v>65</v>
      </c>
      <c r="C697" s="35"/>
      <c r="D697" s="86"/>
      <c r="E697" s="86"/>
      <c r="F697" s="86">
        <v>2</v>
      </c>
      <c r="G697" s="86"/>
      <c r="H697" s="86"/>
      <c r="J697" s="32"/>
      <c r="K697" s="39"/>
      <c r="L697" s="40"/>
      <c r="T697" s="17"/>
      <c r="U697" s="17"/>
      <c r="V697" s="17"/>
      <c r="W697" s="17"/>
      <c r="X697" s="17"/>
      <c r="Y697" s="17"/>
      <c r="Z697" s="17"/>
    </row>
    <row r="698" spans="1:26" x14ac:dyDescent="0.25">
      <c r="A698" s="35"/>
      <c r="B698" s="135" t="s">
        <v>66</v>
      </c>
      <c r="C698" s="35"/>
      <c r="D698" s="86"/>
      <c r="E698" s="86"/>
      <c r="F698" s="86">
        <v>3</v>
      </c>
      <c r="G698" s="86"/>
      <c r="H698" s="86"/>
      <c r="J698" s="32"/>
      <c r="K698" s="39"/>
      <c r="L698" s="40"/>
      <c r="T698" s="17"/>
      <c r="U698" s="17"/>
      <c r="V698" s="17"/>
      <c r="W698" s="17"/>
      <c r="X698" s="17"/>
      <c r="Y698" s="17"/>
      <c r="Z698" s="17"/>
    </row>
    <row r="699" spans="1:26" ht="94.5" x14ac:dyDescent="0.25">
      <c r="A699" s="35"/>
      <c r="B699" s="135" t="s">
        <v>67</v>
      </c>
      <c r="C699" s="55" t="s">
        <v>626</v>
      </c>
      <c r="D699" s="60">
        <v>72</v>
      </c>
      <c r="E699" s="60" t="s">
        <v>85</v>
      </c>
      <c r="F699" s="60" t="s">
        <v>627</v>
      </c>
      <c r="G699" s="61">
        <v>44613</v>
      </c>
      <c r="H699" s="62">
        <v>12800</v>
      </c>
      <c r="I699" s="218">
        <v>4</v>
      </c>
      <c r="J699" s="32"/>
      <c r="K699" s="39"/>
      <c r="L699" s="40"/>
      <c r="T699" s="17"/>
      <c r="U699" s="17"/>
      <c r="V699" s="17"/>
      <c r="W699" s="17"/>
      <c r="X699" s="17"/>
      <c r="Y699" s="17"/>
      <c r="Z699" s="17"/>
    </row>
    <row r="700" spans="1:26" x14ac:dyDescent="0.25">
      <c r="A700" s="35"/>
      <c r="B700" s="135" t="s">
        <v>68</v>
      </c>
      <c r="C700" s="35"/>
      <c r="D700" s="86"/>
      <c r="E700" s="86"/>
      <c r="F700" s="86">
        <v>2</v>
      </c>
      <c r="G700" s="86"/>
      <c r="H700" s="86"/>
      <c r="J700" s="32"/>
      <c r="K700" s="39"/>
      <c r="L700" s="40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x14ac:dyDescent="0.25">
      <c r="A701" s="35"/>
      <c r="B701" s="138">
        <v>0.79166666666666663</v>
      </c>
      <c r="C701" s="35"/>
      <c r="D701" s="86"/>
      <c r="E701" s="86"/>
      <c r="F701" s="86">
        <v>3</v>
      </c>
      <c r="G701" s="86"/>
      <c r="H701" s="86"/>
      <c r="J701" s="32"/>
      <c r="K701" s="39"/>
      <c r="L701" s="40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x14ac:dyDescent="0.25">
      <c r="A702" s="35"/>
      <c r="B702" s="138">
        <v>0.83333333333333337</v>
      </c>
      <c r="C702" s="35"/>
      <c r="D702" s="86"/>
      <c r="E702" s="86"/>
      <c r="F702" s="86">
        <v>4</v>
      </c>
      <c r="G702" s="86"/>
      <c r="H702" s="86"/>
      <c r="I702" s="30"/>
      <c r="J702" s="32"/>
      <c r="K702" s="39"/>
      <c r="L702" s="40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x14ac:dyDescent="0.25">
      <c r="A703" s="35"/>
      <c r="B703" s="138">
        <v>0.875</v>
      </c>
      <c r="C703" s="35"/>
      <c r="D703" s="62"/>
      <c r="E703" s="62"/>
      <c r="F703" s="62"/>
      <c r="G703" s="62"/>
      <c r="H703" s="62"/>
      <c r="J703" s="32"/>
      <c r="K703" s="39"/>
      <c r="L703" s="40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x14ac:dyDescent="0.25">
      <c r="A704" s="35"/>
      <c r="B704" s="138">
        <v>0.91666666666666663</v>
      </c>
      <c r="C704" s="35"/>
      <c r="D704" s="62"/>
      <c r="E704" s="62"/>
      <c r="F704" s="62"/>
      <c r="G704" s="62"/>
      <c r="H704" s="62"/>
      <c r="I704" s="30"/>
      <c r="J704" s="32"/>
      <c r="K704" s="39"/>
      <c r="L704" s="40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x14ac:dyDescent="0.25">
      <c r="A705" s="35"/>
      <c r="B705" s="139">
        <v>0.94791666666666663</v>
      </c>
      <c r="C705" s="35"/>
      <c r="D705" s="86"/>
      <c r="E705" s="86"/>
      <c r="F705" s="86"/>
      <c r="G705" s="86"/>
      <c r="H705" s="86"/>
      <c r="I705" s="30"/>
      <c r="J705" s="32"/>
      <c r="K705" s="39"/>
      <c r="L705" s="40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x14ac:dyDescent="0.25">
      <c r="A706" s="80"/>
      <c r="B706" s="132"/>
      <c r="C706" s="132"/>
      <c r="D706" s="132"/>
      <c r="E706" s="132"/>
      <c r="F706" s="132"/>
      <c r="G706" s="133"/>
      <c r="H706" s="51">
        <f t="shared" ref="H706:I706" si="34">SUM(H688:H705)</f>
        <v>40163</v>
      </c>
      <c r="I706" s="51">
        <f t="shared" si="34"/>
        <v>14</v>
      </c>
      <c r="J706" s="52"/>
      <c r="K706" s="51">
        <f>SUM(K688:K705)</f>
        <v>0</v>
      </c>
      <c r="L706" s="40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x14ac:dyDescent="0.25">
      <c r="A707" s="33">
        <f>A688+1</f>
        <v>44614</v>
      </c>
      <c r="B707" s="134" t="s">
        <v>54</v>
      </c>
      <c r="C707" s="43" t="s">
        <v>628</v>
      </c>
      <c r="D707" s="86"/>
      <c r="E707" s="86"/>
      <c r="F707" s="86">
        <v>5</v>
      </c>
      <c r="G707" s="86"/>
      <c r="H707" s="65"/>
      <c r="I707" s="218">
        <v>2</v>
      </c>
      <c r="J707" s="32"/>
      <c r="K707" s="39"/>
      <c r="L707" s="40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x14ac:dyDescent="0.25">
      <c r="A708" s="41" t="s">
        <v>102</v>
      </c>
      <c r="B708" s="135" t="s">
        <v>57</v>
      </c>
      <c r="C708" s="35"/>
      <c r="D708" s="86"/>
      <c r="E708" s="86"/>
      <c r="F708" s="86">
        <v>6</v>
      </c>
      <c r="G708" s="86"/>
      <c r="H708" s="65"/>
      <c r="J708" s="32"/>
      <c r="K708" s="39"/>
      <c r="L708" s="40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63" x14ac:dyDescent="0.25">
      <c r="A709" s="35"/>
      <c r="B709" s="135" t="s">
        <v>58</v>
      </c>
      <c r="C709" s="55" t="s">
        <v>629</v>
      </c>
      <c r="D709" s="56">
        <v>36</v>
      </c>
      <c r="E709" s="57" t="s">
        <v>630</v>
      </c>
      <c r="F709" s="57" t="s">
        <v>631</v>
      </c>
      <c r="G709" s="57" t="s">
        <v>632</v>
      </c>
      <c r="H709" s="67">
        <v>5871</v>
      </c>
      <c r="I709" s="218">
        <v>3</v>
      </c>
      <c r="J709" s="32"/>
      <c r="K709" s="39"/>
      <c r="L709" s="40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63" x14ac:dyDescent="0.25">
      <c r="A710" s="35"/>
      <c r="B710" s="135" t="s">
        <v>59</v>
      </c>
      <c r="C710" s="55" t="s">
        <v>633</v>
      </c>
      <c r="D710" s="67"/>
      <c r="E710" s="67"/>
      <c r="F710" s="67"/>
      <c r="G710" s="67"/>
      <c r="H710" s="67"/>
      <c r="J710" s="32"/>
      <c r="K710" s="39"/>
      <c r="L710" s="40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x14ac:dyDescent="0.25">
      <c r="A711" s="35"/>
      <c r="B711" s="135" t="s">
        <v>60</v>
      </c>
      <c r="C711" s="35"/>
      <c r="D711" s="67"/>
      <c r="E711" s="67"/>
      <c r="F711" s="67"/>
      <c r="G711" s="67"/>
      <c r="H711" s="67"/>
      <c r="J711" s="32"/>
      <c r="K711" s="39"/>
      <c r="L711" s="40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10.25" x14ac:dyDescent="0.25">
      <c r="A712" s="35"/>
      <c r="B712" s="135" t="s">
        <v>61</v>
      </c>
      <c r="C712" s="55" t="s">
        <v>634</v>
      </c>
      <c r="D712" s="68">
        <v>48</v>
      </c>
      <c r="E712" s="68" t="s">
        <v>91</v>
      </c>
      <c r="F712" s="68" t="s">
        <v>635</v>
      </c>
      <c r="G712" s="69">
        <v>44614</v>
      </c>
      <c r="H712" s="67">
        <v>4004</v>
      </c>
      <c r="I712" s="218">
        <v>2</v>
      </c>
      <c r="J712" s="32"/>
      <c r="K712" s="39"/>
      <c r="L712" s="40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31.5" x14ac:dyDescent="0.25">
      <c r="A713" s="35"/>
      <c r="B713" s="135" t="s">
        <v>62</v>
      </c>
      <c r="C713" s="55" t="s">
        <v>636</v>
      </c>
      <c r="D713" s="68"/>
      <c r="E713" s="68"/>
      <c r="F713" s="68"/>
      <c r="G713" s="68"/>
      <c r="H713" s="67"/>
      <c r="J713" s="32"/>
      <c r="K713" s="39"/>
      <c r="L713" s="40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x14ac:dyDescent="0.25">
      <c r="A714" s="35"/>
      <c r="B714" s="135" t="s">
        <v>63</v>
      </c>
      <c r="C714" s="35"/>
      <c r="D714" s="67"/>
      <c r="E714" s="67"/>
      <c r="F714" s="67"/>
      <c r="G714" s="67"/>
      <c r="H714" s="67"/>
      <c r="J714" s="32"/>
      <c r="K714" s="39"/>
      <c r="L714" s="40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63" x14ac:dyDescent="0.25">
      <c r="A715" s="35"/>
      <c r="B715" s="135" t="s">
        <v>64</v>
      </c>
      <c r="C715" s="55" t="s">
        <v>637</v>
      </c>
      <c r="D715" s="68">
        <v>54</v>
      </c>
      <c r="E715" s="68" t="s">
        <v>257</v>
      </c>
      <c r="F715" s="68" t="s">
        <v>638</v>
      </c>
      <c r="G715" s="69">
        <v>44614</v>
      </c>
      <c r="H715" s="67">
        <v>3474</v>
      </c>
      <c r="I715" s="218">
        <v>2</v>
      </c>
      <c r="J715" s="32"/>
      <c r="K715" s="39"/>
      <c r="L715" s="40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31.5" x14ac:dyDescent="0.25">
      <c r="A716" s="35"/>
      <c r="B716" s="135" t="s">
        <v>65</v>
      </c>
      <c r="C716" s="55" t="s">
        <v>639</v>
      </c>
      <c r="D716" s="68"/>
      <c r="E716" s="68"/>
      <c r="F716" s="68"/>
      <c r="G716" s="68"/>
      <c r="H716" s="68"/>
      <c r="J716" s="32"/>
      <c r="K716" s="39"/>
      <c r="L716" s="40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63" x14ac:dyDescent="0.25">
      <c r="A717" s="35"/>
      <c r="B717" s="135" t="s">
        <v>66</v>
      </c>
      <c r="C717" s="55" t="s">
        <v>640</v>
      </c>
      <c r="D717" s="68">
        <v>72</v>
      </c>
      <c r="E717" s="68" t="s">
        <v>85</v>
      </c>
      <c r="F717" s="68" t="s">
        <v>490</v>
      </c>
      <c r="G717" s="69">
        <v>44614</v>
      </c>
      <c r="H717" s="67">
        <v>3200</v>
      </c>
      <c r="I717" s="218">
        <v>1</v>
      </c>
      <c r="J717" s="32"/>
      <c r="K717" s="39"/>
      <c r="L717" s="40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x14ac:dyDescent="0.25">
      <c r="A718" s="35"/>
      <c r="B718" s="135" t="s">
        <v>67</v>
      </c>
      <c r="C718" s="35"/>
      <c r="D718" s="67" t="s">
        <v>641</v>
      </c>
      <c r="E718" s="67"/>
      <c r="F718" s="67"/>
      <c r="G718" s="67"/>
      <c r="H718" s="67"/>
      <c r="I718" s="218">
        <v>4</v>
      </c>
      <c r="J718" s="32"/>
      <c r="K718" s="39"/>
      <c r="L718" s="40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x14ac:dyDescent="0.25">
      <c r="A719" s="35"/>
      <c r="B719" s="135" t="s">
        <v>68</v>
      </c>
      <c r="C719" s="35"/>
      <c r="D719" s="67"/>
      <c r="E719" s="67"/>
      <c r="F719" s="67"/>
      <c r="G719" s="67"/>
      <c r="H719" s="67"/>
      <c r="J719" s="32"/>
      <c r="K719" s="39"/>
      <c r="L719" s="40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x14ac:dyDescent="0.25">
      <c r="A720" s="35"/>
      <c r="B720" s="138">
        <v>0.79166666666666663</v>
      </c>
      <c r="C720" s="35"/>
      <c r="D720" s="67"/>
      <c r="E720" s="67"/>
      <c r="F720" s="67"/>
      <c r="G720" s="67"/>
      <c r="H720" s="67"/>
      <c r="J720" s="32"/>
      <c r="K720" s="39"/>
      <c r="L720" s="40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x14ac:dyDescent="0.25">
      <c r="A721" s="35"/>
      <c r="B721" s="138">
        <v>0.83333333333333337</v>
      </c>
      <c r="C721" s="35"/>
      <c r="D721" s="67"/>
      <c r="E721" s="67"/>
      <c r="F721" s="67"/>
      <c r="G721" s="67"/>
      <c r="H721" s="67"/>
      <c r="J721" s="32"/>
      <c r="K721" s="39"/>
      <c r="L721" s="40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x14ac:dyDescent="0.25">
      <c r="A722" s="35"/>
      <c r="B722" s="138">
        <v>0.875</v>
      </c>
      <c r="C722" s="35"/>
      <c r="D722" s="67"/>
      <c r="E722" s="67"/>
      <c r="F722" s="67"/>
      <c r="G722" s="67"/>
      <c r="H722" s="67"/>
      <c r="J722" s="32"/>
      <c r="K722" s="39"/>
      <c r="L722" s="40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x14ac:dyDescent="0.25">
      <c r="A723" s="35"/>
      <c r="B723" s="138">
        <v>0.91666666666666663</v>
      </c>
      <c r="C723" s="35"/>
      <c r="D723" s="65"/>
      <c r="E723" s="65"/>
      <c r="F723" s="65"/>
      <c r="G723" s="65"/>
      <c r="H723" s="65"/>
      <c r="I723" s="30"/>
      <c r="J723" s="32"/>
      <c r="K723" s="39"/>
      <c r="L723" s="40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x14ac:dyDescent="0.25">
      <c r="A724" s="35"/>
      <c r="B724" s="139">
        <v>0.94791666666666663</v>
      </c>
      <c r="C724" s="35"/>
      <c r="D724" s="65"/>
      <c r="E724" s="65"/>
      <c r="F724" s="65"/>
      <c r="G724" s="65"/>
      <c r="H724" s="65"/>
      <c r="I724" s="30"/>
      <c r="J724" s="32"/>
      <c r="K724" s="39"/>
      <c r="L724" s="40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x14ac:dyDescent="0.25">
      <c r="A725" s="80"/>
      <c r="B725" s="132"/>
      <c r="C725" s="132"/>
      <c r="D725" s="132"/>
      <c r="E725" s="132"/>
      <c r="F725" s="132"/>
      <c r="G725" s="133"/>
      <c r="H725" s="51">
        <f t="shared" ref="H725:I725" si="35">SUM(H707:H724)</f>
        <v>16549</v>
      </c>
      <c r="I725" s="51">
        <f t="shared" si="35"/>
        <v>14</v>
      </c>
      <c r="J725" s="52"/>
      <c r="K725" s="51">
        <f>SUM(K707:K724)</f>
        <v>0</v>
      </c>
      <c r="L725" s="40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78.75" x14ac:dyDescent="0.25">
      <c r="A726" s="33">
        <f>A707+1</f>
        <v>44615</v>
      </c>
      <c r="B726" s="134" t="s">
        <v>54</v>
      </c>
      <c r="C726" s="55" t="s">
        <v>642</v>
      </c>
      <c r="D726" s="68">
        <v>36</v>
      </c>
      <c r="E726" s="68" t="s">
        <v>151</v>
      </c>
      <c r="F726" s="68" t="s">
        <v>643</v>
      </c>
      <c r="G726" s="69">
        <v>44621</v>
      </c>
      <c r="H726" s="67">
        <v>4091</v>
      </c>
      <c r="I726" s="218">
        <v>3</v>
      </c>
      <c r="J726" s="32"/>
      <c r="K726" s="39"/>
      <c r="L726" s="40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47.25" x14ac:dyDescent="0.25">
      <c r="A727" s="41" t="s">
        <v>117</v>
      </c>
      <c r="B727" s="135" t="s">
        <v>57</v>
      </c>
      <c r="C727" s="55" t="s">
        <v>644</v>
      </c>
      <c r="D727" s="68"/>
      <c r="E727" s="68"/>
      <c r="F727" s="68"/>
      <c r="G727" s="68" t="s">
        <v>645</v>
      </c>
      <c r="H727" s="67"/>
      <c r="J727" s="32"/>
      <c r="K727" s="39"/>
      <c r="L727" s="40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x14ac:dyDescent="0.25">
      <c r="A728" s="43"/>
      <c r="B728" s="135" t="s">
        <v>58</v>
      </c>
      <c r="C728" s="43"/>
      <c r="D728" s="62"/>
      <c r="E728" s="62"/>
      <c r="F728" s="62"/>
      <c r="G728" s="62"/>
      <c r="H728" s="62"/>
      <c r="J728" s="32"/>
      <c r="K728" s="39"/>
      <c r="L728" s="40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47.25" x14ac:dyDescent="0.25">
      <c r="A729" s="35"/>
      <c r="B729" s="135" t="s">
        <v>59</v>
      </c>
      <c r="C729" s="55" t="s">
        <v>646</v>
      </c>
      <c r="D729" s="60">
        <v>51</v>
      </c>
      <c r="E729" s="60" t="s">
        <v>363</v>
      </c>
      <c r="F729" s="60" t="s">
        <v>647</v>
      </c>
      <c r="G729" s="61">
        <v>44621</v>
      </c>
      <c r="H729" s="62">
        <v>4768</v>
      </c>
      <c r="I729" s="218">
        <v>2</v>
      </c>
      <c r="J729" s="32"/>
      <c r="K729" s="39"/>
      <c r="L729" s="40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31.5" x14ac:dyDescent="0.25">
      <c r="A730" s="35"/>
      <c r="B730" s="135" t="s">
        <v>60</v>
      </c>
      <c r="C730" s="55" t="s">
        <v>648</v>
      </c>
      <c r="D730" s="60"/>
      <c r="E730" s="60"/>
      <c r="F730" s="60"/>
      <c r="G730" s="60" t="s">
        <v>649</v>
      </c>
      <c r="H730" s="62"/>
      <c r="J730" s="32"/>
      <c r="K730" s="39"/>
      <c r="L730" s="40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63" x14ac:dyDescent="0.25">
      <c r="A731" s="35"/>
      <c r="B731" s="135" t="s">
        <v>61</v>
      </c>
      <c r="C731" s="55" t="s">
        <v>650</v>
      </c>
      <c r="D731" s="84">
        <v>54</v>
      </c>
      <c r="E731" s="84" t="s">
        <v>651</v>
      </c>
      <c r="F731" s="84" t="s">
        <v>517</v>
      </c>
      <c r="G731" s="136">
        <v>44621</v>
      </c>
      <c r="H731" s="86">
        <v>2165</v>
      </c>
      <c r="I731" s="30">
        <v>1</v>
      </c>
      <c r="J731" s="32"/>
      <c r="K731" s="39"/>
      <c r="L731" s="40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x14ac:dyDescent="0.25">
      <c r="A732" s="35"/>
      <c r="B732" s="135" t="s">
        <v>62</v>
      </c>
      <c r="C732" s="35"/>
      <c r="D732" s="86"/>
      <c r="E732" s="86"/>
      <c r="F732" s="86"/>
      <c r="G732" s="86"/>
      <c r="H732" s="86"/>
      <c r="I732" s="30"/>
      <c r="J732" s="32"/>
      <c r="K732" s="39"/>
      <c r="L732" s="40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x14ac:dyDescent="0.25">
      <c r="A733" s="35"/>
      <c r="B733" s="135" t="s">
        <v>63</v>
      </c>
      <c r="C733" s="71"/>
      <c r="D733" s="84"/>
      <c r="E733" s="84"/>
      <c r="F733" s="84"/>
      <c r="G733" s="84"/>
      <c r="H733" s="86"/>
      <c r="I733" s="30"/>
      <c r="J733" s="32"/>
      <c r="K733" s="39"/>
      <c r="L733" s="40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63" x14ac:dyDescent="0.25">
      <c r="A734" s="35"/>
      <c r="B734" s="135" t="s">
        <v>64</v>
      </c>
      <c r="C734" s="55" t="s">
        <v>652</v>
      </c>
      <c r="D734" s="68">
        <v>72</v>
      </c>
      <c r="E734" s="68" t="s">
        <v>151</v>
      </c>
      <c r="F734" s="68" t="s">
        <v>653</v>
      </c>
      <c r="G734" s="69">
        <v>44621</v>
      </c>
      <c r="H734" s="67">
        <v>2877</v>
      </c>
      <c r="I734" s="218">
        <v>1</v>
      </c>
      <c r="J734" s="32"/>
      <c r="K734" s="39"/>
      <c r="L734" s="40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63" x14ac:dyDescent="0.25">
      <c r="A735" s="35"/>
      <c r="B735" s="135" t="s">
        <v>65</v>
      </c>
      <c r="C735" s="55" t="s">
        <v>654</v>
      </c>
      <c r="D735" s="57">
        <v>72</v>
      </c>
      <c r="E735" s="57" t="s">
        <v>271</v>
      </c>
      <c r="F735" s="57" t="s">
        <v>655</v>
      </c>
      <c r="G735" s="125">
        <v>44621</v>
      </c>
      <c r="H735" s="65">
        <v>3847</v>
      </c>
      <c r="I735" s="30">
        <v>1</v>
      </c>
      <c r="J735" s="32"/>
      <c r="K735" s="39"/>
      <c r="L735" s="40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78.75" x14ac:dyDescent="0.25">
      <c r="A736" s="35"/>
      <c r="B736" s="135" t="s">
        <v>66</v>
      </c>
      <c r="C736" s="55" t="s">
        <v>2867</v>
      </c>
      <c r="D736" s="68">
        <v>72</v>
      </c>
      <c r="E736" s="68" t="s">
        <v>85</v>
      </c>
      <c r="F736" s="68" t="s">
        <v>88</v>
      </c>
      <c r="G736" s="68" t="s">
        <v>2868</v>
      </c>
      <c r="H736" s="65">
        <v>9700</v>
      </c>
      <c r="I736" s="30">
        <v>3</v>
      </c>
      <c r="J736" s="32"/>
      <c r="K736" s="39"/>
      <c r="L736" s="40"/>
      <c r="T736" s="17"/>
      <c r="U736" s="17"/>
      <c r="V736" s="17"/>
      <c r="W736" s="17"/>
      <c r="X736" s="17"/>
      <c r="Y736" s="17"/>
      <c r="Z736" s="17"/>
    </row>
    <row r="737" spans="1:26" x14ac:dyDescent="0.25">
      <c r="A737" s="41"/>
      <c r="B737" s="135" t="s">
        <v>67</v>
      </c>
      <c r="C737" s="35"/>
      <c r="D737" s="65"/>
      <c r="E737" s="65"/>
      <c r="F737" s="65"/>
      <c r="G737" s="65"/>
      <c r="H737" s="65"/>
      <c r="I737" s="30"/>
      <c r="J737" s="32"/>
      <c r="K737" s="39"/>
      <c r="L737" s="40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x14ac:dyDescent="0.25">
      <c r="A738" s="35"/>
      <c r="B738" s="135" t="s">
        <v>68</v>
      </c>
      <c r="C738" s="35"/>
      <c r="D738" s="65"/>
      <c r="E738" s="65"/>
      <c r="F738" s="65"/>
      <c r="G738" s="65"/>
      <c r="H738" s="65"/>
      <c r="I738" s="30"/>
      <c r="J738" s="32"/>
      <c r="K738" s="39"/>
      <c r="L738" s="40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x14ac:dyDescent="0.25">
      <c r="A739" s="35"/>
      <c r="B739" s="138">
        <v>0.79166666666666663</v>
      </c>
      <c r="C739" s="35"/>
      <c r="D739" s="160" t="s">
        <v>656</v>
      </c>
      <c r="E739" s="160"/>
      <c r="F739" s="160"/>
      <c r="G739" s="160"/>
      <c r="H739" s="160"/>
      <c r="I739" s="218">
        <v>4</v>
      </c>
      <c r="J739" s="32"/>
      <c r="K739" s="39"/>
      <c r="L739" s="40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x14ac:dyDescent="0.25">
      <c r="A740" s="35"/>
      <c r="B740" s="138">
        <v>0.83333333333333337</v>
      </c>
      <c r="C740" s="35"/>
      <c r="D740" s="160"/>
      <c r="E740" s="160"/>
      <c r="F740" s="160"/>
      <c r="G740" s="160"/>
      <c r="H740" s="160"/>
      <c r="J740" s="32"/>
      <c r="K740" s="39"/>
      <c r="L740" s="40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x14ac:dyDescent="0.25">
      <c r="A741" s="35"/>
      <c r="B741" s="138">
        <v>0.875</v>
      </c>
      <c r="C741" s="35"/>
      <c r="D741" s="160"/>
      <c r="E741" s="160"/>
      <c r="F741" s="160"/>
      <c r="G741" s="160"/>
      <c r="H741" s="160"/>
      <c r="J741" s="32"/>
      <c r="K741" s="39"/>
      <c r="L741" s="40"/>
      <c r="T741" s="17"/>
      <c r="U741" s="17"/>
      <c r="V741" s="17"/>
      <c r="W741" s="17"/>
      <c r="X741" s="17"/>
      <c r="Y741" s="17"/>
      <c r="Z741" s="17"/>
    </row>
    <row r="742" spans="1:26" x14ac:dyDescent="0.25">
      <c r="A742" s="35"/>
      <c r="B742" s="138">
        <v>0.91666666666666663</v>
      </c>
      <c r="C742" s="35"/>
      <c r="D742" s="160"/>
      <c r="E742" s="160"/>
      <c r="F742" s="160"/>
      <c r="G742" s="160"/>
      <c r="H742" s="160"/>
      <c r="I742" s="30"/>
      <c r="J742" s="32"/>
      <c r="K742" s="39"/>
      <c r="L742" s="40"/>
      <c r="T742" s="17"/>
      <c r="U742" s="17"/>
      <c r="V742" s="17"/>
      <c r="W742" s="17"/>
      <c r="X742" s="17"/>
      <c r="Y742" s="17"/>
      <c r="Z742" s="17"/>
    </row>
    <row r="743" spans="1:26" x14ac:dyDescent="0.25">
      <c r="A743" s="35"/>
      <c r="B743" s="139">
        <v>0.94791666666666663</v>
      </c>
      <c r="C743" s="35"/>
      <c r="D743" s="67"/>
      <c r="E743" s="67"/>
      <c r="F743" s="67"/>
      <c r="G743" s="67"/>
      <c r="H743" s="67"/>
      <c r="J743" s="32"/>
      <c r="K743" s="39"/>
      <c r="L743" s="40"/>
      <c r="T743" s="17"/>
      <c r="U743" s="17"/>
      <c r="V743" s="17"/>
      <c r="W743" s="17"/>
      <c r="X743" s="17"/>
      <c r="Y743" s="17"/>
      <c r="Z743" s="17"/>
    </row>
    <row r="744" spans="1:26" x14ac:dyDescent="0.25">
      <c r="A744" s="80"/>
      <c r="B744" s="132"/>
      <c r="C744" s="132"/>
      <c r="D744" s="132"/>
      <c r="E744" s="132"/>
      <c r="F744" s="132"/>
      <c r="G744" s="133"/>
      <c r="H744" s="51">
        <f t="shared" ref="H744:I744" si="36">SUM(H726:H741)</f>
        <v>27448</v>
      </c>
      <c r="I744" s="51">
        <f t="shared" si="36"/>
        <v>15</v>
      </c>
      <c r="J744" s="52"/>
      <c r="K744" s="51">
        <f>SUM(K726:K743)</f>
        <v>0</v>
      </c>
      <c r="L744" s="40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63" x14ac:dyDescent="0.25">
      <c r="A745" s="33">
        <f>A726+1</f>
        <v>44616</v>
      </c>
      <c r="B745" s="134" t="s">
        <v>54</v>
      </c>
      <c r="C745" s="55" t="s">
        <v>657</v>
      </c>
      <c r="D745" s="57">
        <v>72</v>
      </c>
      <c r="E745" s="57" t="s">
        <v>204</v>
      </c>
      <c r="F745" s="57" t="s">
        <v>658</v>
      </c>
      <c r="G745" s="125">
        <v>44621</v>
      </c>
      <c r="H745" s="65">
        <v>2282</v>
      </c>
      <c r="I745" s="30">
        <v>1</v>
      </c>
      <c r="J745" s="32"/>
      <c r="K745" s="39"/>
      <c r="L745" s="40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47.25" x14ac:dyDescent="0.25">
      <c r="A746" s="41" t="s">
        <v>137</v>
      </c>
      <c r="B746" s="135" t="s">
        <v>57</v>
      </c>
      <c r="C746" s="55" t="s">
        <v>659</v>
      </c>
      <c r="D746" s="68">
        <v>68</v>
      </c>
      <c r="E746" s="68" t="s">
        <v>660</v>
      </c>
      <c r="F746" s="68" t="s">
        <v>661</v>
      </c>
      <c r="G746" s="69">
        <v>44616</v>
      </c>
      <c r="H746" s="67">
        <v>11415</v>
      </c>
      <c r="I746" s="218">
        <v>5</v>
      </c>
      <c r="J746" s="32"/>
      <c r="K746" s="39"/>
      <c r="L746" s="40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78.75" x14ac:dyDescent="0.25">
      <c r="A747" s="35"/>
      <c r="B747" s="135" t="s">
        <v>58</v>
      </c>
      <c r="C747" s="55" t="s">
        <v>662</v>
      </c>
      <c r="D747" s="67"/>
      <c r="E747" s="67"/>
      <c r="F747" s="67"/>
      <c r="G747" s="67"/>
      <c r="H747" s="67"/>
      <c r="J747" s="32"/>
      <c r="K747" s="39"/>
      <c r="L747" s="40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x14ac:dyDescent="0.25">
      <c r="A748" s="35"/>
      <c r="B748" s="135" t="s">
        <v>59</v>
      </c>
      <c r="C748" s="35"/>
      <c r="D748" s="67"/>
      <c r="E748" s="67"/>
      <c r="F748" s="67"/>
      <c r="G748" s="67"/>
      <c r="H748" s="67"/>
      <c r="J748" s="32"/>
      <c r="K748" s="39"/>
      <c r="L748" s="40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x14ac:dyDescent="0.25">
      <c r="A749" s="35"/>
      <c r="B749" s="135" t="s">
        <v>60</v>
      </c>
      <c r="C749" s="35"/>
      <c r="D749" s="67"/>
      <c r="E749" s="67"/>
      <c r="F749" s="67"/>
      <c r="G749" s="67"/>
      <c r="H749" s="67"/>
      <c r="J749" s="32"/>
      <c r="K749" s="39"/>
      <c r="L749" s="40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x14ac:dyDescent="0.25">
      <c r="A750" s="35"/>
      <c r="B750" s="135" t="s">
        <v>61</v>
      </c>
      <c r="C750" s="35"/>
      <c r="D750" s="67"/>
      <c r="E750" s="67"/>
      <c r="F750" s="67"/>
      <c r="G750" s="67"/>
      <c r="H750" s="67"/>
      <c r="J750" s="32"/>
      <c r="K750" s="39"/>
      <c r="L750" s="40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x14ac:dyDescent="0.25">
      <c r="A751" s="35"/>
      <c r="B751" s="135" t="s">
        <v>62</v>
      </c>
      <c r="C751" s="35"/>
      <c r="D751" s="67"/>
      <c r="E751" s="67"/>
      <c r="F751" s="67"/>
      <c r="G751" s="67"/>
      <c r="H751" s="67"/>
      <c r="J751" s="32"/>
      <c r="K751" s="39"/>
      <c r="L751" s="40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x14ac:dyDescent="0.25">
      <c r="A752" s="35"/>
      <c r="B752" s="135" t="s">
        <v>63</v>
      </c>
      <c r="C752" s="35"/>
      <c r="D752" s="67"/>
      <c r="E752" s="67"/>
      <c r="F752" s="67"/>
      <c r="G752" s="67"/>
      <c r="H752" s="67"/>
      <c r="J752" s="32"/>
      <c r="K752" s="39"/>
      <c r="L752" s="40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63" x14ac:dyDescent="0.25">
      <c r="A753" s="35"/>
      <c r="B753" s="135" t="s">
        <v>64</v>
      </c>
      <c r="C753" s="55" t="s">
        <v>663</v>
      </c>
      <c r="D753" s="57">
        <v>68</v>
      </c>
      <c r="E753" s="57" t="s">
        <v>115</v>
      </c>
      <c r="F753" s="57" t="s">
        <v>664</v>
      </c>
      <c r="G753" s="125">
        <v>44625</v>
      </c>
      <c r="H753" s="65">
        <v>28322</v>
      </c>
      <c r="I753" s="30">
        <v>4</v>
      </c>
      <c r="J753" s="32"/>
      <c r="K753" s="39"/>
      <c r="L753" s="40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6" x14ac:dyDescent="0.25">
      <c r="A754" s="35"/>
      <c r="B754" s="135" t="s">
        <v>65</v>
      </c>
      <c r="C754" s="55" t="s">
        <v>665</v>
      </c>
      <c r="D754" s="84"/>
      <c r="E754" s="84"/>
      <c r="F754" s="137">
        <v>2</v>
      </c>
      <c r="G754" s="84"/>
      <c r="H754" s="86"/>
      <c r="I754" s="30">
        <v>3</v>
      </c>
      <c r="J754" s="32" t="s">
        <v>567</v>
      </c>
      <c r="K754" s="39"/>
      <c r="L754" s="40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x14ac:dyDescent="0.25">
      <c r="A755" s="35"/>
      <c r="B755" s="135" t="s">
        <v>66</v>
      </c>
      <c r="C755" s="71"/>
      <c r="D755" s="84" t="s">
        <v>666</v>
      </c>
      <c r="E755" s="84"/>
      <c r="F755" s="137">
        <v>3</v>
      </c>
      <c r="G755" s="84"/>
      <c r="H755" s="86"/>
      <c r="I755" s="30"/>
      <c r="J755" s="32"/>
      <c r="K755" s="39"/>
      <c r="L755" s="40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x14ac:dyDescent="0.25">
      <c r="A756" s="35"/>
      <c r="B756" s="135" t="s">
        <v>67</v>
      </c>
      <c r="C756" s="35"/>
      <c r="D756" s="86"/>
      <c r="E756" s="86"/>
      <c r="F756" s="86">
        <v>4</v>
      </c>
      <c r="G756" s="86"/>
      <c r="H756" s="86"/>
      <c r="I756" s="30"/>
      <c r="J756" s="32"/>
      <c r="K756" s="39"/>
      <c r="L756" s="40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x14ac:dyDescent="0.25">
      <c r="A757" s="35"/>
      <c r="B757" s="135" t="s">
        <v>68</v>
      </c>
      <c r="C757" s="35"/>
      <c r="D757" s="86"/>
      <c r="E757" s="86"/>
      <c r="F757" s="86">
        <v>5</v>
      </c>
      <c r="G757" s="86"/>
      <c r="H757" s="86"/>
      <c r="J757" s="32"/>
      <c r="K757" s="39"/>
      <c r="L757" s="40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x14ac:dyDescent="0.25">
      <c r="A758" s="35"/>
      <c r="B758" s="138">
        <v>0.79166666666666663</v>
      </c>
      <c r="C758" s="35"/>
      <c r="D758" s="86"/>
      <c r="E758" s="86"/>
      <c r="F758" s="86">
        <v>6</v>
      </c>
      <c r="G758" s="86"/>
      <c r="H758" s="86"/>
      <c r="J758" s="32"/>
      <c r="K758" s="39"/>
      <c r="L758" s="40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x14ac:dyDescent="0.25">
      <c r="A759" s="35"/>
      <c r="B759" s="138">
        <v>0.83333333333333337</v>
      </c>
      <c r="C759" s="35"/>
      <c r="D759" s="86"/>
      <c r="E759" s="86"/>
      <c r="F759" s="86"/>
      <c r="G759" s="86"/>
      <c r="H759" s="86"/>
      <c r="J759" s="32"/>
      <c r="K759" s="39"/>
      <c r="L759" s="40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x14ac:dyDescent="0.25">
      <c r="A760" s="35"/>
      <c r="B760" s="138">
        <v>0.875</v>
      </c>
      <c r="C760" s="35"/>
      <c r="D760" s="86"/>
      <c r="E760" s="86"/>
      <c r="F760" s="86"/>
      <c r="G760" s="86"/>
      <c r="H760" s="86"/>
      <c r="J760" s="32"/>
      <c r="K760" s="39"/>
      <c r="L760" s="40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x14ac:dyDescent="0.25">
      <c r="A761" s="35"/>
      <c r="B761" s="138">
        <v>0.91666666666666663</v>
      </c>
      <c r="C761" s="35"/>
      <c r="D761" s="86"/>
      <c r="E761" s="86"/>
      <c r="F761" s="86"/>
      <c r="G761" s="86"/>
      <c r="H761" s="86"/>
      <c r="I761" s="30"/>
      <c r="J761" s="32"/>
      <c r="K761" s="39"/>
      <c r="L761" s="40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x14ac:dyDescent="0.25">
      <c r="A762" s="35"/>
      <c r="B762" s="139">
        <v>0.94791666666666663</v>
      </c>
      <c r="C762" s="35"/>
      <c r="D762" s="67"/>
      <c r="E762" s="67"/>
      <c r="F762" s="67"/>
      <c r="G762" s="67"/>
      <c r="H762" s="62"/>
      <c r="I762" s="30"/>
      <c r="J762" s="32"/>
      <c r="K762" s="39"/>
      <c r="L762" s="40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x14ac:dyDescent="0.25">
      <c r="A763" s="80"/>
      <c r="B763" s="132"/>
      <c r="C763" s="132"/>
      <c r="D763" s="132"/>
      <c r="E763" s="132"/>
      <c r="F763" s="132"/>
      <c r="G763" s="133"/>
      <c r="H763" s="51">
        <f t="shared" ref="H763:I763" si="37">SUM(H745:H762)</f>
        <v>42019</v>
      </c>
      <c r="I763" s="51">
        <f t="shared" si="37"/>
        <v>13</v>
      </c>
      <c r="J763" s="52"/>
      <c r="K763" s="51">
        <f>SUM(K745:K762)</f>
        <v>0</v>
      </c>
      <c r="L763" s="40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x14ac:dyDescent="0.25">
      <c r="A764" s="33">
        <f>A745+1</f>
        <v>44617</v>
      </c>
      <c r="B764" s="134" t="s">
        <v>54</v>
      </c>
      <c r="C764" s="35"/>
      <c r="D764" s="86"/>
      <c r="E764" s="86"/>
      <c r="F764" s="86">
        <v>7</v>
      </c>
      <c r="G764" s="86"/>
      <c r="H764" s="86"/>
      <c r="J764" s="32"/>
      <c r="K764" s="39"/>
      <c r="L764" s="40"/>
      <c r="M764" s="17"/>
      <c r="N764" s="17"/>
      <c r="O764" s="17"/>
      <c r="P764" s="17"/>
      <c r="Q764" s="17"/>
      <c r="R764" s="17"/>
      <c r="T764" s="17"/>
      <c r="U764" s="17"/>
      <c r="V764" s="17"/>
      <c r="W764" s="17"/>
      <c r="X764" s="17"/>
      <c r="Y764" s="17"/>
      <c r="Z764" s="17"/>
    </row>
    <row r="765" spans="1:26" x14ac:dyDescent="0.25">
      <c r="A765" s="41" t="s">
        <v>56</v>
      </c>
      <c r="B765" s="135" t="s">
        <v>57</v>
      </c>
      <c r="C765" s="35"/>
      <c r="D765" s="86"/>
      <c r="E765" s="86"/>
      <c r="F765" s="86">
        <v>8</v>
      </c>
      <c r="G765" s="86"/>
      <c r="H765" s="86"/>
      <c r="J765" s="32"/>
      <c r="K765" s="39"/>
      <c r="L765" s="40"/>
      <c r="M765" s="17"/>
      <c r="N765" s="17"/>
      <c r="O765" s="17"/>
      <c r="P765" s="17"/>
      <c r="Q765" s="17"/>
      <c r="R765" s="17"/>
      <c r="T765" s="17"/>
      <c r="U765" s="17"/>
      <c r="V765" s="17"/>
      <c r="W765" s="17"/>
      <c r="X765" s="17"/>
      <c r="Y765" s="17"/>
      <c r="Z765" s="17"/>
    </row>
    <row r="766" spans="1:26" x14ac:dyDescent="0.25">
      <c r="A766" s="35"/>
      <c r="B766" s="135" t="s">
        <v>58</v>
      </c>
      <c r="C766" s="35"/>
      <c r="D766" s="62"/>
      <c r="E766" s="62"/>
      <c r="F766" s="62"/>
      <c r="G766" s="62"/>
      <c r="H766" s="62"/>
      <c r="J766" s="32"/>
      <c r="K766" s="39"/>
      <c r="L766" s="40"/>
      <c r="M766" s="17"/>
      <c r="N766" s="17"/>
      <c r="O766" s="17"/>
      <c r="P766" s="17"/>
      <c r="Q766" s="17"/>
      <c r="R766" s="17"/>
      <c r="T766" s="17"/>
      <c r="U766" s="17"/>
      <c r="V766" s="17"/>
      <c r="W766" s="17"/>
      <c r="X766" s="17"/>
      <c r="Y766" s="17"/>
      <c r="Z766" s="17"/>
    </row>
    <row r="767" spans="1:26" x14ac:dyDescent="0.25">
      <c r="A767" s="35"/>
      <c r="B767" s="135" t="s">
        <v>59</v>
      </c>
      <c r="C767" s="35"/>
      <c r="D767" s="86"/>
      <c r="E767" s="86"/>
      <c r="F767" s="86"/>
      <c r="G767" s="86"/>
      <c r="H767" s="86"/>
      <c r="J767" s="32"/>
      <c r="K767" s="39"/>
      <c r="L767" s="40"/>
      <c r="M767" s="17"/>
      <c r="N767" s="17"/>
      <c r="O767" s="17"/>
      <c r="P767" s="17"/>
      <c r="Q767" s="17"/>
      <c r="R767" s="17"/>
      <c r="T767" s="17"/>
      <c r="U767" s="17"/>
      <c r="V767" s="17"/>
      <c r="W767" s="17"/>
      <c r="X767" s="17"/>
      <c r="Y767" s="17"/>
      <c r="Z767" s="17"/>
    </row>
    <row r="768" spans="1:26" ht="47.25" x14ac:dyDescent="0.25">
      <c r="A768" s="43"/>
      <c r="B768" s="135" t="s">
        <v>60</v>
      </c>
      <c r="C768" s="55" t="s">
        <v>667</v>
      </c>
      <c r="D768" s="103">
        <v>36</v>
      </c>
      <c r="E768" s="84" t="s">
        <v>668</v>
      </c>
      <c r="F768" s="84" t="s">
        <v>669</v>
      </c>
      <c r="G768" s="84" t="s">
        <v>670</v>
      </c>
      <c r="H768" s="62">
        <v>2032</v>
      </c>
      <c r="I768" s="218">
        <v>2</v>
      </c>
      <c r="J768" s="32"/>
      <c r="K768" s="39"/>
      <c r="L768" s="40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31.5" x14ac:dyDescent="0.25">
      <c r="A769" s="35"/>
      <c r="B769" s="135" t="s">
        <v>61</v>
      </c>
      <c r="C769" s="97" t="s">
        <v>671</v>
      </c>
      <c r="D769" s="62"/>
      <c r="E769" s="62"/>
      <c r="F769" s="62"/>
      <c r="G769" s="62"/>
      <c r="H769" s="62"/>
      <c r="J769" s="32"/>
      <c r="K769" s="39"/>
      <c r="L769" s="40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63" x14ac:dyDescent="0.25">
      <c r="A770" s="35"/>
      <c r="B770" s="135" t="s">
        <v>62</v>
      </c>
      <c r="C770" s="55" t="s">
        <v>672</v>
      </c>
      <c r="D770" s="56">
        <v>36</v>
      </c>
      <c r="E770" s="57" t="s">
        <v>673</v>
      </c>
      <c r="F770" s="57" t="s">
        <v>674</v>
      </c>
      <c r="G770" s="57" t="s">
        <v>675</v>
      </c>
      <c r="H770" s="67">
        <v>2332</v>
      </c>
      <c r="I770" s="218">
        <v>2</v>
      </c>
      <c r="J770" s="32"/>
      <c r="K770" s="39"/>
      <c r="L770" s="40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94.5" x14ac:dyDescent="0.25">
      <c r="A771" s="35"/>
      <c r="B771" s="135" t="s">
        <v>63</v>
      </c>
      <c r="C771" s="97" t="s">
        <v>676</v>
      </c>
      <c r="D771" s="67"/>
      <c r="E771" s="67"/>
      <c r="F771" s="67"/>
      <c r="G771" s="67"/>
      <c r="H771" s="67"/>
      <c r="J771" s="32"/>
      <c r="K771" s="39"/>
      <c r="L771" s="40"/>
      <c r="T771" s="17"/>
      <c r="U771" s="17"/>
      <c r="V771" s="17"/>
      <c r="W771" s="17"/>
      <c r="X771" s="17"/>
      <c r="Y771" s="17"/>
      <c r="Z771" s="17"/>
    </row>
    <row r="772" spans="1:26" ht="47.25" x14ac:dyDescent="0.25">
      <c r="A772" s="35"/>
      <c r="B772" s="135" t="s">
        <v>64</v>
      </c>
      <c r="C772" s="55" t="s">
        <v>677</v>
      </c>
      <c r="D772" s="56">
        <v>36</v>
      </c>
      <c r="E772" s="57" t="s">
        <v>678</v>
      </c>
      <c r="F772" s="57" t="s">
        <v>679</v>
      </c>
      <c r="G772" s="57" t="s">
        <v>680</v>
      </c>
      <c r="H772" s="67">
        <v>1800</v>
      </c>
      <c r="I772" s="218">
        <v>2</v>
      </c>
      <c r="J772" s="32"/>
      <c r="K772" s="39"/>
      <c r="L772" s="40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31.5" x14ac:dyDescent="0.25">
      <c r="A773" s="35"/>
      <c r="B773" s="135" t="s">
        <v>65</v>
      </c>
      <c r="C773" s="97" t="s">
        <v>681</v>
      </c>
      <c r="D773" s="67"/>
      <c r="E773" s="67"/>
      <c r="F773" s="67"/>
      <c r="G773" s="57"/>
      <c r="H773" s="67"/>
      <c r="J773" s="32"/>
      <c r="K773" s="39"/>
      <c r="L773" s="40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63" x14ac:dyDescent="0.25">
      <c r="A774" s="35"/>
      <c r="B774" s="135" t="s">
        <v>66</v>
      </c>
      <c r="C774" s="55" t="s">
        <v>682</v>
      </c>
      <c r="D774" s="68">
        <v>51</v>
      </c>
      <c r="E774" s="68" t="s">
        <v>683</v>
      </c>
      <c r="F774" s="68" t="s">
        <v>684</v>
      </c>
      <c r="G774" s="69">
        <v>44620</v>
      </c>
      <c r="H774" s="67">
        <v>1464</v>
      </c>
      <c r="I774" s="218">
        <v>1</v>
      </c>
      <c r="J774" s="32"/>
      <c r="K774" s="39"/>
      <c r="L774" s="40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63" x14ac:dyDescent="0.25">
      <c r="A775" s="35"/>
      <c r="B775" s="135" t="s">
        <v>67</v>
      </c>
      <c r="C775" s="55" t="s">
        <v>685</v>
      </c>
      <c r="D775" s="84">
        <v>60</v>
      </c>
      <c r="E775" s="84" t="s">
        <v>151</v>
      </c>
      <c r="F775" s="84" t="s">
        <v>686</v>
      </c>
      <c r="G775" s="136">
        <v>44613</v>
      </c>
      <c r="H775" s="164">
        <v>13046</v>
      </c>
      <c r="I775" s="30">
        <v>5</v>
      </c>
      <c r="J775" s="32"/>
      <c r="K775" s="39"/>
      <c r="L775" s="40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47.25" x14ac:dyDescent="0.25">
      <c r="A776" s="35"/>
      <c r="B776" s="135" t="s">
        <v>68</v>
      </c>
      <c r="C776" s="55" t="s">
        <v>687</v>
      </c>
      <c r="D776" s="86"/>
      <c r="E776" s="86"/>
      <c r="F776" s="86"/>
      <c r="G776" s="60" t="s">
        <v>688</v>
      </c>
      <c r="H776" s="164"/>
      <c r="I776" s="30"/>
      <c r="J776" s="32"/>
      <c r="K776" s="39"/>
      <c r="L776" s="40"/>
      <c r="T776" s="17"/>
      <c r="U776" s="17"/>
      <c r="V776" s="17"/>
      <c r="W776" s="17"/>
      <c r="X776" s="17"/>
      <c r="Y776" s="17"/>
      <c r="Z776" s="17"/>
    </row>
    <row r="777" spans="1:26" x14ac:dyDescent="0.25">
      <c r="A777" s="35"/>
      <c r="B777" s="138">
        <v>0.79166666666666663</v>
      </c>
      <c r="C777" s="113"/>
      <c r="D777" s="86"/>
      <c r="E777" s="86"/>
      <c r="F777" s="86"/>
      <c r="G777" s="86" t="s">
        <v>689</v>
      </c>
      <c r="H777" s="86"/>
      <c r="I777" s="30"/>
      <c r="J777" s="32"/>
      <c r="K777" s="39"/>
      <c r="L777" s="40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x14ac:dyDescent="0.25">
      <c r="A778" s="35"/>
      <c r="B778" s="138">
        <v>0.83333333333333337</v>
      </c>
      <c r="C778" s="35"/>
      <c r="D778" s="86"/>
      <c r="E778" s="86"/>
      <c r="F778" s="86"/>
      <c r="G778" s="86"/>
      <c r="H778" s="86"/>
      <c r="I778" s="30"/>
      <c r="J778" s="32"/>
      <c r="K778" s="39"/>
      <c r="L778" s="40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x14ac:dyDescent="0.25">
      <c r="A779" s="35"/>
      <c r="B779" s="138">
        <v>0.875</v>
      </c>
      <c r="C779" s="35"/>
      <c r="D779" s="86"/>
      <c r="E779" s="86"/>
      <c r="F779" s="86"/>
      <c r="G779" s="86"/>
      <c r="H779" s="86"/>
      <c r="I779" s="30"/>
      <c r="J779" s="32"/>
      <c r="K779" s="39"/>
      <c r="L779" s="40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x14ac:dyDescent="0.25">
      <c r="A780" s="35"/>
      <c r="B780" s="138">
        <v>0.91666666666666663</v>
      </c>
      <c r="C780" s="35"/>
      <c r="D780" s="86"/>
      <c r="E780" s="86"/>
      <c r="F780" s="86"/>
      <c r="G780" s="86"/>
      <c r="H780" s="86"/>
      <c r="I780" s="30"/>
      <c r="J780" s="32"/>
      <c r="K780" s="39"/>
      <c r="L780" s="40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x14ac:dyDescent="0.25">
      <c r="A781" s="35"/>
      <c r="B781" s="139">
        <v>0.94791666666666663</v>
      </c>
      <c r="C781" s="35"/>
      <c r="D781" s="86"/>
      <c r="E781" s="86"/>
      <c r="F781" s="86"/>
      <c r="G781" s="86"/>
      <c r="H781" s="86"/>
      <c r="I781" s="30"/>
      <c r="J781" s="32"/>
      <c r="K781" s="39"/>
      <c r="L781" s="40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x14ac:dyDescent="0.25">
      <c r="A782" s="80"/>
      <c r="B782" s="131"/>
      <c r="C782" s="132"/>
      <c r="D782" s="132"/>
      <c r="E782" s="132"/>
      <c r="F782" s="132"/>
      <c r="G782" s="133"/>
      <c r="H782" s="51">
        <f t="shared" ref="H782:I782" si="38">SUM(H768:H781)</f>
        <v>20674</v>
      </c>
      <c r="I782" s="51">
        <f t="shared" si="38"/>
        <v>12</v>
      </c>
      <c r="J782" s="52"/>
      <c r="K782" s="51">
        <f>SUM(K764:K781)</f>
        <v>0</v>
      </c>
      <c r="L782" s="40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78.75" x14ac:dyDescent="0.25">
      <c r="A783" s="33">
        <f>A764+3</f>
        <v>44620</v>
      </c>
      <c r="B783" s="134" t="s">
        <v>54</v>
      </c>
      <c r="C783" s="55" t="s">
        <v>690</v>
      </c>
      <c r="D783" s="84">
        <v>60</v>
      </c>
      <c r="E783" s="84" t="s">
        <v>100</v>
      </c>
      <c r="F783" s="57" t="s">
        <v>691</v>
      </c>
      <c r="G783" s="125">
        <v>44621</v>
      </c>
      <c r="H783" s="67">
        <v>1115</v>
      </c>
      <c r="I783" s="218">
        <v>1</v>
      </c>
      <c r="J783" s="32"/>
      <c r="K783" s="39"/>
      <c r="L783" s="40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10.25" x14ac:dyDescent="0.25">
      <c r="A784" s="41" t="s">
        <v>72</v>
      </c>
      <c r="B784" s="135" t="s">
        <v>57</v>
      </c>
      <c r="C784" s="55" t="s">
        <v>692</v>
      </c>
      <c r="D784" s="68">
        <v>36</v>
      </c>
      <c r="E784" s="68" t="s">
        <v>610</v>
      </c>
      <c r="F784" s="68" t="s">
        <v>693</v>
      </c>
      <c r="G784" s="69">
        <v>44621</v>
      </c>
      <c r="H784" s="67">
        <v>1817</v>
      </c>
      <c r="I784" s="218">
        <v>1</v>
      </c>
      <c r="J784" s="32"/>
      <c r="K784" s="39"/>
      <c r="L784" s="40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x14ac:dyDescent="0.25">
      <c r="A785" s="35"/>
      <c r="B785" s="135" t="s">
        <v>58</v>
      </c>
      <c r="C785" s="35"/>
      <c r="D785" s="129" t="s">
        <v>694</v>
      </c>
      <c r="E785" s="129"/>
      <c r="F785" s="129"/>
      <c r="G785" s="129"/>
      <c r="H785" s="129"/>
      <c r="J785" s="32"/>
      <c r="K785" s="39"/>
      <c r="L785" s="40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x14ac:dyDescent="0.25">
      <c r="A786" s="35"/>
      <c r="B786" s="135" t="s">
        <v>59</v>
      </c>
      <c r="C786" s="35"/>
      <c r="D786" s="129" t="s">
        <v>695</v>
      </c>
      <c r="E786" s="129"/>
      <c r="F786" s="129"/>
      <c r="G786" s="129"/>
      <c r="H786" s="129"/>
      <c r="J786" s="32"/>
      <c r="K786" s="39"/>
      <c r="L786" s="40"/>
      <c r="T786" s="17"/>
      <c r="U786" s="17"/>
      <c r="V786" s="17"/>
      <c r="W786" s="17"/>
      <c r="X786" s="17"/>
      <c r="Y786" s="17"/>
      <c r="Z786" s="17"/>
    </row>
    <row r="787" spans="1:26" ht="63" x14ac:dyDescent="0.25">
      <c r="A787" s="35"/>
      <c r="B787" s="135" t="s">
        <v>60</v>
      </c>
      <c r="C787" s="55" t="s">
        <v>696</v>
      </c>
      <c r="D787" s="57">
        <v>60</v>
      </c>
      <c r="E787" s="57" t="s">
        <v>151</v>
      </c>
      <c r="F787" s="57" t="s">
        <v>697</v>
      </c>
      <c r="G787" s="125">
        <v>44621</v>
      </c>
      <c r="H787" s="65">
        <v>20000</v>
      </c>
      <c r="I787" s="30">
        <v>8</v>
      </c>
      <c r="J787" s="32"/>
      <c r="K787" s="39"/>
      <c r="L787" s="40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x14ac:dyDescent="0.25">
      <c r="A788" s="35"/>
      <c r="B788" s="135" t="s">
        <v>61</v>
      </c>
      <c r="C788" s="35"/>
      <c r="D788" s="65"/>
      <c r="E788" s="65"/>
      <c r="F788" s="65">
        <v>2</v>
      </c>
      <c r="G788" s="65"/>
      <c r="H788" s="65"/>
      <c r="I788" s="30"/>
      <c r="J788" s="32"/>
      <c r="K788" s="39"/>
      <c r="L788" s="40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x14ac:dyDescent="0.25">
      <c r="A789" s="35"/>
      <c r="B789" s="135" t="s">
        <v>62</v>
      </c>
      <c r="C789" s="35"/>
      <c r="D789" s="65"/>
      <c r="E789" s="65"/>
      <c r="F789" s="65">
        <v>3</v>
      </c>
      <c r="G789" s="65"/>
      <c r="H789" s="65"/>
      <c r="I789" s="30"/>
      <c r="J789" s="32"/>
      <c r="K789" s="39"/>
      <c r="L789" s="40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x14ac:dyDescent="0.25">
      <c r="A790" s="35"/>
      <c r="B790" s="135" t="s">
        <v>63</v>
      </c>
      <c r="C790" s="35"/>
      <c r="D790" s="65"/>
      <c r="E790" s="65"/>
      <c r="F790" s="65">
        <v>4</v>
      </c>
      <c r="G790" s="65"/>
      <c r="H790" s="65"/>
      <c r="I790" s="30"/>
      <c r="J790" s="32"/>
      <c r="K790" s="39"/>
      <c r="L790" s="40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x14ac:dyDescent="0.25">
      <c r="A791" s="35"/>
      <c r="B791" s="135" t="s">
        <v>64</v>
      </c>
      <c r="C791" s="71"/>
      <c r="D791" s="84"/>
      <c r="E791" s="84"/>
      <c r="F791" s="137">
        <v>5</v>
      </c>
      <c r="G791" s="84"/>
      <c r="H791" s="86"/>
      <c r="I791" s="30"/>
      <c r="J791" s="32"/>
      <c r="K791" s="39"/>
      <c r="L791" s="40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x14ac:dyDescent="0.25">
      <c r="A792" s="35"/>
      <c r="B792" s="135" t="s">
        <v>65</v>
      </c>
      <c r="C792" s="71"/>
      <c r="D792" s="84"/>
      <c r="E792" s="84"/>
      <c r="F792" s="137">
        <v>6</v>
      </c>
      <c r="G792" s="84"/>
      <c r="H792" s="84"/>
      <c r="J792" s="32"/>
      <c r="K792" s="39"/>
      <c r="L792" s="40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x14ac:dyDescent="0.25">
      <c r="A793" s="35"/>
      <c r="B793" s="135" t="s">
        <v>66</v>
      </c>
      <c r="C793" s="71"/>
      <c r="D793" s="84"/>
      <c r="E793" s="84"/>
      <c r="F793" s="137">
        <v>7</v>
      </c>
      <c r="G793" s="84"/>
      <c r="H793" s="84"/>
      <c r="J793" s="32"/>
      <c r="K793" s="39"/>
      <c r="L793" s="40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x14ac:dyDescent="0.25">
      <c r="A794" s="35"/>
      <c r="B794" s="135" t="s">
        <v>67</v>
      </c>
      <c r="C794" s="71"/>
      <c r="D794" s="84"/>
      <c r="E794" s="84"/>
      <c r="F794" s="137">
        <v>8</v>
      </c>
      <c r="G794" s="84"/>
      <c r="H794" s="84"/>
      <c r="J794" s="32"/>
      <c r="K794" s="39"/>
      <c r="L794" s="40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x14ac:dyDescent="0.25">
      <c r="A795" s="35"/>
      <c r="B795" s="135" t="s">
        <v>68</v>
      </c>
      <c r="C795" s="71"/>
      <c r="D795" s="62"/>
      <c r="E795" s="62"/>
      <c r="F795" s="62"/>
      <c r="G795" s="62"/>
      <c r="H795" s="62"/>
      <c r="J795" s="32"/>
      <c r="K795" s="39"/>
      <c r="L795" s="40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94.5" x14ac:dyDescent="0.25">
      <c r="A796" s="35"/>
      <c r="B796" s="138">
        <v>0.79166666666666663</v>
      </c>
      <c r="C796" s="55" t="s">
        <v>698</v>
      </c>
      <c r="D796" s="60">
        <v>72</v>
      </c>
      <c r="E796" s="60" t="s">
        <v>271</v>
      </c>
      <c r="F796" s="60" t="s">
        <v>699</v>
      </c>
      <c r="G796" s="61">
        <v>44622</v>
      </c>
      <c r="H796" s="62">
        <v>2672</v>
      </c>
      <c r="I796" s="218">
        <v>1</v>
      </c>
      <c r="J796" s="32"/>
      <c r="K796" s="39"/>
      <c r="L796" s="40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63" x14ac:dyDescent="0.25">
      <c r="A797" s="35"/>
      <c r="B797" s="138">
        <v>0.83333333333333337</v>
      </c>
      <c r="C797" s="55" t="s">
        <v>700</v>
      </c>
      <c r="D797" s="84">
        <v>72</v>
      </c>
      <c r="E797" s="84" t="s">
        <v>18</v>
      </c>
      <c r="F797" s="84" t="s">
        <v>272</v>
      </c>
      <c r="G797" s="136">
        <v>44624</v>
      </c>
      <c r="H797" s="86">
        <v>3865</v>
      </c>
      <c r="I797" s="30">
        <v>1</v>
      </c>
      <c r="J797" s="32"/>
      <c r="K797" s="39"/>
      <c r="L797" s="40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x14ac:dyDescent="0.25">
      <c r="A798" s="35"/>
      <c r="B798" s="138">
        <v>0.875</v>
      </c>
      <c r="C798" s="35"/>
      <c r="D798" s="86"/>
      <c r="E798" s="86"/>
      <c r="F798" s="86"/>
      <c r="G798" s="86"/>
      <c r="H798" s="86"/>
      <c r="I798" s="30"/>
      <c r="J798" s="32"/>
      <c r="K798" s="39"/>
      <c r="L798" s="40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x14ac:dyDescent="0.25">
      <c r="A799" s="35"/>
      <c r="B799" s="138">
        <v>0.91666666666666663</v>
      </c>
      <c r="C799" s="35"/>
      <c r="D799" s="86"/>
      <c r="E799" s="86"/>
      <c r="F799" s="86"/>
      <c r="G799" s="86"/>
      <c r="H799" s="86"/>
      <c r="I799" s="30"/>
      <c r="J799" s="32"/>
      <c r="K799" s="39"/>
      <c r="L799" s="40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x14ac:dyDescent="0.25">
      <c r="A800" s="35"/>
      <c r="B800" s="139">
        <v>0.94791666666666663</v>
      </c>
      <c r="C800" s="35"/>
      <c r="D800" s="86"/>
      <c r="E800" s="86"/>
      <c r="F800" s="86"/>
      <c r="G800" s="86"/>
      <c r="H800" s="86"/>
      <c r="I800" s="30"/>
      <c r="J800" s="32"/>
      <c r="K800" s="39"/>
      <c r="L800" s="40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x14ac:dyDescent="0.25">
      <c r="A801" s="80"/>
      <c r="B801" s="132"/>
      <c r="C801" s="132"/>
      <c r="D801" s="132"/>
      <c r="E801" s="132"/>
      <c r="F801" s="132"/>
      <c r="G801" s="133"/>
      <c r="H801" s="51">
        <f t="shared" ref="H801:I801" si="39">SUM(H783:H800)</f>
        <v>29469</v>
      </c>
      <c r="I801" s="51">
        <f t="shared" si="39"/>
        <v>12</v>
      </c>
      <c r="J801" s="52"/>
      <c r="K801" s="51">
        <f>SUM(K783:K800)</f>
        <v>0</v>
      </c>
      <c r="L801" s="40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63" x14ac:dyDescent="0.25">
      <c r="A802" s="33">
        <f>A783+1</f>
        <v>44621</v>
      </c>
      <c r="B802" s="134" t="s">
        <v>54</v>
      </c>
      <c r="C802" s="55" t="s">
        <v>701</v>
      </c>
      <c r="D802" s="68">
        <v>36</v>
      </c>
      <c r="E802" s="68" t="s">
        <v>702</v>
      </c>
      <c r="F802" s="57" t="s">
        <v>703</v>
      </c>
      <c r="G802" s="57" t="s">
        <v>704</v>
      </c>
      <c r="H802" s="129">
        <v>2604</v>
      </c>
      <c r="I802" s="218">
        <v>2</v>
      </c>
      <c r="J802" s="32"/>
      <c r="K802" s="39"/>
      <c r="L802" s="40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31.5" x14ac:dyDescent="0.25">
      <c r="A803" s="41" t="s">
        <v>102</v>
      </c>
      <c r="B803" s="135" t="s">
        <v>57</v>
      </c>
      <c r="C803" s="97" t="s">
        <v>705</v>
      </c>
      <c r="D803" s="129"/>
      <c r="E803" s="129"/>
      <c r="F803" s="129"/>
      <c r="G803" s="57"/>
      <c r="H803" s="129"/>
      <c r="J803" s="32"/>
      <c r="K803" s="39"/>
      <c r="L803" s="40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63" x14ac:dyDescent="0.25">
      <c r="A804" s="35"/>
      <c r="B804" s="135" t="s">
        <v>58</v>
      </c>
      <c r="C804" s="55" t="s">
        <v>706</v>
      </c>
      <c r="D804" s="68">
        <v>36</v>
      </c>
      <c r="E804" s="68" t="s">
        <v>707</v>
      </c>
      <c r="F804" s="57" t="s">
        <v>703</v>
      </c>
      <c r="G804" s="57" t="s">
        <v>704</v>
      </c>
      <c r="H804" s="129" t="s">
        <v>708</v>
      </c>
      <c r="I804" s="218">
        <v>2</v>
      </c>
      <c r="J804" s="32"/>
      <c r="K804" s="39"/>
      <c r="L804" s="40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31.5" x14ac:dyDescent="0.25">
      <c r="A805" s="35"/>
      <c r="B805" s="135" t="s">
        <v>59</v>
      </c>
      <c r="C805" s="97" t="s">
        <v>709</v>
      </c>
      <c r="D805" s="129"/>
      <c r="E805" s="129"/>
      <c r="F805" s="129"/>
      <c r="G805" s="57"/>
      <c r="H805" s="129"/>
      <c r="J805" s="32"/>
      <c r="K805" s="39"/>
      <c r="L805" s="40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63" x14ac:dyDescent="0.25">
      <c r="A806" s="35"/>
      <c r="B806" s="135" t="s">
        <v>60</v>
      </c>
      <c r="C806" s="55" t="s">
        <v>710</v>
      </c>
      <c r="D806" s="57">
        <v>51</v>
      </c>
      <c r="E806" s="57" t="s">
        <v>172</v>
      </c>
      <c r="F806" s="57" t="s">
        <v>711</v>
      </c>
      <c r="G806" s="125">
        <v>44628</v>
      </c>
      <c r="H806" s="65">
        <v>8441</v>
      </c>
      <c r="I806" s="30">
        <v>3</v>
      </c>
      <c r="J806" s="32"/>
      <c r="K806" s="39"/>
      <c r="L806" s="40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47.25" x14ac:dyDescent="0.25">
      <c r="A807" s="35"/>
      <c r="B807" s="135" t="s">
        <v>61</v>
      </c>
      <c r="C807" s="55" t="s">
        <v>712</v>
      </c>
      <c r="D807" s="57" t="s">
        <v>713</v>
      </c>
      <c r="E807" s="57"/>
      <c r="F807" s="165">
        <v>2</v>
      </c>
      <c r="G807" s="57"/>
      <c r="H807" s="65"/>
      <c r="I807" s="30"/>
      <c r="J807" s="32"/>
      <c r="K807" s="39"/>
      <c r="L807" s="40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x14ac:dyDescent="0.25">
      <c r="A808" s="35"/>
      <c r="B808" s="135" t="s">
        <v>62</v>
      </c>
      <c r="C808" s="71"/>
      <c r="D808" s="57"/>
      <c r="E808" s="57"/>
      <c r="F808" s="165">
        <v>3</v>
      </c>
      <c r="G808" s="57"/>
      <c r="H808" s="65"/>
      <c r="I808" s="30"/>
      <c r="J808" s="32"/>
      <c r="K808" s="39"/>
      <c r="L808" s="40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x14ac:dyDescent="0.25">
      <c r="A809" s="35"/>
      <c r="B809" s="135" t="s">
        <v>63</v>
      </c>
      <c r="C809" s="35"/>
      <c r="D809" s="65"/>
      <c r="E809" s="65"/>
      <c r="F809" s="65"/>
      <c r="G809" s="65"/>
      <c r="H809" s="65"/>
      <c r="I809" s="30"/>
      <c r="J809" s="32"/>
      <c r="K809" s="39"/>
      <c r="L809" s="40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47.25" x14ac:dyDescent="0.25">
      <c r="A810" s="35"/>
      <c r="B810" s="135" t="s">
        <v>64</v>
      </c>
      <c r="C810" s="55" t="s">
        <v>2869</v>
      </c>
      <c r="D810" s="57">
        <v>68</v>
      </c>
      <c r="E810" s="57" t="s">
        <v>266</v>
      </c>
      <c r="F810" s="57" t="s">
        <v>714</v>
      </c>
      <c r="G810" s="125">
        <v>44631</v>
      </c>
      <c r="H810" s="65">
        <v>13402</v>
      </c>
      <c r="I810" s="30">
        <v>6</v>
      </c>
      <c r="J810" s="32"/>
      <c r="K810" s="39"/>
      <c r="L810" s="40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94.5" x14ac:dyDescent="0.25">
      <c r="A811" s="35"/>
      <c r="B811" s="135" t="s">
        <v>65</v>
      </c>
      <c r="C811" s="55" t="s">
        <v>715</v>
      </c>
      <c r="D811" s="65"/>
      <c r="E811" s="65"/>
      <c r="F811" s="65">
        <v>2</v>
      </c>
      <c r="G811" s="65"/>
      <c r="H811" s="65"/>
      <c r="I811" s="30"/>
      <c r="J811" s="32"/>
      <c r="K811" s="39"/>
      <c r="L811" s="40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x14ac:dyDescent="0.25">
      <c r="A812" s="35"/>
      <c r="B812" s="135" t="s">
        <v>66</v>
      </c>
      <c r="C812" s="35"/>
      <c r="D812" s="65"/>
      <c r="E812" s="65"/>
      <c r="F812" s="65">
        <v>3</v>
      </c>
      <c r="G812" s="65"/>
      <c r="H812" s="65"/>
      <c r="I812" s="30"/>
      <c r="J812" s="32"/>
      <c r="K812" s="39"/>
      <c r="L812" s="40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x14ac:dyDescent="0.25">
      <c r="A813" s="35"/>
      <c r="B813" s="135" t="s">
        <v>67</v>
      </c>
      <c r="C813" s="35"/>
      <c r="D813" s="65"/>
      <c r="E813" s="65"/>
      <c r="F813" s="65">
        <v>4</v>
      </c>
      <c r="G813" s="65"/>
      <c r="H813" s="65"/>
      <c r="I813" s="30"/>
      <c r="J813" s="32"/>
      <c r="K813" s="39"/>
      <c r="L813" s="40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x14ac:dyDescent="0.25">
      <c r="A814" s="35"/>
      <c r="B814" s="135" t="s">
        <v>68</v>
      </c>
      <c r="C814" s="35"/>
      <c r="D814" s="65"/>
      <c r="E814" s="65"/>
      <c r="F814" s="65">
        <v>5</v>
      </c>
      <c r="G814" s="65"/>
      <c r="H814" s="65"/>
      <c r="I814" s="30"/>
      <c r="J814" s="32"/>
      <c r="K814" s="39"/>
      <c r="L814" s="40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x14ac:dyDescent="0.25">
      <c r="A815" s="35"/>
      <c r="B815" s="138">
        <v>0.79166666666666663</v>
      </c>
      <c r="C815" s="35"/>
      <c r="D815" s="65"/>
      <c r="E815" s="65"/>
      <c r="F815" s="65">
        <v>6</v>
      </c>
      <c r="G815" s="65"/>
      <c r="H815" s="65"/>
      <c r="I815" s="30"/>
      <c r="J815" s="32"/>
      <c r="K815" s="39"/>
      <c r="L815" s="40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x14ac:dyDescent="0.25">
      <c r="A816" s="35"/>
      <c r="B816" s="138">
        <v>0.83333333333333337</v>
      </c>
      <c r="C816" s="35"/>
      <c r="D816" s="65"/>
      <c r="E816" s="65"/>
      <c r="F816" s="65"/>
      <c r="G816" s="65"/>
      <c r="H816" s="65"/>
      <c r="I816" s="30"/>
      <c r="J816" s="32"/>
      <c r="K816" s="39"/>
      <c r="L816" s="40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x14ac:dyDescent="0.25">
      <c r="A817" s="35"/>
      <c r="B817" s="138">
        <v>0.875</v>
      </c>
      <c r="C817" s="35"/>
      <c r="D817" s="65"/>
      <c r="E817" s="65"/>
      <c r="F817" s="65"/>
      <c r="G817" s="65"/>
      <c r="H817" s="65"/>
      <c r="I817" s="30"/>
      <c r="J817" s="32"/>
      <c r="K817" s="39"/>
      <c r="L817" s="40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x14ac:dyDescent="0.25">
      <c r="A818" s="35"/>
      <c r="B818" s="138">
        <v>0.91666666666666663</v>
      </c>
      <c r="C818" s="35"/>
      <c r="D818" s="65"/>
      <c r="E818" s="65"/>
      <c r="F818" s="65"/>
      <c r="G818" s="65"/>
      <c r="H818" s="65"/>
      <c r="I818" s="30"/>
      <c r="J818" s="32"/>
      <c r="K818" s="39"/>
      <c r="L818" s="40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x14ac:dyDescent="0.25">
      <c r="A819" s="35"/>
      <c r="B819" s="139">
        <v>0.94791666666666663</v>
      </c>
      <c r="C819" s="35"/>
      <c r="D819" s="65"/>
      <c r="E819" s="65"/>
      <c r="F819" s="65"/>
      <c r="G819" s="65"/>
      <c r="H819" s="65"/>
      <c r="I819" s="30"/>
      <c r="J819" s="32"/>
      <c r="K819" s="39"/>
      <c r="L819" s="40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x14ac:dyDescent="0.25">
      <c r="A820" s="80"/>
      <c r="B820" s="132"/>
      <c r="C820" s="132"/>
      <c r="D820" s="132"/>
      <c r="E820" s="132"/>
      <c r="F820" s="132"/>
      <c r="G820" s="133"/>
      <c r="H820" s="51">
        <f t="shared" ref="H820:I820" si="40">SUM(H802:H819)</f>
        <v>24447</v>
      </c>
      <c r="I820" s="51">
        <f t="shared" si="40"/>
        <v>13</v>
      </c>
      <c r="J820" s="52"/>
      <c r="K820" s="51">
        <f>SUM(K802:K819)</f>
        <v>0</v>
      </c>
      <c r="L820" s="40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x14ac:dyDescent="0.25">
      <c r="A821" s="33">
        <f>A802+1</f>
        <v>44622</v>
      </c>
      <c r="B821" s="134" t="s">
        <v>54</v>
      </c>
      <c r="C821" s="43"/>
      <c r="D821" s="163" t="s">
        <v>716</v>
      </c>
      <c r="E821" s="163"/>
      <c r="F821" s="163"/>
      <c r="G821" s="163"/>
      <c r="H821" s="163"/>
      <c r="J821" s="32"/>
      <c r="K821" s="39"/>
      <c r="L821" s="40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63" x14ac:dyDescent="0.25">
      <c r="A822" s="41" t="s">
        <v>117</v>
      </c>
      <c r="B822" s="135" t="s">
        <v>57</v>
      </c>
      <c r="C822" s="55" t="s">
        <v>717</v>
      </c>
      <c r="D822" s="57">
        <v>51</v>
      </c>
      <c r="E822" s="57" t="s">
        <v>332</v>
      </c>
      <c r="F822" s="57" t="s">
        <v>718</v>
      </c>
      <c r="G822" s="125">
        <v>44624</v>
      </c>
      <c r="H822" s="65">
        <v>23290</v>
      </c>
      <c r="I822" s="30">
        <v>9</v>
      </c>
      <c r="J822" s="32"/>
      <c r="K822" s="39"/>
      <c r="L822" s="40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1.75" x14ac:dyDescent="0.25">
      <c r="A823" s="43"/>
      <c r="B823" s="135" t="s">
        <v>58</v>
      </c>
      <c r="C823" s="55" t="s">
        <v>719</v>
      </c>
      <c r="D823" s="57"/>
      <c r="E823" s="57"/>
      <c r="F823" s="57">
        <v>2</v>
      </c>
      <c r="G823" s="57"/>
      <c r="H823" s="65"/>
      <c r="I823" s="30"/>
      <c r="J823" s="32"/>
      <c r="K823" s="39"/>
      <c r="L823" s="40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x14ac:dyDescent="0.25">
      <c r="A824" s="35"/>
      <c r="B824" s="135" t="s">
        <v>59</v>
      </c>
      <c r="C824" s="35"/>
      <c r="D824" s="65"/>
      <c r="E824" s="65"/>
      <c r="F824" s="65">
        <v>3</v>
      </c>
      <c r="G824" s="65"/>
      <c r="H824" s="65"/>
      <c r="I824" s="30"/>
      <c r="J824" s="32"/>
      <c r="K824" s="39"/>
      <c r="L824" s="40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x14ac:dyDescent="0.25">
      <c r="A825" s="35"/>
      <c r="B825" s="135" t="s">
        <v>60</v>
      </c>
      <c r="C825" s="35"/>
      <c r="D825" s="65"/>
      <c r="E825" s="65"/>
      <c r="F825" s="65">
        <v>4</v>
      </c>
      <c r="G825" s="65"/>
      <c r="H825" s="65"/>
      <c r="I825" s="30"/>
      <c r="J825" s="32"/>
      <c r="K825" s="39"/>
      <c r="L825" s="40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x14ac:dyDescent="0.25">
      <c r="A826" s="35"/>
      <c r="B826" s="135" t="s">
        <v>61</v>
      </c>
      <c r="C826" s="35"/>
      <c r="D826" s="65"/>
      <c r="E826" s="65"/>
      <c r="F826" s="65">
        <v>5</v>
      </c>
      <c r="G826" s="65"/>
      <c r="H826" s="65"/>
      <c r="I826" s="30"/>
      <c r="J826" s="32"/>
      <c r="K826" s="39"/>
      <c r="L826" s="40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x14ac:dyDescent="0.25">
      <c r="A827" s="35"/>
      <c r="B827" s="135" t="s">
        <v>62</v>
      </c>
      <c r="C827" s="35"/>
      <c r="D827" s="65"/>
      <c r="E827" s="65"/>
      <c r="F827" s="65">
        <v>6</v>
      </c>
      <c r="G827" s="65"/>
      <c r="H827" s="65"/>
      <c r="I827" s="30"/>
      <c r="J827" s="32"/>
      <c r="K827" s="39"/>
      <c r="L827" s="40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x14ac:dyDescent="0.25">
      <c r="A828" s="35"/>
      <c r="B828" s="135" t="s">
        <v>63</v>
      </c>
      <c r="C828" s="35"/>
      <c r="D828" s="67"/>
      <c r="E828" s="67"/>
      <c r="F828" s="67"/>
      <c r="G828" s="67"/>
      <c r="H828" s="67"/>
      <c r="I828" s="30"/>
      <c r="J828" s="32"/>
      <c r="K828" s="39"/>
      <c r="L828" s="40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x14ac:dyDescent="0.25">
      <c r="A829" s="35"/>
      <c r="B829" s="135" t="s">
        <v>64</v>
      </c>
      <c r="C829" s="35"/>
      <c r="D829" s="67"/>
      <c r="E829" s="67"/>
      <c r="F829" s="67"/>
      <c r="G829" s="67"/>
      <c r="H829" s="67"/>
      <c r="I829" s="30"/>
      <c r="J829" s="32"/>
      <c r="K829" s="39"/>
      <c r="L829" s="40"/>
      <c r="M829" s="17"/>
      <c r="S829" s="17"/>
      <c r="T829" s="17"/>
      <c r="U829" s="17"/>
      <c r="V829" s="17"/>
      <c r="W829" s="17"/>
      <c r="X829" s="17"/>
      <c r="Y829" s="17"/>
      <c r="Z829" s="17"/>
    </row>
    <row r="830" spans="1:26" x14ac:dyDescent="0.25">
      <c r="A830" s="35"/>
      <c r="B830" s="135" t="s">
        <v>65</v>
      </c>
      <c r="C830" s="35"/>
      <c r="D830" s="115" t="s">
        <v>720</v>
      </c>
      <c r="E830" s="115"/>
      <c r="F830" s="115"/>
      <c r="G830" s="115"/>
      <c r="H830" s="115"/>
      <c r="I830" s="218">
        <v>7</v>
      </c>
      <c r="J830" s="32"/>
      <c r="K830" s="39"/>
      <c r="L830" s="40"/>
      <c r="M830" s="17"/>
      <c r="S830" s="17"/>
      <c r="T830" s="17"/>
      <c r="U830" s="17"/>
      <c r="V830" s="17"/>
      <c r="W830" s="17"/>
      <c r="X830" s="17"/>
      <c r="Y830" s="17"/>
      <c r="Z830" s="17"/>
    </row>
    <row r="831" spans="1:26" x14ac:dyDescent="0.25">
      <c r="A831" s="35"/>
      <c r="B831" s="135" t="s">
        <v>66</v>
      </c>
      <c r="C831" s="35"/>
      <c r="D831" s="166"/>
      <c r="E831" s="166"/>
      <c r="F831" s="166"/>
      <c r="G831" s="166"/>
      <c r="H831" s="166"/>
      <c r="I831" s="30"/>
      <c r="J831" s="32"/>
      <c r="K831" s="39"/>
      <c r="L831" s="40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x14ac:dyDescent="0.25">
      <c r="A832" s="41"/>
      <c r="B832" s="135" t="s">
        <v>67</v>
      </c>
      <c r="C832" s="35"/>
      <c r="D832" s="166"/>
      <c r="E832" s="166"/>
      <c r="F832" s="166"/>
      <c r="G832" s="166"/>
      <c r="H832" s="166"/>
      <c r="I832" s="30"/>
      <c r="J832" s="32"/>
      <c r="K832" s="39"/>
      <c r="L832" s="40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x14ac:dyDescent="0.25">
      <c r="A833" s="35"/>
      <c r="B833" s="135" t="s">
        <v>68</v>
      </c>
      <c r="C833" s="35"/>
      <c r="D833" s="166"/>
      <c r="E833" s="166"/>
      <c r="F833" s="166"/>
      <c r="G833" s="166"/>
      <c r="H833" s="166"/>
      <c r="I833" s="30"/>
      <c r="J833" s="32"/>
      <c r="K833" s="39"/>
      <c r="L833" s="40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x14ac:dyDescent="0.25">
      <c r="A834" s="35"/>
      <c r="B834" s="138">
        <v>0.79166666666666663</v>
      </c>
      <c r="C834" s="35"/>
      <c r="D834" s="166"/>
      <c r="E834" s="166"/>
      <c r="F834" s="166"/>
      <c r="G834" s="166"/>
      <c r="H834" s="166"/>
      <c r="I834" s="30"/>
      <c r="J834" s="32"/>
      <c r="K834" s="39"/>
      <c r="L834" s="40"/>
      <c r="T834" s="17"/>
      <c r="U834" s="17"/>
      <c r="V834" s="17"/>
      <c r="W834" s="17"/>
      <c r="X834" s="17"/>
      <c r="Y834" s="17"/>
      <c r="Z834" s="17"/>
    </row>
    <row r="835" spans="1:26" x14ac:dyDescent="0.25">
      <c r="A835" s="35"/>
      <c r="B835" s="138">
        <v>0.83333333333333337</v>
      </c>
      <c r="C835" s="35"/>
      <c r="D835" s="166"/>
      <c r="E835" s="166"/>
      <c r="F835" s="166"/>
      <c r="G835" s="166"/>
      <c r="H835" s="166"/>
      <c r="I835" s="30"/>
      <c r="J835" s="32"/>
      <c r="K835" s="39"/>
      <c r="L835" s="40"/>
      <c r="T835" s="17"/>
      <c r="U835" s="17"/>
      <c r="V835" s="17"/>
      <c r="W835" s="17"/>
      <c r="X835" s="17"/>
      <c r="Y835" s="17"/>
      <c r="Z835" s="17"/>
    </row>
    <row r="836" spans="1:26" x14ac:dyDescent="0.25">
      <c r="A836" s="35"/>
      <c r="B836" s="138">
        <v>0.875</v>
      </c>
      <c r="C836" s="35"/>
      <c r="D836" s="166"/>
      <c r="E836" s="166"/>
      <c r="F836" s="166"/>
      <c r="G836" s="166"/>
      <c r="H836" s="166"/>
      <c r="I836" s="30"/>
      <c r="J836" s="32"/>
      <c r="K836" s="39"/>
      <c r="L836" s="40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x14ac:dyDescent="0.25">
      <c r="A837" s="35"/>
      <c r="B837" s="138">
        <v>0.91666666666666663</v>
      </c>
      <c r="C837" s="35"/>
      <c r="D837" s="166"/>
      <c r="E837" s="166"/>
      <c r="F837" s="166"/>
      <c r="G837" s="166"/>
      <c r="H837" s="166"/>
      <c r="I837" s="30"/>
      <c r="J837" s="32"/>
      <c r="K837" s="39"/>
      <c r="L837" s="40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x14ac:dyDescent="0.25">
      <c r="A838" s="35"/>
      <c r="B838" s="139">
        <v>0.94791666666666663</v>
      </c>
      <c r="C838" s="35"/>
      <c r="D838" s="32"/>
      <c r="E838" s="32"/>
      <c r="F838" s="32"/>
      <c r="G838" s="32"/>
      <c r="H838" s="32"/>
      <c r="I838" s="30"/>
      <c r="J838" s="32"/>
      <c r="K838" s="39"/>
      <c r="L838" s="40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x14ac:dyDescent="0.25">
      <c r="A839" s="80"/>
      <c r="B839" s="132"/>
      <c r="C839" s="132"/>
      <c r="D839" s="132"/>
      <c r="E839" s="132"/>
      <c r="F839" s="132"/>
      <c r="G839" s="133"/>
      <c r="H839" s="51">
        <f t="shared" ref="H839:I839" si="41">SUM(H821:H838)</f>
        <v>23290</v>
      </c>
      <c r="I839" s="51">
        <f t="shared" si="41"/>
        <v>16</v>
      </c>
      <c r="J839" s="52"/>
      <c r="K839" s="51">
        <f>SUM(K821:K838)</f>
        <v>0</v>
      </c>
      <c r="L839" s="40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63" x14ac:dyDescent="0.25">
      <c r="A840" s="33">
        <f>A821+1</f>
        <v>44623</v>
      </c>
      <c r="B840" s="134" t="s">
        <v>54</v>
      </c>
      <c r="C840" s="55" t="s">
        <v>721</v>
      </c>
      <c r="D840" s="57">
        <v>60</v>
      </c>
      <c r="E840" s="57" t="s">
        <v>248</v>
      </c>
      <c r="F840" s="57" t="s">
        <v>722</v>
      </c>
      <c r="G840" s="125">
        <v>44627</v>
      </c>
      <c r="H840" s="65">
        <v>6103</v>
      </c>
      <c r="I840" s="30">
        <v>2</v>
      </c>
      <c r="J840" s="32"/>
      <c r="K840" s="39"/>
      <c r="L840" s="40"/>
      <c r="T840" s="17"/>
      <c r="U840" s="17"/>
      <c r="V840" s="17"/>
      <c r="W840" s="17"/>
      <c r="X840" s="17"/>
      <c r="Y840" s="17"/>
      <c r="Z840" s="17"/>
    </row>
    <row r="841" spans="1:26" ht="31.5" x14ac:dyDescent="0.25">
      <c r="A841" s="41" t="s">
        <v>137</v>
      </c>
      <c r="B841" s="135" t="s">
        <v>57</v>
      </c>
      <c r="C841" s="55" t="s">
        <v>723</v>
      </c>
      <c r="D841" s="57"/>
      <c r="E841" s="57"/>
      <c r="F841" s="57"/>
      <c r="G841" s="57"/>
      <c r="H841" s="65"/>
      <c r="I841" s="30"/>
      <c r="J841" s="32"/>
      <c r="K841" s="39"/>
      <c r="L841" s="40"/>
      <c r="T841" s="17"/>
      <c r="U841" s="17"/>
      <c r="V841" s="17"/>
      <c r="W841" s="17"/>
      <c r="X841" s="17"/>
      <c r="Y841" s="17"/>
      <c r="Z841" s="17"/>
    </row>
    <row r="842" spans="1:26" ht="126" x14ac:dyDescent="0.25">
      <c r="A842" s="35"/>
      <c r="B842" s="135" t="s">
        <v>58</v>
      </c>
      <c r="C842" s="55" t="s">
        <v>724</v>
      </c>
      <c r="D842" s="57">
        <v>60</v>
      </c>
      <c r="E842" s="57" t="s">
        <v>725</v>
      </c>
      <c r="F842" s="57" t="s">
        <v>726</v>
      </c>
      <c r="G842" s="125">
        <v>44623</v>
      </c>
      <c r="H842" s="65">
        <v>1913</v>
      </c>
      <c r="I842" s="30">
        <v>1</v>
      </c>
      <c r="J842" s="32"/>
      <c r="K842" s="39"/>
      <c r="L842" s="40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1.75" x14ac:dyDescent="0.25">
      <c r="A843" s="35"/>
      <c r="B843" s="135" t="s">
        <v>59</v>
      </c>
      <c r="C843" s="55" t="s">
        <v>727</v>
      </c>
      <c r="D843" s="57">
        <v>72</v>
      </c>
      <c r="E843" s="57" t="s">
        <v>725</v>
      </c>
      <c r="F843" s="57" t="s">
        <v>728</v>
      </c>
      <c r="G843" s="125">
        <v>44624</v>
      </c>
      <c r="H843" s="65">
        <v>2134</v>
      </c>
      <c r="I843" s="30">
        <v>1</v>
      </c>
      <c r="J843" s="32"/>
      <c r="K843" s="39"/>
      <c r="L843" s="40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63" x14ac:dyDescent="0.25">
      <c r="A844" s="35"/>
      <c r="B844" s="135" t="s">
        <v>60</v>
      </c>
      <c r="C844" s="55" t="s">
        <v>729</v>
      </c>
      <c r="D844" s="57">
        <v>72</v>
      </c>
      <c r="E844" s="57" t="s">
        <v>730</v>
      </c>
      <c r="F844" s="57" t="s">
        <v>731</v>
      </c>
      <c r="G844" s="125">
        <v>44624</v>
      </c>
      <c r="H844" s="57">
        <v>3144</v>
      </c>
      <c r="I844" s="222">
        <v>1</v>
      </c>
      <c r="J844" s="32"/>
      <c r="K844" s="39"/>
      <c r="L844" s="40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63" x14ac:dyDescent="0.25">
      <c r="A845" s="35"/>
      <c r="B845" s="135" t="s">
        <v>61</v>
      </c>
      <c r="C845" s="55" t="s">
        <v>732</v>
      </c>
      <c r="D845" s="60">
        <v>72</v>
      </c>
      <c r="E845" s="60" t="s">
        <v>91</v>
      </c>
      <c r="F845" s="60" t="s">
        <v>733</v>
      </c>
      <c r="G845" s="61">
        <v>44627</v>
      </c>
      <c r="H845" s="67">
        <v>3135</v>
      </c>
      <c r="I845" s="218">
        <v>1</v>
      </c>
      <c r="J845" s="32"/>
      <c r="K845" s="39"/>
      <c r="L845" s="40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x14ac:dyDescent="0.25">
      <c r="A846" s="35"/>
      <c r="B846" s="135" t="s">
        <v>62</v>
      </c>
      <c r="C846" s="35"/>
      <c r="D846" s="62"/>
      <c r="E846" s="62"/>
      <c r="F846" s="62"/>
      <c r="G846" s="62"/>
      <c r="H846" s="67"/>
      <c r="J846" s="32"/>
      <c r="K846" s="39"/>
      <c r="L846" s="40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x14ac:dyDescent="0.25">
      <c r="A847" s="35"/>
      <c r="B847" s="135" t="s">
        <v>63</v>
      </c>
      <c r="C847" s="35"/>
      <c r="D847" s="62"/>
      <c r="E847" s="62"/>
      <c r="F847" s="62"/>
      <c r="G847" s="62"/>
      <c r="H847" s="67"/>
      <c r="J847" s="32"/>
      <c r="K847" s="39"/>
      <c r="L847" s="40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47.25" x14ac:dyDescent="0.25">
      <c r="A848" s="35"/>
      <c r="B848" s="135" t="s">
        <v>64</v>
      </c>
      <c r="C848" s="55" t="s">
        <v>734</v>
      </c>
      <c r="D848" s="84">
        <v>72</v>
      </c>
      <c r="E848" s="84" t="s">
        <v>248</v>
      </c>
      <c r="F848" s="84" t="s">
        <v>735</v>
      </c>
      <c r="G848" s="136">
        <v>44627</v>
      </c>
      <c r="H848" s="86">
        <v>10937</v>
      </c>
      <c r="I848" s="30">
        <v>3</v>
      </c>
      <c r="J848" s="32"/>
      <c r="K848" s="39"/>
      <c r="L848" s="40"/>
      <c r="T848" s="17"/>
      <c r="U848" s="17"/>
      <c r="V848" s="17"/>
      <c r="W848" s="17"/>
      <c r="X848" s="17"/>
      <c r="Y848" s="17"/>
      <c r="Z848" s="17"/>
    </row>
    <row r="849" spans="1:26" ht="47.25" x14ac:dyDescent="0.25">
      <c r="A849" s="35"/>
      <c r="B849" s="135" t="s">
        <v>65</v>
      </c>
      <c r="C849" s="55" t="s">
        <v>736</v>
      </c>
      <c r="D849" s="84"/>
      <c r="E849" s="84"/>
      <c r="F849" s="84"/>
      <c r="G849" s="84"/>
      <c r="H849" s="84"/>
      <c r="I849" s="30"/>
      <c r="J849" s="32"/>
      <c r="K849" s="39"/>
      <c r="L849" s="40"/>
      <c r="T849" s="17"/>
      <c r="U849" s="17"/>
      <c r="V849" s="17"/>
      <c r="W849" s="17"/>
      <c r="X849" s="17"/>
      <c r="Y849" s="17"/>
      <c r="Z849" s="17"/>
    </row>
    <row r="850" spans="1:26" x14ac:dyDescent="0.25">
      <c r="A850" s="35"/>
      <c r="B850" s="135" t="s">
        <v>66</v>
      </c>
      <c r="C850" s="35"/>
      <c r="D850" s="84"/>
      <c r="E850" s="84"/>
      <c r="F850" s="84"/>
      <c r="G850" s="84"/>
      <c r="H850" s="84"/>
      <c r="I850" s="30"/>
      <c r="J850" s="32"/>
      <c r="K850" s="39"/>
      <c r="L850" s="40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63" x14ac:dyDescent="0.25">
      <c r="A851" s="35"/>
      <c r="B851" s="135" t="s">
        <v>67</v>
      </c>
      <c r="C851" s="55" t="s">
        <v>737</v>
      </c>
      <c r="D851" s="84">
        <v>72</v>
      </c>
      <c r="E851" s="84" t="s">
        <v>151</v>
      </c>
      <c r="F851" s="84" t="s">
        <v>738</v>
      </c>
      <c r="G851" s="136">
        <v>44631</v>
      </c>
      <c r="H851" s="86">
        <v>5412</v>
      </c>
      <c r="I851" s="30">
        <v>2</v>
      </c>
      <c r="J851" s="32"/>
      <c r="K851" s="39"/>
      <c r="L851" s="40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31.5" x14ac:dyDescent="0.25">
      <c r="A852" s="35"/>
      <c r="B852" s="135" t="s">
        <v>68</v>
      </c>
      <c r="C852" s="55" t="s">
        <v>739</v>
      </c>
      <c r="D852" s="84"/>
      <c r="E852" s="84"/>
      <c r="F852" s="84"/>
      <c r="G852" s="84"/>
      <c r="H852" s="84"/>
      <c r="I852" s="30"/>
      <c r="J852" s="32"/>
      <c r="K852" s="39"/>
      <c r="L852" s="40"/>
      <c r="T852" s="17"/>
      <c r="U852" s="17"/>
      <c r="V852" s="17"/>
      <c r="W852" s="17"/>
      <c r="X852" s="17"/>
      <c r="Y852" s="17"/>
      <c r="Z852" s="17"/>
    </row>
    <row r="853" spans="1:26" ht="63" x14ac:dyDescent="0.25">
      <c r="A853" s="35"/>
      <c r="B853" s="138">
        <v>0.79166666666666663</v>
      </c>
      <c r="C853" s="55" t="s">
        <v>740</v>
      </c>
      <c r="D853" s="60">
        <v>72</v>
      </c>
      <c r="E853" s="60" t="s">
        <v>151</v>
      </c>
      <c r="F853" s="60" t="s">
        <v>92</v>
      </c>
      <c r="G853" s="61">
        <v>44631</v>
      </c>
      <c r="H853" s="62">
        <v>3100</v>
      </c>
      <c r="I853" s="218">
        <v>1</v>
      </c>
      <c r="J853" s="32"/>
      <c r="K853" s="39"/>
      <c r="L853" s="40"/>
      <c r="T853" s="17"/>
      <c r="U853" s="17"/>
      <c r="V853" s="17"/>
      <c r="W853" s="17"/>
      <c r="X853" s="17"/>
      <c r="Y853" s="17"/>
      <c r="Z853" s="17"/>
    </row>
    <row r="854" spans="1:26" ht="78.75" x14ac:dyDescent="0.25">
      <c r="A854" s="35"/>
      <c r="B854" s="138">
        <v>0.83333333333333337</v>
      </c>
      <c r="C854" s="55" t="s">
        <v>741</v>
      </c>
      <c r="D854" s="84">
        <v>72</v>
      </c>
      <c r="E854" s="84" t="s">
        <v>25</v>
      </c>
      <c r="F854" s="84" t="s">
        <v>742</v>
      </c>
      <c r="G854" s="136">
        <v>44631</v>
      </c>
      <c r="H854" s="86">
        <v>5335</v>
      </c>
      <c r="I854" s="30">
        <v>2</v>
      </c>
      <c r="J854" s="32"/>
      <c r="K854" s="39"/>
      <c r="L854" s="40"/>
      <c r="T854" s="17"/>
      <c r="U854" s="17"/>
      <c r="V854" s="17"/>
      <c r="W854" s="17"/>
      <c r="X854" s="17"/>
      <c r="Y854" s="17"/>
      <c r="Z854" s="17"/>
    </row>
    <row r="855" spans="1:26" ht="31.5" x14ac:dyDescent="0.25">
      <c r="A855" s="35"/>
      <c r="B855" s="138">
        <v>0.875</v>
      </c>
      <c r="C855" s="55" t="s">
        <v>743</v>
      </c>
      <c r="D855" s="84"/>
      <c r="E855" s="84"/>
      <c r="F855" s="84"/>
      <c r="G855" s="84"/>
      <c r="H855" s="86"/>
      <c r="I855" s="30"/>
      <c r="J855" s="32"/>
      <c r="K855" s="39"/>
      <c r="L855" s="40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x14ac:dyDescent="0.25">
      <c r="A856" s="35"/>
      <c r="B856" s="138">
        <v>0.91666666666666663</v>
      </c>
      <c r="C856" s="35"/>
      <c r="D856" s="62"/>
      <c r="E856" s="62"/>
      <c r="F856" s="62"/>
      <c r="G856" s="62"/>
      <c r="H856" s="62"/>
      <c r="J856" s="32"/>
      <c r="K856" s="39"/>
      <c r="L856" s="40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x14ac:dyDescent="0.25">
      <c r="A857" s="35"/>
      <c r="B857" s="139">
        <v>0.94791666666666663</v>
      </c>
      <c r="C857" s="35"/>
      <c r="D857" s="62"/>
      <c r="E857" s="62"/>
      <c r="F857" s="62"/>
      <c r="G857" s="62"/>
      <c r="H857" s="62"/>
      <c r="J857" s="32"/>
      <c r="K857" s="39"/>
      <c r="L857" s="40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x14ac:dyDescent="0.25">
      <c r="A858" s="80"/>
      <c r="B858" s="132"/>
      <c r="C858" s="132"/>
      <c r="D858" s="132"/>
      <c r="E858" s="132"/>
      <c r="F858" s="132"/>
      <c r="G858" s="133"/>
      <c r="H858" s="51">
        <f t="shared" ref="H858:I858" si="42">SUM(H840:H857)</f>
        <v>41213</v>
      </c>
      <c r="I858" s="51">
        <f t="shared" si="42"/>
        <v>14</v>
      </c>
      <c r="J858" s="52"/>
      <c r="K858" s="51">
        <f>SUM(K840:K857)</f>
        <v>0</v>
      </c>
      <c r="L858" s="40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63" x14ac:dyDescent="0.25">
      <c r="A859" s="33">
        <f>A840+1</f>
        <v>44624</v>
      </c>
      <c r="B859" s="134" t="s">
        <v>54</v>
      </c>
      <c r="C859" s="55" t="s">
        <v>744</v>
      </c>
      <c r="D859" s="68">
        <v>60</v>
      </c>
      <c r="E859" s="68" t="s">
        <v>25</v>
      </c>
      <c r="F859" s="68" t="s">
        <v>745</v>
      </c>
      <c r="G859" s="69">
        <v>44627</v>
      </c>
      <c r="H859" s="67">
        <v>1200</v>
      </c>
      <c r="I859" s="218">
        <v>1</v>
      </c>
      <c r="J859" s="32"/>
      <c r="K859" s="39"/>
      <c r="L859" s="40"/>
      <c r="T859" s="17"/>
      <c r="U859" s="17"/>
      <c r="V859" s="17"/>
      <c r="W859" s="17"/>
      <c r="X859" s="17"/>
      <c r="Y859" s="17"/>
      <c r="Z859" s="17"/>
    </row>
    <row r="860" spans="1:26" ht="126" x14ac:dyDescent="0.25">
      <c r="A860" s="41" t="s">
        <v>56</v>
      </c>
      <c r="B860" s="135" t="s">
        <v>57</v>
      </c>
      <c r="C860" s="55" t="s">
        <v>746</v>
      </c>
      <c r="D860" s="68">
        <v>60</v>
      </c>
      <c r="E860" s="68" t="s">
        <v>91</v>
      </c>
      <c r="F860" s="68" t="s">
        <v>430</v>
      </c>
      <c r="G860" s="68" t="s">
        <v>2870</v>
      </c>
      <c r="H860" s="67">
        <v>2564</v>
      </c>
      <c r="I860" s="218">
        <v>1</v>
      </c>
      <c r="J860" s="32"/>
      <c r="K860" s="39"/>
      <c r="L860" s="40"/>
      <c r="T860" s="17"/>
      <c r="U860" s="17"/>
      <c r="V860" s="17"/>
      <c r="W860" s="17"/>
      <c r="X860" s="17"/>
      <c r="Y860" s="17"/>
      <c r="Z860" s="17"/>
    </row>
    <row r="861" spans="1:26" ht="141.75" x14ac:dyDescent="0.25">
      <c r="A861" s="35"/>
      <c r="B861" s="135" t="s">
        <v>58</v>
      </c>
      <c r="C861" s="55" t="s">
        <v>747</v>
      </c>
      <c r="D861" s="68">
        <v>60</v>
      </c>
      <c r="E861" s="68" t="s">
        <v>70</v>
      </c>
      <c r="F861" s="68" t="s">
        <v>748</v>
      </c>
      <c r="G861" s="68" t="s">
        <v>2871</v>
      </c>
      <c r="H861" s="67">
        <v>2628</v>
      </c>
      <c r="I861" s="218">
        <v>1</v>
      </c>
      <c r="J861" s="32"/>
      <c r="K861" s="39"/>
      <c r="L861" s="40"/>
      <c r="T861" s="17"/>
      <c r="U861" s="17"/>
      <c r="V861" s="17"/>
      <c r="W861" s="17"/>
      <c r="X861" s="17"/>
      <c r="Y861" s="17"/>
      <c r="Z861" s="17"/>
    </row>
    <row r="862" spans="1:26" ht="63" x14ac:dyDescent="0.25">
      <c r="A862" s="35"/>
      <c r="B862" s="135" t="s">
        <v>59</v>
      </c>
      <c r="C862" s="55" t="s">
        <v>749</v>
      </c>
      <c r="D862" s="68">
        <v>72</v>
      </c>
      <c r="E862" s="68" t="s">
        <v>439</v>
      </c>
      <c r="F862" s="68" t="s">
        <v>731</v>
      </c>
      <c r="G862" s="68" t="s">
        <v>2871</v>
      </c>
      <c r="H862" s="67">
        <v>3144</v>
      </c>
      <c r="I862" s="218">
        <v>1</v>
      </c>
      <c r="J862" s="32"/>
      <c r="K862" s="39"/>
      <c r="L862" s="40"/>
      <c r="T862" s="17"/>
      <c r="U862" s="17"/>
      <c r="V862" s="17"/>
      <c r="W862" s="17"/>
      <c r="X862" s="17"/>
      <c r="Y862" s="17"/>
      <c r="Z862" s="17"/>
    </row>
    <row r="863" spans="1:26" ht="78.75" x14ac:dyDescent="0.25">
      <c r="A863" s="43"/>
      <c r="B863" s="135" t="s">
        <v>60</v>
      </c>
      <c r="C863" s="55" t="s">
        <v>2872</v>
      </c>
      <c r="D863" s="68">
        <v>72</v>
      </c>
      <c r="E863" s="68" t="s">
        <v>85</v>
      </c>
      <c r="F863" s="68" t="s">
        <v>88</v>
      </c>
      <c r="G863" s="68" t="s">
        <v>2873</v>
      </c>
      <c r="H863" s="65">
        <v>9700</v>
      </c>
      <c r="I863" s="30">
        <v>3</v>
      </c>
      <c r="J863" s="32"/>
      <c r="K863" s="39"/>
      <c r="L863" s="40"/>
      <c r="T863" s="17"/>
      <c r="U863" s="17"/>
      <c r="V863" s="17"/>
      <c r="W863" s="17"/>
      <c r="X863" s="17"/>
      <c r="Y863" s="17"/>
      <c r="Z863" s="17"/>
    </row>
    <row r="864" spans="1:26" x14ac:dyDescent="0.25">
      <c r="A864" s="35"/>
      <c r="B864" s="135" t="s">
        <v>61</v>
      </c>
      <c r="C864" s="35"/>
      <c r="D864" s="65"/>
      <c r="E864" s="65"/>
      <c r="F864" s="65"/>
      <c r="G864" s="65"/>
      <c r="H864" s="65"/>
      <c r="I864" s="30"/>
      <c r="J864" s="32"/>
      <c r="K864" s="39"/>
      <c r="L864" s="40"/>
      <c r="T864" s="17"/>
      <c r="U864" s="17"/>
      <c r="V864" s="17"/>
      <c r="W864" s="17"/>
      <c r="X864" s="17"/>
      <c r="Y864" s="17"/>
      <c r="Z864" s="17"/>
    </row>
    <row r="865" spans="1:26" x14ac:dyDescent="0.25">
      <c r="A865" s="35"/>
      <c r="B865" s="135" t="s">
        <v>62</v>
      </c>
      <c r="C865" s="35"/>
      <c r="D865" s="65"/>
      <c r="E865" s="65"/>
      <c r="F865" s="65"/>
      <c r="G865" s="65"/>
      <c r="H865" s="65"/>
      <c r="I865" s="30"/>
      <c r="J865" s="32"/>
      <c r="K865" s="39"/>
      <c r="L865" s="40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x14ac:dyDescent="0.25">
      <c r="A866" s="35"/>
      <c r="B866" s="135" t="s">
        <v>63</v>
      </c>
      <c r="C866" s="35"/>
      <c r="D866" s="67"/>
      <c r="E866" s="67"/>
      <c r="F866" s="67"/>
      <c r="G866" s="67"/>
      <c r="H866" s="67"/>
      <c r="J866" s="32"/>
      <c r="K866" s="39"/>
      <c r="L866" s="40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94.5" x14ac:dyDescent="0.25">
      <c r="A867" s="35"/>
      <c r="B867" s="135" t="s">
        <v>64</v>
      </c>
      <c r="C867" s="55" t="s">
        <v>750</v>
      </c>
      <c r="D867" s="60">
        <v>72</v>
      </c>
      <c r="E867" s="60" t="s">
        <v>85</v>
      </c>
      <c r="F867" s="60" t="s">
        <v>751</v>
      </c>
      <c r="G867" s="61">
        <v>44627</v>
      </c>
      <c r="H867" s="62">
        <v>14000</v>
      </c>
      <c r="I867" s="218">
        <v>8</v>
      </c>
      <c r="J867" s="32"/>
      <c r="K867" s="39"/>
      <c r="L867" s="40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x14ac:dyDescent="0.25">
      <c r="A868" s="35"/>
      <c r="B868" s="135" t="s">
        <v>65</v>
      </c>
      <c r="C868" s="35"/>
      <c r="D868" s="60"/>
      <c r="E868" s="60"/>
      <c r="F868" s="60">
        <v>2</v>
      </c>
      <c r="G868" s="60"/>
      <c r="H868" s="60"/>
      <c r="J868" s="32"/>
      <c r="K868" s="39"/>
      <c r="L868" s="40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x14ac:dyDescent="0.25">
      <c r="A869" s="35"/>
      <c r="B869" s="135" t="s">
        <v>66</v>
      </c>
      <c r="C869" s="35"/>
      <c r="D869" s="60"/>
      <c r="E869" s="60"/>
      <c r="F869" s="60">
        <v>3</v>
      </c>
      <c r="G869" s="60"/>
      <c r="H869" s="60"/>
      <c r="J869" s="32"/>
      <c r="K869" s="39"/>
      <c r="L869" s="40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x14ac:dyDescent="0.25">
      <c r="A870" s="35"/>
      <c r="B870" s="135" t="s">
        <v>67</v>
      </c>
      <c r="C870" s="35"/>
      <c r="D870" s="60"/>
      <c r="E870" s="60"/>
      <c r="F870" s="60">
        <v>4</v>
      </c>
      <c r="G870" s="60"/>
      <c r="H870" s="60"/>
      <c r="J870" s="32"/>
      <c r="K870" s="39"/>
      <c r="L870" s="40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x14ac:dyDescent="0.25">
      <c r="A871" s="35"/>
      <c r="B871" s="135" t="s">
        <v>68</v>
      </c>
      <c r="C871" s="35"/>
      <c r="D871" s="60"/>
      <c r="E871" s="60"/>
      <c r="F871" s="60">
        <v>5</v>
      </c>
      <c r="G871" s="60"/>
      <c r="H871" s="60"/>
      <c r="J871" s="32"/>
      <c r="K871" s="39"/>
      <c r="L871" s="40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x14ac:dyDescent="0.25">
      <c r="A872" s="35"/>
      <c r="B872" s="138">
        <v>0.79166666666666663</v>
      </c>
      <c r="C872" s="35"/>
      <c r="D872" s="60"/>
      <c r="E872" s="60"/>
      <c r="F872" s="60">
        <v>6</v>
      </c>
      <c r="G872" s="60"/>
      <c r="H872" s="60"/>
      <c r="J872" s="32"/>
      <c r="K872" s="39"/>
      <c r="L872" s="40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x14ac:dyDescent="0.25">
      <c r="A873" s="35"/>
      <c r="B873" s="138">
        <v>0.83333333333333337</v>
      </c>
      <c r="C873" s="35"/>
      <c r="D873" s="60"/>
      <c r="E873" s="60"/>
      <c r="F873" s="60">
        <v>7</v>
      </c>
      <c r="G873" s="60"/>
      <c r="H873" s="60"/>
      <c r="I873" s="30"/>
      <c r="J873" s="32"/>
      <c r="K873" s="39"/>
      <c r="L873" s="40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x14ac:dyDescent="0.25">
      <c r="A874" s="35"/>
      <c r="B874" s="138">
        <v>0.875</v>
      </c>
      <c r="C874" s="35"/>
      <c r="D874" s="86"/>
      <c r="E874" s="86"/>
      <c r="F874" s="86"/>
      <c r="G874" s="86"/>
      <c r="H874" s="86"/>
      <c r="I874" s="30"/>
      <c r="J874" s="32"/>
      <c r="K874" s="39"/>
      <c r="L874" s="40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x14ac:dyDescent="0.25">
      <c r="A875" s="35"/>
      <c r="B875" s="138">
        <v>0.91666666666666663</v>
      </c>
      <c r="C875" s="35"/>
      <c r="D875" s="86"/>
      <c r="E875" s="86"/>
      <c r="F875" s="86"/>
      <c r="G875" s="86"/>
      <c r="H875" s="86"/>
      <c r="I875" s="30"/>
      <c r="J875" s="32"/>
      <c r="K875" s="39"/>
      <c r="L875" s="40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x14ac:dyDescent="0.25">
      <c r="A876" s="35"/>
      <c r="B876" s="139">
        <v>0.94791666666666663</v>
      </c>
      <c r="C876" s="35"/>
      <c r="D876" s="86"/>
      <c r="E876" s="86"/>
      <c r="F876" s="86"/>
      <c r="G876" s="86"/>
      <c r="H876" s="86"/>
      <c r="I876" s="30"/>
      <c r="J876" s="32"/>
      <c r="K876" s="39"/>
      <c r="L876" s="40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x14ac:dyDescent="0.25">
      <c r="A877" s="80"/>
      <c r="B877" s="131"/>
      <c r="C877" s="132"/>
      <c r="D877" s="132"/>
      <c r="E877" s="132"/>
      <c r="F877" s="132"/>
      <c r="G877" s="133"/>
      <c r="H877" s="51">
        <f t="shared" ref="H877:I877" si="43">SUM(H859:H876)</f>
        <v>33236</v>
      </c>
      <c r="I877" s="51">
        <f t="shared" si="43"/>
        <v>15</v>
      </c>
      <c r="J877" s="52"/>
      <c r="K877" s="51">
        <f>SUM(K859:K876)</f>
        <v>0</v>
      </c>
      <c r="L877" s="40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x14ac:dyDescent="0.25">
      <c r="A878" s="33">
        <f>A859+3</f>
        <v>44627</v>
      </c>
      <c r="B878" s="134" t="s">
        <v>54</v>
      </c>
      <c r="C878" s="35"/>
      <c r="D878" s="115" t="s">
        <v>752</v>
      </c>
      <c r="E878" s="115"/>
      <c r="F878" s="115"/>
      <c r="G878" s="115"/>
      <c r="H878" s="115"/>
      <c r="J878" s="32"/>
      <c r="K878" s="39"/>
      <c r="L878" s="40"/>
      <c r="T878" s="17"/>
      <c r="U878" s="17"/>
      <c r="V878" s="17"/>
      <c r="W878" s="17"/>
      <c r="X878" s="17"/>
      <c r="Y878" s="17"/>
      <c r="Z878" s="17"/>
    </row>
    <row r="879" spans="1:26" x14ac:dyDescent="0.25">
      <c r="A879" s="41" t="s">
        <v>72</v>
      </c>
      <c r="B879" s="135" t="s">
        <v>57</v>
      </c>
      <c r="C879" s="35"/>
      <c r="D879" s="115" t="s">
        <v>753</v>
      </c>
      <c r="E879" s="115"/>
      <c r="F879" s="115"/>
      <c r="G879" s="115"/>
      <c r="H879" s="115"/>
      <c r="J879" s="32"/>
      <c r="K879" s="39"/>
      <c r="L879" s="40"/>
      <c r="T879" s="17"/>
      <c r="U879" s="17"/>
      <c r="V879" s="17"/>
      <c r="W879" s="17"/>
      <c r="X879" s="17"/>
      <c r="Y879" s="17"/>
      <c r="Z879" s="17"/>
    </row>
    <row r="880" spans="1:26" x14ac:dyDescent="0.25">
      <c r="A880" s="35"/>
      <c r="B880" s="135" t="s">
        <v>58</v>
      </c>
      <c r="C880" s="35"/>
      <c r="D880" s="115" t="s">
        <v>754</v>
      </c>
      <c r="E880" s="115"/>
      <c r="F880" s="115"/>
      <c r="G880" s="115"/>
      <c r="H880" s="115"/>
      <c r="J880" s="32"/>
      <c r="K880" s="39"/>
      <c r="L880" s="40"/>
      <c r="T880" s="17"/>
      <c r="U880" s="17"/>
      <c r="V880" s="17"/>
      <c r="W880" s="17"/>
      <c r="X880" s="17"/>
      <c r="Y880" s="17"/>
      <c r="Z880" s="17"/>
    </row>
    <row r="881" spans="1:26" x14ac:dyDescent="0.25">
      <c r="A881" s="35"/>
      <c r="B881" s="135" t="s">
        <v>59</v>
      </c>
      <c r="C881" s="35"/>
      <c r="D881" s="115"/>
      <c r="E881" s="115"/>
      <c r="F881" s="115"/>
      <c r="G881" s="115"/>
      <c r="H881" s="115"/>
      <c r="K881" s="39"/>
      <c r="L881" s="40"/>
      <c r="T881" s="17"/>
      <c r="U881" s="17"/>
      <c r="V881" s="17"/>
      <c r="W881" s="17"/>
      <c r="X881" s="17"/>
      <c r="Y881" s="17"/>
      <c r="Z881" s="17"/>
    </row>
    <row r="882" spans="1:26" x14ac:dyDescent="0.25">
      <c r="A882" s="35"/>
      <c r="B882" s="135" t="s">
        <v>60</v>
      </c>
      <c r="C882" s="35"/>
      <c r="D882" s="115"/>
      <c r="E882" s="115"/>
      <c r="F882" s="115"/>
      <c r="G882" s="115"/>
      <c r="H882" s="115"/>
      <c r="K882" s="39"/>
      <c r="L882" s="40"/>
      <c r="T882" s="17"/>
      <c r="U882" s="17"/>
      <c r="V882" s="17"/>
      <c r="W882" s="17"/>
      <c r="X882" s="17"/>
      <c r="Y882" s="17"/>
      <c r="Z882" s="17"/>
    </row>
    <row r="883" spans="1:26" x14ac:dyDescent="0.25">
      <c r="A883" s="35"/>
      <c r="B883" s="135" t="s">
        <v>61</v>
      </c>
      <c r="C883" s="35"/>
      <c r="D883" s="115"/>
      <c r="E883" s="115"/>
      <c r="F883" s="115"/>
      <c r="G883" s="115"/>
      <c r="H883" s="115"/>
      <c r="K883" s="39"/>
      <c r="L883" s="40"/>
      <c r="T883" s="17"/>
      <c r="U883" s="17"/>
      <c r="V883" s="17"/>
      <c r="W883" s="17"/>
      <c r="X883" s="17"/>
      <c r="Y883" s="17"/>
      <c r="Z883" s="17"/>
    </row>
    <row r="884" spans="1:26" x14ac:dyDescent="0.25">
      <c r="A884" s="35"/>
      <c r="B884" s="135" t="s">
        <v>62</v>
      </c>
      <c r="C884" s="35"/>
      <c r="D884" s="115"/>
      <c r="E884" s="115"/>
      <c r="F884" s="115"/>
      <c r="G884" s="115"/>
      <c r="H884" s="115"/>
      <c r="K884" s="39"/>
      <c r="L884" s="40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x14ac:dyDescent="0.25">
      <c r="A885" s="35"/>
      <c r="B885" s="135" t="s">
        <v>63</v>
      </c>
      <c r="C885" s="35"/>
      <c r="D885" s="62"/>
      <c r="E885" s="62"/>
      <c r="F885" s="62"/>
      <c r="G885" s="62"/>
      <c r="H885" s="62"/>
      <c r="K885" s="39"/>
      <c r="L885" s="40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63" x14ac:dyDescent="0.25">
      <c r="A886" s="35"/>
      <c r="B886" s="135" t="s">
        <v>64</v>
      </c>
      <c r="C886" s="55" t="s">
        <v>755</v>
      </c>
      <c r="D886" s="68">
        <v>36</v>
      </c>
      <c r="E886" s="68" t="s">
        <v>18</v>
      </c>
      <c r="F886" s="68" t="s">
        <v>756</v>
      </c>
      <c r="G886" s="68" t="s">
        <v>2874</v>
      </c>
      <c r="H886" s="62">
        <v>1865</v>
      </c>
      <c r="I886" s="218">
        <v>1</v>
      </c>
      <c r="K886" s="39"/>
      <c r="L886" s="40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63" x14ac:dyDescent="0.25">
      <c r="A887" s="35"/>
      <c r="B887" s="135" t="s">
        <v>65</v>
      </c>
      <c r="C887" s="55" t="s">
        <v>757</v>
      </c>
      <c r="D887" s="56">
        <v>36</v>
      </c>
      <c r="E887" s="57" t="s">
        <v>758</v>
      </c>
      <c r="F887" s="57" t="s">
        <v>759</v>
      </c>
      <c r="G887" s="57" t="s">
        <v>760</v>
      </c>
      <c r="H887" s="62">
        <v>2308</v>
      </c>
      <c r="I887" s="218">
        <v>1</v>
      </c>
      <c r="K887" s="39"/>
      <c r="L887" s="40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63" x14ac:dyDescent="0.25">
      <c r="A888" s="35"/>
      <c r="B888" s="135" t="s">
        <v>66</v>
      </c>
      <c r="C888" s="55" t="s">
        <v>761</v>
      </c>
      <c r="D888" s="57">
        <v>48</v>
      </c>
      <c r="E888" s="57" t="s">
        <v>70</v>
      </c>
      <c r="F888" s="57" t="s">
        <v>762</v>
      </c>
      <c r="G888" s="125">
        <v>44631</v>
      </c>
      <c r="H888" s="86">
        <v>3250</v>
      </c>
      <c r="I888" s="30">
        <v>2</v>
      </c>
      <c r="K888" s="39"/>
      <c r="L888" s="40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31.5" x14ac:dyDescent="0.25">
      <c r="A889" s="35"/>
      <c r="B889" s="135" t="s">
        <v>67</v>
      </c>
      <c r="C889" s="55" t="s">
        <v>763</v>
      </c>
      <c r="D889" s="57"/>
      <c r="E889" s="57"/>
      <c r="F889" s="57"/>
      <c r="G889" s="57"/>
      <c r="H889" s="86"/>
      <c r="I889" s="30"/>
      <c r="K889" s="39"/>
      <c r="L889" s="40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63" x14ac:dyDescent="0.25">
      <c r="A890" s="35"/>
      <c r="B890" s="135" t="s">
        <v>68</v>
      </c>
      <c r="C890" s="55" t="s">
        <v>764</v>
      </c>
      <c r="D890" s="57">
        <v>48</v>
      </c>
      <c r="E890" s="57" t="s">
        <v>91</v>
      </c>
      <c r="F890" s="57" t="s">
        <v>765</v>
      </c>
      <c r="G890" s="125">
        <v>44631</v>
      </c>
      <c r="H890" s="86">
        <v>4093</v>
      </c>
      <c r="I890" s="30">
        <v>2</v>
      </c>
      <c r="K890" s="39"/>
      <c r="L890" s="40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31.5" x14ac:dyDescent="0.25">
      <c r="A891" s="35"/>
      <c r="B891" s="138">
        <v>0.79166666666666663</v>
      </c>
      <c r="C891" s="55" t="s">
        <v>766</v>
      </c>
      <c r="D891" s="57"/>
      <c r="E891" s="57"/>
      <c r="F891" s="57"/>
      <c r="G891" s="57"/>
      <c r="H891" s="84"/>
      <c r="I891" s="30"/>
      <c r="K891" s="39"/>
      <c r="L891" s="40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x14ac:dyDescent="0.25">
      <c r="A892" s="35"/>
      <c r="B892" s="138">
        <v>0.83333333333333337</v>
      </c>
      <c r="C892" s="35"/>
      <c r="D892" s="67"/>
      <c r="E892" s="67"/>
      <c r="F892" s="67"/>
      <c r="G892" s="67"/>
      <c r="H892" s="62"/>
      <c r="J892" s="32"/>
      <c r="K892" s="39"/>
      <c r="L892" s="40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x14ac:dyDescent="0.25">
      <c r="A893" s="35"/>
      <c r="B893" s="138">
        <v>0.875</v>
      </c>
      <c r="C893" s="35"/>
      <c r="D893" s="65"/>
      <c r="E893" s="65"/>
      <c r="F893" s="65"/>
      <c r="G893" s="65"/>
      <c r="H893" s="86"/>
      <c r="I893" s="30"/>
      <c r="J893" s="32"/>
      <c r="K893" s="39"/>
      <c r="L893" s="40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x14ac:dyDescent="0.25">
      <c r="A894" s="35"/>
      <c r="B894" s="138">
        <v>0.91666666666666663</v>
      </c>
      <c r="C894" s="35"/>
      <c r="D894" s="65"/>
      <c r="E894" s="65"/>
      <c r="F894" s="65"/>
      <c r="G894" s="65"/>
      <c r="H894" s="86"/>
      <c r="I894" s="30"/>
      <c r="J894" s="32"/>
      <c r="K894" s="39"/>
      <c r="L894" s="40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x14ac:dyDescent="0.25">
      <c r="A895" s="35"/>
      <c r="B895" s="139">
        <v>0.94791666666666663</v>
      </c>
      <c r="C895" s="35"/>
      <c r="D895" s="65"/>
      <c r="E895" s="65"/>
      <c r="F895" s="65"/>
      <c r="G895" s="65"/>
      <c r="H895" s="86"/>
      <c r="I895" s="30"/>
      <c r="J895" s="32"/>
      <c r="K895" s="39"/>
      <c r="L895" s="40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x14ac:dyDescent="0.25">
      <c r="A896" s="80"/>
      <c r="B896" s="132"/>
      <c r="C896" s="132"/>
      <c r="D896" s="132"/>
      <c r="E896" s="132"/>
      <c r="F896" s="132"/>
      <c r="G896" s="133"/>
      <c r="H896" s="51">
        <f t="shared" ref="H896:I896" si="44">SUM(H884:H895)</f>
        <v>11516</v>
      </c>
      <c r="I896" s="51">
        <f t="shared" si="44"/>
        <v>6</v>
      </c>
      <c r="J896" s="52"/>
      <c r="K896" s="51">
        <f>SUM(K878:K895)</f>
        <v>0</v>
      </c>
      <c r="L896" s="40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78.75" x14ac:dyDescent="0.25">
      <c r="A897" s="33">
        <f>A878+1</f>
        <v>44628</v>
      </c>
      <c r="B897" s="134" t="s">
        <v>54</v>
      </c>
      <c r="C897" s="55" t="s">
        <v>767</v>
      </c>
      <c r="D897" s="68">
        <v>72</v>
      </c>
      <c r="E897" s="68" t="s">
        <v>91</v>
      </c>
      <c r="F897" s="68" t="s">
        <v>768</v>
      </c>
      <c r="G897" s="69">
        <v>44629</v>
      </c>
      <c r="H897" s="67">
        <v>9341</v>
      </c>
      <c r="I897" s="218">
        <v>3</v>
      </c>
      <c r="J897" s="32"/>
      <c r="K897" s="39"/>
      <c r="L897" s="40"/>
      <c r="T897" s="17"/>
      <c r="U897" s="17"/>
      <c r="V897" s="17"/>
      <c r="W897" s="17"/>
      <c r="X897" s="17"/>
      <c r="Y897" s="17"/>
      <c r="Z897" s="17"/>
    </row>
    <row r="898" spans="1:26" ht="47.25" x14ac:dyDescent="0.25">
      <c r="A898" s="41" t="s">
        <v>102</v>
      </c>
      <c r="B898" s="135" t="s">
        <v>57</v>
      </c>
      <c r="C898" s="55" t="s">
        <v>769</v>
      </c>
      <c r="D898" s="68"/>
      <c r="E898" s="68"/>
      <c r="F898" s="68"/>
      <c r="G898" s="109" t="s">
        <v>770</v>
      </c>
      <c r="H898" s="67"/>
      <c r="J898" s="32"/>
      <c r="K898" s="39"/>
      <c r="L898" s="40"/>
      <c r="T898" s="17"/>
      <c r="U898" s="17"/>
      <c r="V898" s="17"/>
      <c r="W898" s="17"/>
      <c r="X898" s="17"/>
      <c r="Y898" s="17"/>
      <c r="Z898" s="17"/>
    </row>
    <row r="899" spans="1:26" x14ac:dyDescent="0.25">
      <c r="A899" s="35"/>
      <c r="B899" s="135" t="s">
        <v>58</v>
      </c>
      <c r="C899" s="35"/>
      <c r="D899" s="67"/>
      <c r="E899" s="67"/>
      <c r="F899" s="67"/>
      <c r="G899" s="67"/>
      <c r="H899" s="67"/>
      <c r="J899" s="32"/>
      <c r="K899" s="39"/>
      <c r="L899" s="40"/>
      <c r="T899" s="17"/>
      <c r="U899" s="17"/>
      <c r="V899" s="17"/>
      <c r="W899" s="17"/>
      <c r="X899" s="17"/>
      <c r="Y899" s="17"/>
      <c r="Z899" s="17"/>
    </row>
    <row r="900" spans="1:26" ht="126" x14ac:dyDescent="0.25">
      <c r="A900" s="35"/>
      <c r="B900" s="135" t="s">
        <v>59</v>
      </c>
      <c r="C900" s="55" t="s">
        <v>771</v>
      </c>
      <c r="D900" s="57">
        <v>72</v>
      </c>
      <c r="E900" s="57" t="s">
        <v>204</v>
      </c>
      <c r="F900" s="57" t="s">
        <v>772</v>
      </c>
      <c r="G900" s="63">
        <v>44635</v>
      </c>
      <c r="H900" s="65">
        <v>6382</v>
      </c>
      <c r="I900" s="30">
        <v>3</v>
      </c>
      <c r="J900" s="32"/>
      <c r="K900" s="39"/>
      <c r="L900" s="40"/>
      <c r="T900" s="17"/>
      <c r="U900" s="17"/>
      <c r="V900" s="17"/>
      <c r="W900" s="17"/>
      <c r="X900" s="17"/>
      <c r="Y900" s="17"/>
      <c r="Z900" s="17"/>
    </row>
    <row r="901" spans="1:26" ht="47.25" x14ac:dyDescent="0.25">
      <c r="A901" s="35"/>
      <c r="B901" s="135" t="s">
        <v>60</v>
      </c>
      <c r="C901" s="55" t="s">
        <v>773</v>
      </c>
      <c r="D901" s="57"/>
      <c r="E901" s="57"/>
      <c r="F901" s="57"/>
      <c r="G901" s="63"/>
      <c r="H901" s="65"/>
      <c r="I901" s="30"/>
      <c r="J901" s="32"/>
      <c r="K901" s="39"/>
      <c r="L901" s="40"/>
      <c r="T901" s="17"/>
      <c r="U901" s="17"/>
      <c r="V901" s="17"/>
      <c r="W901" s="17"/>
      <c r="X901" s="17"/>
      <c r="Y901" s="17"/>
      <c r="Z901" s="17"/>
    </row>
    <row r="902" spans="1:26" x14ac:dyDescent="0.25">
      <c r="A902" s="35"/>
      <c r="B902" s="135" t="s">
        <v>61</v>
      </c>
      <c r="C902" s="35"/>
      <c r="D902" s="65"/>
      <c r="E902" s="65"/>
      <c r="F902" s="65"/>
      <c r="G902" s="66"/>
      <c r="H902" s="65"/>
      <c r="I902" s="30"/>
      <c r="J902" s="32"/>
      <c r="K902" s="39"/>
      <c r="L902" s="40"/>
      <c r="T902" s="17"/>
      <c r="U902" s="17"/>
      <c r="V902" s="17"/>
      <c r="W902" s="17"/>
      <c r="X902" s="17"/>
      <c r="Y902" s="17"/>
      <c r="Z902" s="17"/>
    </row>
    <row r="903" spans="1:26" x14ac:dyDescent="0.25">
      <c r="A903" s="35"/>
      <c r="B903" s="135" t="s">
        <v>62</v>
      </c>
      <c r="C903" s="35"/>
      <c r="D903" s="67"/>
      <c r="E903" s="67"/>
      <c r="F903" s="67"/>
      <c r="G903" s="67"/>
      <c r="H903" s="67"/>
      <c r="J903" s="32"/>
      <c r="K903" s="39"/>
      <c r="L903" s="40"/>
      <c r="T903" s="17"/>
      <c r="U903" s="17"/>
      <c r="V903" s="17"/>
      <c r="W903" s="17"/>
      <c r="X903" s="17"/>
      <c r="Y903" s="17"/>
      <c r="Z903" s="17"/>
    </row>
    <row r="904" spans="1:26" ht="63" x14ac:dyDescent="0.25">
      <c r="A904" s="35"/>
      <c r="B904" s="135" t="s">
        <v>63</v>
      </c>
      <c r="C904" s="55" t="s">
        <v>774</v>
      </c>
      <c r="D904" s="57">
        <v>36</v>
      </c>
      <c r="E904" s="57" t="s">
        <v>100</v>
      </c>
      <c r="F904" s="57" t="s">
        <v>191</v>
      </c>
      <c r="G904" s="125">
        <v>44631</v>
      </c>
      <c r="H904" s="65">
        <v>1424</v>
      </c>
      <c r="I904" s="30">
        <v>1</v>
      </c>
      <c r="J904" s="32"/>
      <c r="K904" s="39"/>
      <c r="L904" s="40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47.25" x14ac:dyDescent="0.25">
      <c r="A905" s="35"/>
      <c r="B905" s="135" t="s">
        <v>64</v>
      </c>
      <c r="C905" s="55" t="s">
        <v>775</v>
      </c>
      <c r="D905" s="60">
        <v>51</v>
      </c>
      <c r="E905" s="60" t="s">
        <v>776</v>
      </c>
      <c r="F905" s="60" t="s">
        <v>777</v>
      </c>
      <c r="G905" s="61">
        <v>44627</v>
      </c>
      <c r="H905" s="62">
        <v>11179</v>
      </c>
      <c r="I905" s="218">
        <v>7</v>
      </c>
      <c r="J905" s="32"/>
      <c r="K905" s="39"/>
      <c r="L905" s="40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10.25" x14ac:dyDescent="0.25">
      <c r="A906" s="35"/>
      <c r="B906" s="135" t="s">
        <v>65</v>
      </c>
      <c r="C906" s="55" t="s">
        <v>778</v>
      </c>
      <c r="D906" s="62"/>
      <c r="E906" s="62"/>
      <c r="F906" s="62">
        <v>2</v>
      </c>
      <c r="G906" s="62"/>
      <c r="H906" s="62"/>
      <c r="J906" s="32"/>
      <c r="K906" s="39"/>
      <c r="L906" s="40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x14ac:dyDescent="0.25">
      <c r="A907" s="35"/>
      <c r="B907" s="135" t="s">
        <v>66</v>
      </c>
      <c r="C907" s="35"/>
      <c r="D907" s="62"/>
      <c r="E907" s="62"/>
      <c r="F907" s="62">
        <v>3</v>
      </c>
      <c r="G907" s="62"/>
      <c r="H907" s="62"/>
      <c r="J907" s="32"/>
      <c r="K907" s="39"/>
      <c r="L907" s="40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x14ac:dyDescent="0.25">
      <c r="A908" s="35"/>
      <c r="B908" s="135" t="s">
        <v>67</v>
      </c>
      <c r="C908" s="35"/>
      <c r="D908" s="62"/>
      <c r="E908" s="62"/>
      <c r="F908" s="62">
        <v>4</v>
      </c>
      <c r="G908" s="62"/>
      <c r="H908" s="62"/>
      <c r="J908" s="32"/>
      <c r="K908" s="39"/>
      <c r="L908" s="40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x14ac:dyDescent="0.25">
      <c r="A909" s="35"/>
      <c r="B909" s="135" t="s">
        <v>68</v>
      </c>
      <c r="C909" s="35"/>
      <c r="D909" s="62"/>
      <c r="E909" s="62"/>
      <c r="F909" s="62">
        <v>5</v>
      </c>
      <c r="G909" s="62"/>
      <c r="H909" s="62"/>
      <c r="J909" s="32"/>
      <c r="K909" s="39"/>
      <c r="L909" s="40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x14ac:dyDescent="0.25">
      <c r="A910" s="35"/>
      <c r="B910" s="138">
        <v>0.79166666666666663</v>
      </c>
      <c r="C910" s="35"/>
      <c r="D910" s="62"/>
      <c r="E910" s="62"/>
      <c r="F910" s="62">
        <v>6</v>
      </c>
      <c r="G910" s="62"/>
      <c r="H910" s="62"/>
      <c r="J910" s="32"/>
      <c r="K910" s="39"/>
      <c r="L910" s="40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x14ac:dyDescent="0.25">
      <c r="A911" s="35"/>
      <c r="B911" s="138">
        <v>0.83333333333333337</v>
      </c>
      <c r="C911" s="35"/>
      <c r="D911" s="62"/>
      <c r="E911" s="62"/>
      <c r="F911" s="62">
        <v>7</v>
      </c>
      <c r="G911" s="62"/>
      <c r="H911" s="62"/>
      <c r="I911" s="30"/>
      <c r="J911" s="32"/>
      <c r="K911" s="39"/>
      <c r="L911" s="40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x14ac:dyDescent="0.25">
      <c r="A912" s="35"/>
      <c r="B912" s="138">
        <v>0.875</v>
      </c>
      <c r="C912" s="35"/>
      <c r="D912" s="62"/>
      <c r="E912" s="62"/>
      <c r="F912" s="62"/>
      <c r="G912" s="62"/>
      <c r="H912" s="62"/>
      <c r="J912" s="32"/>
      <c r="K912" s="39"/>
      <c r="L912" s="40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x14ac:dyDescent="0.25">
      <c r="A913" s="35"/>
      <c r="B913" s="138">
        <v>0.91666666666666663</v>
      </c>
      <c r="C913" s="35"/>
      <c r="D913" s="86"/>
      <c r="E913" s="86"/>
      <c r="F913" s="86"/>
      <c r="G913" s="86"/>
      <c r="H913" s="86"/>
      <c r="I913" s="30"/>
      <c r="J913" s="32"/>
      <c r="K913" s="39"/>
      <c r="L913" s="40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x14ac:dyDescent="0.25">
      <c r="A914" s="35"/>
      <c r="B914" s="139">
        <v>0.94791666666666663</v>
      </c>
      <c r="C914" s="35"/>
      <c r="D914" s="86"/>
      <c r="E914" s="86"/>
      <c r="F914" s="86"/>
      <c r="G914" s="86"/>
      <c r="H914" s="86"/>
      <c r="I914" s="30"/>
      <c r="J914" s="32"/>
      <c r="K914" s="39"/>
      <c r="L914" s="40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x14ac:dyDescent="0.25">
      <c r="A915" s="80"/>
      <c r="B915" s="132"/>
      <c r="C915" s="132"/>
      <c r="D915" s="132"/>
      <c r="E915" s="132"/>
      <c r="F915" s="132"/>
      <c r="G915" s="133"/>
      <c r="H915" s="51">
        <f t="shared" ref="H915:I915" si="45">SUM(H897:H914)</f>
        <v>28326</v>
      </c>
      <c r="I915" s="51">
        <f t="shared" si="45"/>
        <v>14</v>
      </c>
      <c r="J915" s="52"/>
      <c r="K915" s="51">
        <f>SUM(K897:K914)</f>
        <v>0</v>
      </c>
      <c r="L915" s="40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30.75" x14ac:dyDescent="0.25">
      <c r="A916" s="33">
        <f>A897+1</f>
        <v>44629</v>
      </c>
      <c r="B916" s="134" t="s">
        <v>54</v>
      </c>
      <c r="C916" s="168"/>
      <c r="D916" s="169"/>
      <c r="E916" s="170" t="s">
        <v>40</v>
      </c>
      <c r="F916" s="169"/>
      <c r="G916" s="171"/>
      <c r="H916" s="15"/>
      <c r="I916" s="30">
        <v>0.5</v>
      </c>
      <c r="J916" s="32"/>
      <c r="K916" s="39"/>
      <c r="L916" s="40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63" x14ac:dyDescent="0.25">
      <c r="A917" s="41" t="s">
        <v>117</v>
      </c>
      <c r="B917" s="135" t="s">
        <v>57</v>
      </c>
      <c r="C917" s="55" t="s">
        <v>779</v>
      </c>
      <c r="D917" s="60">
        <v>66.667000000000002</v>
      </c>
      <c r="E917" s="60" t="s">
        <v>332</v>
      </c>
      <c r="F917" s="60" t="s">
        <v>780</v>
      </c>
      <c r="G917" s="61">
        <v>44630</v>
      </c>
      <c r="H917" s="105">
        <v>43761</v>
      </c>
      <c r="I917" s="218">
        <v>13</v>
      </c>
      <c r="J917" s="32"/>
      <c r="K917" s="39"/>
      <c r="L917" s="40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6" x14ac:dyDescent="0.25">
      <c r="A918" s="43"/>
      <c r="B918" s="135" t="s">
        <v>58</v>
      </c>
      <c r="C918" s="55" t="s">
        <v>781</v>
      </c>
      <c r="D918" s="84" t="s">
        <v>782</v>
      </c>
      <c r="E918" s="84"/>
      <c r="F918" s="84">
        <v>2</v>
      </c>
      <c r="G918" s="84"/>
      <c r="H918" s="172"/>
      <c r="I918" s="30"/>
      <c r="J918" s="32"/>
      <c r="K918" s="39"/>
      <c r="L918" s="40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x14ac:dyDescent="0.25">
      <c r="A919" s="35"/>
      <c r="B919" s="135" t="s">
        <v>59</v>
      </c>
      <c r="C919" s="35"/>
      <c r="D919" s="86"/>
      <c r="E919" s="86"/>
      <c r="F919" s="86">
        <v>3</v>
      </c>
      <c r="G919" s="86"/>
      <c r="H919" s="86"/>
      <c r="I919" s="30"/>
      <c r="J919" s="32"/>
      <c r="K919" s="39"/>
      <c r="L919" s="40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x14ac:dyDescent="0.25">
      <c r="A920" s="35"/>
      <c r="B920" s="135" t="s">
        <v>60</v>
      </c>
      <c r="C920" s="35"/>
      <c r="D920" s="86"/>
      <c r="E920" s="86"/>
      <c r="F920" s="86">
        <v>4</v>
      </c>
      <c r="G920" s="86"/>
      <c r="H920" s="86"/>
      <c r="I920" s="30"/>
      <c r="J920" s="32"/>
      <c r="K920" s="39"/>
      <c r="L920" s="40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x14ac:dyDescent="0.25">
      <c r="A921" s="35"/>
      <c r="B921" s="135" t="s">
        <v>61</v>
      </c>
      <c r="C921" s="35"/>
      <c r="D921" s="86"/>
      <c r="E921" s="86"/>
      <c r="F921" s="86">
        <v>5</v>
      </c>
      <c r="G921" s="86"/>
      <c r="H921" s="86"/>
      <c r="I921" s="30"/>
      <c r="J921" s="32"/>
      <c r="K921" s="39"/>
      <c r="L921" s="40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x14ac:dyDescent="0.25">
      <c r="A922" s="35"/>
      <c r="B922" s="135" t="s">
        <v>62</v>
      </c>
      <c r="C922" s="35"/>
      <c r="D922" s="86"/>
      <c r="E922" s="86"/>
      <c r="F922" s="86">
        <v>6</v>
      </c>
      <c r="G922" s="86"/>
      <c r="H922" s="86"/>
      <c r="I922" s="30"/>
      <c r="J922" s="32"/>
      <c r="K922" s="39"/>
      <c r="L922" s="40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x14ac:dyDescent="0.25">
      <c r="A923" s="35"/>
      <c r="B923" s="135" t="s">
        <v>63</v>
      </c>
      <c r="C923" s="35"/>
      <c r="D923" s="86"/>
      <c r="E923" s="86"/>
      <c r="F923" s="86">
        <v>7</v>
      </c>
      <c r="G923" s="86"/>
      <c r="H923" s="86"/>
      <c r="I923" s="30"/>
      <c r="J923" s="32"/>
      <c r="K923" s="39"/>
      <c r="L923" s="40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x14ac:dyDescent="0.25">
      <c r="A924" s="35"/>
      <c r="B924" s="135" t="s">
        <v>64</v>
      </c>
      <c r="C924" s="35"/>
      <c r="D924" s="86"/>
      <c r="E924" s="86"/>
      <c r="F924" s="86">
        <v>8</v>
      </c>
      <c r="G924" s="86"/>
      <c r="H924" s="86"/>
      <c r="I924" s="30"/>
      <c r="J924" s="32"/>
      <c r="K924" s="39"/>
      <c r="L924" s="40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x14ac:dyDescent="0.25">
      <c r="A925" s="35"/>
      <c r="B925" s="135" t="s">
        <v>65</v>
      </c>
      <c r="C925" s="35"/>
      <c r="D925" s="86"/>
      <c r="E925" s="86"/>
      <c r="F925" s="86">
        <v>9</v>
      </c>
      <c r="G925" s="86"/>
      <c r="H925" s="86"/>
      <c r="I925" s="30"/>
      <c r="J925" s="32"/>
      <c r="K925" s="39"/>
      <c r="L925" s="40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x14ac:dyDescent="0.25">
      <c r="A926" s="35"/>
      <c r="B926" s="135" t="s">
        <v>66</v>
      </c>
      <c r="C926" s="35"/>
      <c r="D926" s="86"/>
      <c r="E926" s="86"/>
      <c r="F926" s="86">
        <v>10</v>
      </c>
      <c r="G926" s="86"/>
      <c r="H926" s="86"/>
      <c r="I926" s="30"/>
      <c r="J926" s="32"/>
      <c r="K926" s="39"/>
      <c r="L926" s="40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x14ac:dyDescent="0.25">
      <c r="A927" s="41"/>
      <c r="B927" s="135" t="s">
        <v>67</v>
      </c>
      <c r="C927" s="35"/>
      <c r="D927" s="86"/>
      <c r="E927" s="86"/>
      <c r="F927" s="86">
        <v>11</v>
      </c>
      <c r="G927" s="86"/>
      <c r="H927" s="86"/>
      <c r="I927" s="30"/>
      <c r="J927" s="32"/>
      <c r="K927" s="39"/>
      <c r="L927" s="40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x14ac:dyDescent="0.25">
      <c r="A928" s="35"/>
      <c r="B928" s="135" t="s">
        <v>68</v>
      </c>
      <c r="C928" s="35"/>
      <c r="D928" s="86"/>
      <c r="E928" s="86"/>
      <c r="F928" s="86">
        <v>12</v>
      </c>
      <c r="G928" s="86"/>
      <c r="H928" s="86"/>
      <c r="I928" s="30"/>
      <c r="J928" s="32"/>
      <c r="K928" s="39"/>
      <c r="L928" s="40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x14ac:dyDescent="0.25">
      <c r="A929" s="35"/>
      <c r="B929" s="138">
        <v>0.79166666666666663</v>
      </c>
      <c r="C929" s="35"/>
      <c r="D929" s="86"/>
      <c r="E929" s="86"/>
      <c r="F929" s="86">
        <v>13</v>
      </c>
      <c r="G929" s="86"/>
      <c r="H929" s="86"/>
      <c r="I929" s="30"/>
      <c r="J929" s="32"/>
      <c r="K929" s="39"/>
      <c r="L929" s="40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30.75" x14ac:dyDescent="0.25">
      <c r="A930" s="35"/>
      <c r="B930" s="138">
        <v>0.83333333333333337</v>
      </c>
      <c r="C930" s="35"/>
      <c r="D930" s="173"/>
      <c r="E930" s="174" t="s">
        <v>40</v>
      </c>
      <c r="F930" s="173"/>
      <c r="G930" s="175"/>
      <c r="H930" s="153"/>
      <c r="I930" s="30">
        <v>0.5</v>
      </c>
      <c r="J930" s="32"/>
      <c r="K930" s="39"/>
      <c r="L930" s="40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78.75" x14ac:dyDescent="0.25">
      <c r="A931" s="35"/>
      <c r="B931" s="138">
        <v>0.875</v>
      </c>
      <c r="C931" s="55" t="s">
        <v>783</v>
      </c>
      <c r="D931" s="84">
        <v>60</v>
      </c>
      <c r="E931" s="84" t="s">
        <v>70</v>
      </c>
      <c r="F931" s="84" t="s">
        <v>748</v>
      </c>
      <c r="G931" s="136">
        <v>44629</v>
      </c>
      <c r="H931" s="86">
        <v>2628</v>
      </c>
      <c r="I931" s="30">
        <v>1</v>
      </c>
      <c r="J931" s="32"/>
      <c r="K931" s="39"/>
      <c r="L931" s="40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x14ac:dyDescent="0.25">
      <c r="A932" s="35"/>
      <c r="B932" s="138">
        <v>0.91666666666666663</v>
      </c>
      <c r="C932" s="35"/>
      <c r="D932" s="86"/>
      <c r="E932" s="86"/>
      <c r="F932" s="86"/>
      <c r="G932" s="86"/>
      <c r="H932" s="86"/>
      <c r="I932" s="30"/>
      <c r="J932" s="32"/>
      <c r="K932" s="39"/>
      <c r="L932" s="40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x14ac:dyDescent="0.25">
      <c r="A933" s="35"/>
      <c r="B933" s="139">
        <v>0.94791666666666663</v>
      </c>
      <c r="C933" s="35"/>
      <c r="D933" s="86"/>
      <c r="E933" s="86"/>
      <c r="F933" s="86"/>
      <c r="G933" s="86"/>
      <c r="H933" s="86"/>
      <c r="I933" s="30"/>
      <c r="J933" s="32"/>
      <c r="K933" s="39"/>
      <c r="L933" s="40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x14ac:dyDescent="0.25">
      <c r="A934" s="80"/>
      <c r="B934" s="132"/>
      <c r="C934" s="132"/>
      <c r="D934" s="132"/>
      <c r="E934" s="132"/>
      <c r="F934" s="132"/>
      <c r="G934" s="133"/>
      <c r="H934" s="50">
        <f t="shared" ref="H934:I934" si="46">SUM(H916:H933)</f>
        <v>46389</v>
      </c>
      <c r="I934" s="51">
        <f t="shared" si="46"/>
        <v>15</v>
      </c>
      <c r="J934" s="52"/>
      <c r="K934" s="51">
        <f>SUM(K916:K933)</f>
        <v>0</v>
      </c>
      <c r="L934" s="40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63" x14ac:dyDescent="0.25">
      <c r="A935" s="33">
        <f>A916+1</f>
        <v>44630</v>
      </c>
      <c r="B935" s="134" t="s">
        <v>54</v>
      </c>
      <c r="C935" s="55" t="s">
        <v>784</v>
      </c>
      <c r="D935" s="60">
        <v>30</v>
      </c>
      <c r="E935" s="60" t="s">
        <v>785</v>
      </c>
      <c r="F935" s="60" t="s">
        <v>786</v>
      </c>
      <c r="G935" s="84" t="s">
        <v>787</v>
      </c>
      <c r="H935" s="62">
        <v>2315</v>
      </c>
      <c r="I935" s="218">
        <v>2</v>
      </c>
      <c r="J935" s="32"/>
      <c r="K935" s="39"/>
      <c r="L935" s="40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47.25" x14ac:dyDescent="0.25">
      <c r="A936" s="41" t="s">
        <v>137</v>
      </c>
      <c r="B936" s="135" t="s">
        <v>57</v>
      </c>
      <c r="C936" s="55" t="s">
        <v>788</v>
      </c>
      <c r="D936" s="103">
        <v>30</v>
      </c>
      <c r="E936" s="84" t="s">
        <v>789</v>
      </c>
      <c r="F936" s="84" t="s">
        <v>790</v>
      </c>
      <c r="G936" s="84" t="s">
        <v>791</v>
      </c>
      <c r="H936" s="62">
        <v>1063</v>
      </c>
      <c r="I936" s="218">
        <v>1</v>
      </c>
      <c r="J936" s="32"/>
      <c r="K936" s="39"/>
      <c r="L936" s="40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x14ac:dyDescent="0.25">
      <c r="A937" s="35"/>
      <c r="B937" s="135" t="s">
        <v>58</v>
      </c>
      <c r="C937" s="97"/>
      <c r="D937" s="62"/>
      <c r="E937" s="62"/>
      <c r="F937" s="62"/>
      <c r="G937" s="130"/>
      <c r="H937" s="62"/>
      <c r="J937" s="32"/>
      <c r="K937" s="39"/>
      <c r="L937" s="40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63" x14ac:dyDescent="0.25">
      <c r="A938" s="35"/>
      <c r="B938" s="135" t="s">
        <v>59</v>
      </c>
      <c r="C938" s="55" t="s">
        <v>792</v>
      </c>
      <c r="D938" s="84">
        <v>68</v>
      </c>
      <c r="E938" s="84" t="s">
        <v>793</v>
      </c>
      <c r="F938" s="84" t="s">
        <v>794</v>
      </c>
      <c r="G938" s="136">
        <v>44629</v>
      </c>
      <c r="H938" s="86">
        <v>3521</v>
      </c>
      <c r="I938" s="30">
        <v>1</v>
      </c>
      <c r="J938" s="32"/>
      <c r="K938" s="39"/>
      <c r="L938" s="40"/>
      <c r="T938" s="17"/>
      <c r="U938" s="17"/>
      <c r="V938" s="17"/>
      <c r="W938" s="17"/>
      <c r="X938" s="17"/>
      <c r="Y938" s="17"/>
      <c r="Z938" s="17"/>
    </row>
    <row r="939" spans="1:26" ht="47.25" x14ac:dyDescent="0.25">
      <c r="A939" s="35"/>
      <c r="B939" s="135" t="s">
        <v>60</v>
      </c>
      <c r="C939" s="55" t="s">
        <v>795</v>
      </c>
      <c r="D939" s="84">
        <v>68</v>
      </c>
      <c r="E939" s="84" t="s">
        <v>796</v>
      </c>
      <c r="F939" s="84" t="s">
        <v>797</v>
      </c>
      <c r="G939" s="136">
        <v>44629</v>
      </c>
      <c r="H939" s="86">
        <v>3947</v>
      </c>
      <c r="I939" s="30">
        <v>2</v>
      </c>
      <c r="J939" s="32"/>
      <c r="K939" s="39"/>
      <c r="L939" s="40"/>
      <c r="T939" s="17"/>
      <c r="U939" s="17"/>
      <c r="V939" s="17"/>
      <c r="W939" s="17"/>
      <c r="X939" s="17"/>
      <c r="Y939" s="17"/>
      <c r="Z939" s="17"/>
    </row>
    <row r="940" spans="1:26" ht="31.5" x14ac:dyDescent="0.25">
      <c r="A940" s="35"/>
      <c r="B940" s="135" t="s">
        <v>61</v>
      </c>
      <c r="C940" s="55" t="s">
        <v>798</v>
      </c>
      <c r="D940" s="84"/>
      <c r="E940" s="84"/>
      <c r="F940" s="84"/>
      <c r="G940" s="84"/>
      <c r="H940" s="86"/>
      <c r="I940" s="30"/>
      <c r="J940" s="32"/>
      <c r="K940" s="39"/>
      <c r="L940" s="40"/>
      <c r="T940" s="17"/>
      <c r="U940" s="17"/>
      <c r="V940" s="17"/>
      <c r="W940" s="17"/>
      <c r="X940" s="17"/>
      <c r="Y940" s="17"/>
      <c r="Z940" s="17"/>
    </row>
    <row r="941" spans="1:26" ht="63" x14ac:dyDescent="0.25">
      <c r="A941" s="35"/>
      <c r="B941" s="135" t="s">
        <v>62</v>
      </c>
      <c r="C941" s="55" t="s">
        <v>799</v>
      </c>
      <c r="D941" s="60">
        <v>68</v>
      </c>
      <c r="E941" s="60" t="s">
        <v>208</v>
      </c>
      <c r="F941" s="60" t="s">
        <v>800</v>
      </c>
      <c r="G941" s="61">
        <v>44635</v>
      </c>
      <c r="H941" s="62">
        <v>3741</v>
      </c>
      <c r="I941" s="218">
        <v>1</v>
      </c>
      <c r="J941" s="32"/>
      <c r="K941" s="39"/>
      <c r="L941" s="40"/>
      <c r="T941" s="17"/>
      <c r="U941" s="17"/>
      <c r="V941" s="17"/>
      <c r="W941" s="17"/>
      <c r="X941" s="17"/>
      <c r="Y941" s="17"/>
      <c r="Z941" s="17"/>
    </row>
    <row r="942" spans="1:26" ht="63" x14ac:dyDescent="0.25">
      <c r="A942" s="35"/>
      <c r="B942" s="135" t="s">
        <v>63</v>
      </c>
      <c r="C942" s="55" t="s">
        <v>801</v>
      </c>
      <c r="D942" s="84">
        <v>68</v>
      </c>
      <c r="E942" s="84" t="s">
        <v>802</v>
      </c>
      <c r="F942" s="84" t="s">
        <v>803</v>
      </c>
      <c r="G942" s="136">
        <v>44629</v>
      </c>
      <c r="H942" s="86">
        <v>24676</v>
      </c>
      <c r="I942" s="30">
        <v>7</v>
      </c>
      <c r="J942" s="32"/>
      <c r="K942" s="39"/>
      <c r="L942" s="40"/>
      <c r="T942" s="17"/>
      <c r="U942" s="17"/>
      <c r="V942" s="17"/>
      <c r="W942" s="17"/>
      <c r="X942" s="17"/>
      <c r="Y942" s="17"/>
      <c r="Z942" s="17"/>
    </row>
    <row r="943" spans="1:26" ht="110.25" x14ac:dyDescent="0.25">
      <c r="A943" s="35"/>
      <c r="B943" s="135" t="s">
        <v>64</v>
      </c>
      <c r="C943" s="55" t="s">
        <v>804</v>
      </c>
      <c r="D943" s="84" t="s">
        <v>805</v>
      </c>
      <c r="E943" s="84"/>
      <c r="F943" s="84">
        <v>2</v>
      </c>
      <c r="G943" s="84"/>
      <c r="H943" s="86"/>
      <c r="I943" s="30"/>
      <c r="J943" s="32"/>
      <c r="K943" s="39"/>
      <c r="L943" s="40"/>
      <c r="T943" s="17"/>
      <c r="U943" s="17"/>
      <c r="V943" s="17"/>
      <c r="W943" s="17"/>
      <c r="X943" s="17"/>
      <c r="Y943" s="17"/>
      <c r="Z943" s="17"/>
    </row>
    <row r="944" spans="1:26" x14ac:dyDescent="0.25">
      <c r="A944" s="35"/>
      <c r="B944" s="135" t="s">
        <v>65</v>
      </c>
      <c r="C944" s="35"/>
      <c r="D944" s="86"/>
      <c r="E944" s="86"/>
      <c r="F944" s="86">
        <v>3</v>
      </c>
      <c r="G944" s="86"/>
      <c r="H944" s="86"/>
      <c r="I944" s="30"/>
      <c r="J944" s="32"/>
      <c r="K944" s="39"/>
      <c r="L944" s="40"/>
      <c r="T944" s="17"/>
      <c r="U944" s="17"/>
      <c r="V944" s="17"/>
      <c r="W944" s="17"/>
      <c r="X944" s="17"/>
      <c r="Y944" s="17"/>
      <c r="Z944" s="17"/>
    </row>
    <row r="945" spans="1:26" x14ac:dyDescent="0.25">
      <c r="A945" s="35"/>
      <c r="B945" s="135" t="s">
        <v>66</v>
      </c>
      <c r="C945" s="35"/>
      <c r="D945" s="86"/>
      <c r="E945" s="86"/>
      <c r="F945" s="86">
        <v>4</v>
      </c>
      <c r="G945" s="86"/>
      <c r="H945" s="86"/>
      <c r="I945" s="30"/>
      <c r="J945" s="32"/>
      <c r="K945" s="39"/>
      <c r="L945" s="40"/>
      <c r="T945" s="17"/>
      <c r="U945" s="17"/>
      <c r="V945" s="17"/>
      <c r="W945" s="17"/>
      <c r="X945" s="17"/>
      <c r="Y945" s="17"/>
      <c r="Z945" s="17"/>
    </row>
    <row r="946" spans="1:26" x14ac:dyDescent="0.25">
      <c r="A946" s="35"/>
      <c r="B946" s="135" t="s">
        <v>67</v>
      </c>
      <c r="C946" s="35"/>
      <c r="D946" s="86"/>
      <c r="E946" s="86"/>
      <c r="F946" s="86">
        <v>5</v>
      </c>
      <c r="G946" s="86"/>
      <c r="H946" s="86"/>
      <c r="I946" s="30"/>
      <c r="J946" s="32"/>
      <c r="K946" s="39"/>
      <c r="L946" s="40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x14ac:dyDescent="0.25">
      <c r="A947" s="35"/>
      <c r="B947" s="135" t="s">
        <v>68</v>
      </c>
      <c r="C947" s="35"/>
      <c r="D947" s="86"/>
      <c r="E947" s="86"/>
      <c r="F947" s="86">
        <v>6</v>
      </c>
      <c r="G947" s="86"/>
      <c r="H947" s="86"/>
      <c r="I947" s="30"/>
      <c r="J947" s="32"/>
      <c r="K947" s="39"/>
      <c r="L947" s="40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x14ac:dyDescent="0.25">
      <c r="A948" s="35"/>
      <c r="B948" s="138">
        <v>0.79166666666666663</v>
      </c>
      <c r="C948" s="35"/>
      <c r="D948" s="86"/>
      <c r="E948" s="86"/>
      <c r="F948" s="86">
        <v>7</v>
      </c>
      <c r="G948" s="86"/>
      <c r="H948" s="86"/>
      <c r="I948" s="30"/>
      <c r="J948" s="32"/>
      <c r="K948" s="39"/>
      <c r="L948" s="40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63" x14ac:dyDescent="0.25">
      <c r="A949" s="35"/>
      <c r="B949" s="138">
        <v>0.83333333333333337</v>
      </c>
      <c r="C949" s="55" t="s">
        <v>806</v>
      </c>
      <c r="D949" s="60">
        <v>72</v>
      </c>
      <c r="E949" s="60" t="s">
        <v>70</v>
      </c>
      <c r="F949" s="60" t="s">
        <v>92</v>
      </c>
      <c r="G949" s="61">
        <v>44631</v>
      </c>
      <c r="H949" s="62">
        <v>3100</v>
      </c>
      <c r="I949" s="218">
        <v>1</v>
      </c>
      <c r="J949" s="32"/>
      <c r="K949" s="39"/>
      <c r="L949" s="40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x14ac:dyDescent="0.25">
      <c r="A950" s="35"/>
      <c r="B950" s="138">
        <v>0.875</v>
      </c>
      <c r="C950" s="35"/>
      <c r="D950" s="86"/>
      <c r="E950" s="86"/>
      <c r="F950" s="86"/>
      <c r="G950" s="86"/>
      <c r="H950" s="86"/>
      <c r="I950" s="30"/>
      <c r="J950" s="32"/>
      <c r="K950" s="39"/>
      <c r="L950" s="40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x14ac:dyDescent="0.25">
      <c r="A951" s="35"/>
      <c r="B951" s="138">
        <v>0.91666666666666663</v>
      </c>
      <c r="C951" s="35"/>
      <c r="D951" s="86"/>
      <c r="E951" s="86"/>
      <c r="F951" s="86"/>
      <c r="G951" s="86"/>
      <c r="H951" s="86"/>
      <c r="I951" s="30"/>
      <c r="J951" s="32"/>
      <c r="K951" s="39"/>
      <c r="L951" s="40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x14ac:dyDescent="0.25">
      <c r="A952" s="35"/>
      <c r="B952" s="139">
        <v>0.94791666666666663</v>
      </c>
      <c r="C952" s="35"/>
      <c r="D952" s="86"/>
      <c r="E952" s="86"/>
      <c r="F952" s="86"/>
      <c r="G952" s="86"/>
      <c r="H952" s="86"/>
      <c r="I952" s="30"/>
      <c r="J952" s="32"/>
      <c r="K952" s="39"/>
      <c r="L952" s="40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x14ac:dyDescent="0.25">
      <c r="A953" s="80"/>
      <c r="B953" s="132"/>
      <c r="C953" s="132"/>
      <c r="D953" s="132"/>
      <c r="E953" s="132"/>
      <c r="F953" s="132"/>
      <c r="G953" s="133"/>
      <c r="H953" s="51">
        <f t="shared" ref="H953:I953" si="47">SUM(H935:H952)</f>
        <v>42363</v>
      </c>
      <c r="I953" s="51">
        <f t="shared" si="47"/>
        <v>15</v>
      </c>
      <c r="J953" s="52"/>
      <c r="K953" s="51">
        <f>SUM(K935:K952)</f>
        <v>0</v>
      </c>
      <c r="L953" s="40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94.5" x14ac:dyDescent="0.25">
      <c r="A954" s="33">
        <f>A935+1</f>
        <v>44631</v>
      </c>
      <c r="B954" s="134" t="s">
        <v>54</v>
      </c>
      <c r="C954" s="55" t="s">
        <v>807</v>
      </c>
      <c r="D954" s="60">
        <v>60</v>
      </c>
      <c r="E954" s="60" t="s">
        <v>808</v>
      </c>
      <c r="F954" s="60" t="s">
        <v>809</v>
      </c>
      <c r="G954" s="61">
        <v>44630</v>
      </c>
      <c r="H954" s="62">
        <v>1200</v>
      </c>
      <c r="I954" s="218">
        <v>1</v>
      </c>
      <c r="J954" s="32"/>
      <c r="K954" s="39"/>
      <c r="L954" s="40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10.25" x14ac:dyDescent="0.25">
      <c r="A955" s="41" t="s">
        <v>56</v>
      </c>
      <c r="B955" s="135" t="s">
        <v>57</v>
      </c>
      <c r="C955" s="55" t="s">
        <v>810</v>
      </c>
      <c r="D955" s="60">
        <v>60</v>
      </c>
      <c r="E955" s="60" t="s">
        <v>100</v>
      </c>
      <c r="F955" s="60" t="s">
        <v>811</v>
      </c>
      <c r="G955" s="61">
        <v>44631</v>
      </c>
      <c r="H955" s="62">
        <v>1957</v>
      </c>
      <c r="I955" s="218">
        <v>1</v>
      </c>
      <c r="J955" s="32"/>
      <c r="K955" s="39"/>
      <c r="L955" s="40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47.25" x14ac:dyDescent="0.25">
      <c r="A956" s="35"/>
      <c r="B956" s="135" t="s">
        <v>58</v>
      </c>
      <c r="C956" s="55" t="s">
        <v>812</v>
      </c>
      <c r="D956" s="60">
        <v>60</v>
      </c>
      <c r="E956" s="60" t="s">
        <v>85</v>
      </c>
      <c r="F956" s="60" t="s">
        <v>813</v>
      </c>
      <c r="G956" s="61">
        <v>44635</v>
      </c>
      <c r="H956" s="62">
        <v>5428</v>
      </c>
      <c r="I956" s="218">
        <v>2</v>
      </c>
      <c r="J956" s="32"/>
      <c r="K956" s="39"/>
      <c r="L956" s="40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31.5" x14ac:dyDescent="0.25">
      <c r="A957" s="35"/>
      <c r="B957" s="135" t="s">
        <v>59</v>
      </c>
      <c r="C957" s="55" t="s">
        <v>814</v>
      </c>
      <c r="D957" s="60"/>
      <c r="E957" s="60"/>
      <c r="F957" s="60"/>
      <c r="G957" s="60"/>
      <c r="H957" s="62"/>
      <c r="J957" s="32"/>
      <c r="K957" s="39"/>
      <c r="L957" s="40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73.25" x14ac:dyDescent="0.25">
      <c r="A958" s="43"/>
      <c r="B958" s="135" t="s">
        <v>60</v>
      </c>
      <c r="C958" s="55" t="s">
        <v>815</v>
      </c>
      <c r="D958" s="60">
        <v>72</v>
      </c>
      <c r="E958" s="60" t="s">
        <v>204</v>
      </c>
      <c r="F958" s="60" t="s">
        <v>816</v>
      </c>
      <c r="G958" s="60" t="s">
        <v>817</v>
      </c>
      <c r="H958" s="62">
        <v>1909</v>
      </c>
      <c r="I958" s="218">
        <v>1</v>
      </c>
      <c r="J958" s="32"/>
      <c r="K958" s="39"/>
      <c r="L958" s="40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47.25" x14ac:dyDescent="0.25">
      <c r="A959" s="35"/>
      <c r="B959" s="135" t="s">
        <v>61</v>
      </c>
      <c r="C959" s="55" t="s">
        <v>818</v>
      </c>
      <c r="D959" s="60">
        <v>72</v>
      </c>
      <c r="E959" s="60" t="s">
        <v>151</v>
      </c>
      <c r="F959" s="60" t="s">
        <v>819</v>
      </c>
      <c r="G959" s="61">
        <v>44631</v>
      </c>
      <c r="H959" s="62">
        <v>8053</v>
      </c>
      <c r="I959" s="218">
        <v>3</v>
      </c>
      <c r="J959" s="32"/>
      <c r="K959" s="39"/>
      <c r="L959" s="40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47.25" x14ac:dyDescent="0.25">
      <c r="A960" s="35"/>
      <c r="B960" s="135" t="s">
        <v>62</v>
      </c>
      <c r="C960" s="55" t="s">
        <v>820</v>
      </c>
      <c r="D960" s="60"/>
      <c r="E960" s="60"/>
      <c r="F960" s="60"/>
      <c r="G960" s="60"/>
      <c r="H960" s="62"/>
      <c r="J960" s="32"/>
      <c r="K960" s="39"/>
      <c r="L960" s="40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x14ac:dyDescent="0.25">
      <c r="A961" s="35"/>
      <c r="B961" s="135" t="s">
        <v>63</v>
      </c>
      <c r="C961" s="35"/>
      <c r="D961" s="86"/>
      <c r="E961" s="86"/>
      <c r="F961" s="86"/>
      <c r="G961" s="86"/>
      <c r="H961" s="86"/>
      <c r="I961" s="30"/>
      <c r="J961" s="32"/>
      <c r="K961" s="39"/>
      <c r="L961" s="40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x14ac:dyDescent="0.25">
      <c r="A962" s="35"/>
      <c r="B962" s="135" t="s">
        <v>64</v>
      </c>
      <c r="C962" s="35"/>
      <c r="D962" s="86"/>
      <c r="E962" s="86"/>
      <c r="F962" s="86"/>
      <c r="G962" s="86"/>
      <c r="H962" s="86"/>
      <c r="I962" s="30"/>
      <c r="J962" s="32"/>
      <c r="K962" s="39"/>
      <c r="L962" s="40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94.5" x14ac:dyDescent="0.25">
      <c r="A963" s="35"/>
      <c r="B963" s="135" t="s">
        <v>65</v>
      </c>
      <c r="C963" s="55" t="s">
        <v>821</v>
      </c>
      <c r="D963" s="84">
        <v>72</v>
      </c>
      <c r="E963" s="84" t="s">
        <v>248</v>
      </c>
      <c r="F963" s="84" t="s">
        <v>822</v>
      </c>
      <c r="G963" s="136">
        <v>44631</v>
      </c>
      <c r="H963" s="86">
        <v>7325</v>
      </c>
      <c r="I963" s="30">
        <v>2</v>
      </c>
      <c r="J963" s="32"/>
      <c r="K963" s="39"/>
      <c r="L963" s="40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31.5" x14ac:dyDescent="0.25">
      <c r="A964" s="35"/>
      <c r="B964" s="135" t="s">
        <v>66</v>
      </c>
      <c r="C964" s="55" t="s">
        <v>823</v>
      </c>
      <c r="D964" s="84"/>
      <c r="E964" s="84"/>
      <c r="F964" s="84"/>
      <c r="G964" s="84"/>
      <c r="H964" s="86"/>
      <c r="I964" s="30"/>
      <c r="J964" s="32"/>
      <c r="K964" s="39"/>
      <c r="L964" s="40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10.25" x14ac:dyDescent="0.25">
      <c r="A965" s="35"/>
      <c r="B965" s="135" t="s">
        <v>67</v>
      </c>
      <c r="C965" s="55" t="s">
        <v>824</v>
      </c>
      <c r="D965" s="60">
        <v>72</v>
      </c>
      <c r="E965" s="60" t="s">
        <v>70</v>
      </c>
      <c r="F965" s="60" t="s">
        <v>490</v>
      </c>
      <c r="G965" s="61">
        <v>44631</v>
      </c>
      <c r="H965" s="62">
        <v>3200</v>
      </c>
      <c r="I965" s="218">
        <v>1</v>
      </c>
      <c r="J965" s="32"/>
      <c r="K965" s="39"/>
      <c r="L965" s="40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63" x14ac:dyDescent="0.25">
      <c r="A966" s="35"/>
      <c r="B966" s="135" t="s">
        <v>68</v>
      </c>
      <c r="C966" s="176" t="s">
        <v>825</v>
      </c>
      <c r="D966" s="130">
        <v>72</v>
      </c>
      <c r="E966" s="130" t="s">
        <v>70</v>
      </c>
      <c r="F966" s="130" t="s">
        <v>826</v>
      </c>
      <c r="G966" s="177">
        <v>44627</v>
      </c>
      <c r="H966" s="86">
        <v>9000</v>
      </c>
      <c r="I966" s="30">
        <v>3</v>
      </c>
      <c r="J966" s="32"/>
      <c r="K966" s="39"/>
      <c r="L966" s="40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31.5" x14ac:dyDescent="0.25">
      <c r="A967" s="35"/>
      <c r="B967" s="138">
        <v>0.79166666666666663</v>
      </c>
      <c r="C967" s="35"/>
      <c r="D967" s="84"/>
      <c r="E967" s="84"/>
      <c r="F967" s="130" t="s">
        <v>827</v>
      </c>
      <c r="G967" s="84"/>
      <c r="H967" s="84"/>
      <c r="I967" s="30"/>
      <c r="J967" s="32"/>
      <c r="K967" s="39"/>
      <c r="L967" s="40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x14ac:dyDescent="0.25">
      <c r="A968" s="35"/>
      <c r="B968" s="138">
        <v>0.83333333333333337</v>
      </c>
      <c r="C968" s="35"/>
      <c r="D968" s="84"/>
      <c r="E968" s="84"/>
      <c r="F968" s="84"/>
      <c r="G968" s="84"/>
      <c r="H968" s="84"/>
      <c r="I968" s="30"/>
      <c r="J968" s="32"/>
      <c r="K968" s="39"/>
      <c r="L968" s="40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x14ac:dyDescent="0.25">
      <c r="A969" s="35"/>
      <c r="B969" s="138">
        <v>0.875</v>
      </c>
      <c r="C969" s="35"/>
      <c r="D969" s="84"/>
      <c r="E969" s="84"/>
      <c r="F969" s="84"/>
      <c r="G969" s="84"/>
      <c r="H969" s="62"/>
      <c r="J969" s="32"/>
      <c r="K969" s="39"/>
      <c r="L969" s="40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x14ac:dyDescent="0.25">
      <c r="A970" s="35"/>
      <c r="B970" s="138">
        <v>0.91666666666666663</v>
      </c>
      <c r="C970" s="35"/>
      <c r="D970" s="84"/>
      <c r="E970" s="84"/>
      <c r="F970" s="84"/>
      <c r="G970" s="84"/>
      <c r="H970" s="62"/>
      <c r="J970" s="32"/>
      <c r="K970" s="39"/>
      <c r="L970" s="40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x14ac:dyDescent="0.25">
      <c r="A971" s="35"/>
      <c r="B971" s="139">
        <v>0.94791666666666663</v>
      </c>
      <c r="C971" s="35"/>
      <c r="D971" s="84"/>
      <c r="E971" s="84"/>
      <c r="F971" s="84"/>
      <c r="G971" s="84"/>
      <c r="H971" s="62"/>
      <c r="J971" s="32"/>
      <c r="K971" s="39"/>
      <c r="L971" s="40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x14ac:dyDescent="0.25">
      <c r="A972" s="80"/>
      <c r="B972" s="131"/>
      <c r="C972" s="132"/>
      <c r="D972" s="132"/>
      <c r="E972" s="132"/>
      <c r="F972" s="132"/>
      <c r="G972" s="133"/>
      <c r="H972" s="51">
        <f t="shared" ref="H972:I972" si="48">SUM(H954:H971)</f>
        <v>38072</v>
      </c>
      <c r="I972" s="51">
        <f t="shared" si="48"/>
        <v>14</v>
      </c>
      <c r="J972" s="52"/>
      <c r="K972" s="51">
        <f>SUM(K954:K971)</f>
        <v>0</v>
      </c>
      <c r="L972" s="40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63" x14ac:dyDescent="0.25">
      <c r="A973" s="33">
        <f>A954+3</f>
        <v>44634</v>
      </c>
      <c r="B973" s="134" t="s">
        <v>54</v>
      </c>
      <c r="C973" s="176" t="s">
        <v>828</v>
      </c>
      <c r="D973" s="178">
        <v>72</v>
      </c>
      <c r="E973" s="178" t="s">
        <v>70</v>
      </c>
      <c r="F973" s="178" t="s">
        <v>829</v>
      </c>
      <c r="G973" s="179">
        <v>44627</v>
      </c>
      <c r="H973" s="65">
        <v>6200</v>
      </c>
      <c r="I973" s="30">
        <v>2</v>
      </c>
      <c r="J973" s="32"/>
      <c r="K973" s="39"/>
      <c r="L973" s="40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31.5" x14ac:dyDescent="0.25">
      <c r="A974" s="41" t="s">
        <v>72</v>
      </c>
      <c r="B974" s="135" t="s">
        <v>57</v>
      </c>
      <c r="C974" s="35"/>
      <c r="D974" s="57"/>
      <c r="E974" s="57"/>
      <c r="F974" s="178" t="s">
        <v>827</v>
      </c>
      <c r="G974" s="57"/>
      <c r="H974" s="57"/>
      <c r="I974" s="30"/>
      <c r="J974" s="32"/>
      <c r="K974" s="39"/>
      <c r="L974" s="40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x14ac:dyDescent="0.25">
      <c r="A975" s="35"/>
      <c r="B975" s="135" t="s">
        <v>58</v>
      </c>
      <c r="C975" s="35"/>
      <c r="D975" s="65"/>
      <c r="E975" s="65"/>
      <c r="F975" s="65"/>
      <c r="G975" s="65"/>
      <c r="H975" s="65"/>
      <c r="I975" s="30"/>
      <c r="J975" s="32"/>
      <c r="K975" s="39"/>
      <c r="L975" s="40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47.25" x14ac:dyDescent="0.25">
      <c r="A976" s="35"/>
      <c r="B976" s="135" t="s">
        <v>59</v>
      </c>
      <c r="C976" s="55" t="s">
        <v>830</v>
      </c>
      <c r="D976" s="57">
        <v>48</v>
      </c>
      <c r="E976" s="57" t="s">
        <v>85</v>
      </c>
      <c r="F976" s="57" t="s">
        <v>831</v>
      </c>
      <c r="G976" s="63">
        <v>44635</v>
      </c>
      <c r="H976" s="65">
        <v>4642</v>
      </c>
      <c r="I976" s="30">
        <v>3</v>
      </c>
      <c r="J976" s="32"/>
      <c r="K976" s="39"/>
      <c r="L976" s="40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47.25" x14ac:dyDescent="0.25">
      <c r="A977" s="35"/>
      <c r="B977" s="135" t="s">
        <v>60</v>
      </c>
      <c r="C977" s="55" t="s">
        <v>832</v>
      </c>
      <c r="D977" s="57"/>
      <c r="E977" s="57"/>
      <c r="F977" s="57"/>
      <c r="G977" s="63"/>
      <c r="H977" s="65"/>
      <c r="I977" s="30"/>
      <c r="J977" s="32"/>
      <c r="K977" s="39"/>
      <c r="L977" s="40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x14ac:dyDescent="0.25">
      <c r="A978" s="35"/>
      <c r="B978" s="135" t="s">
        <v>61</v>
      </c>
      <c r="C978" s="35"/>
      <c r="D978" s="65"/>
      <c r="E978" s="65"/>
      <c r="F978" s="65"/>
      <c r="G978" s="66"/>
      <c r="H978" s="65"/>
      <c r="I978" s="30"/>
      <c r="J978" s="32"/>
      <c r="K978" s="39"/>
      <c r="L978" s="40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x14ac:dyDescent="0.25">
      <c r="A979" s="35"/>
      <c r="B979" s="135" t="s">
        <v>62</v>
      </c>
      <c r="C979" s="35"/>
      <c r="D979" s="67"/>
      <c r="E979" s="67"/>
      <c r="F979" s="67"/>
      <c r="G979" s="67"/>
      <c r="H979" s="67"/>
      <c r="J979" s="32"/>
      <c r="K979" s="39"/>
      <c r="L979" s="40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x14ac:dyDescent="0.25">
      <c r="A980" s="35"/>
      <c r="B980" s="135" t="s">
        <v>63</v>
      </c>
      <c r="C980" s="35"/>
      <c r="D980" s="67"/>
      <c r="E980" s="67"/>
      <c r="F980" s="67"/>
      <c r="G980" s="67"/>
      <c r="H980" s="67"/>
      <c r="J980" s="32"/>
      <c r="K980" s="39"/>
      <c r="L980" s="40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63" x14ac:dyDescent="0.25">
      <c r="A981" s="35"/>
      <c r="B981" s="135" t="s">
        <v>64</v>
      </c>
      <c r="C981" s="55" t="s">
        <v>833</v>
      </c>
      <c r="D981" s="68">
        <v>51</v>
      </c>
      <c r="E981" s="68" t="s">
        <v>230</v>
      </c>
      <c r="F981" s="68" t="s">
        <v>834</v>
      </c>
      <c r="G981" s="69">
        <v>44641</v>
      </c>
      <c r="H981" s="67">
        <v>4110</v>
      </c>
      <c r="I981" s="218">
        <v>3</v>
      </c>
      <c r="J981" s="32"/>
      <c r="K981" s="39"/>
      <c r="L981" s="40"/>
      <c r="T981" s="17"/>
      <c r="U981" s="17"/>
      <c r="V981" s="17"/>
      <c r="W981" s="17"/>
      <c r="X981" s="17"/>
      <c r="Y981" s="17"/>
      <c r="Z981" s="17"/>
    </row>
    <row r="982" spans="1:26" ht="47.25" x14ac:dyDescent="0.25">
      <c r="A982" s="35"/>
      <c r="B982" s="135" t="s">
        <v>65</v>
      </c>
      <c r="C982" s="55" t="s">
        <v>835</v>
      </c>
      <c r="D982" s="57"/>
      <c r="E982" s="57"/>
      <c r="F982" s="57"/>
      <c r="G982" s="57" t="s">
        <v>836</v>
      </c>
      <c r="H982" s="57"/>
      <c r="I982" s="30"/>
      <c r="J982" s="32"/>
      <c r="K982" s="39"/>
      <c r="L982" s="40"/>
      <c r="T982" s="17"/>
      <c r="U982" s="17"/>
      <c r="V982" s="17"/>
      <c r="W982" s="17"/>
      <c r="X982" s="17"/>
      <c r="Y982" s="17"/>
      <c r="Z982" s="17"/>
    </row>
    <row r="983" spans="1:26" x14ac:dyDescent="0.25">
      <c r="A983" s="35"/>
      <c r="B983" s="135" t="s">
        <v>66</v>
      </c>
      <c r="C983" s="35"/>
      <c r="D983" s="57"/>
      <c r="E983" s="57"/>
      <c r="F983" s="57"/>
      <c r="G983" s="57"/>
      <c r="H983" s="57"/>
      <c r="I983" s="30"/>
      <c r="J983" s="32"/>
      <c r="K983" s="39"/>
      <c r="L983" s="40"/>
      <c r="T983" s="17"/>
      <c r="U983" s="17"/>
      <c r="V983" s="17"/>
      <c r="W983" s="17"/>
      <c r="X983" s="17"/>
      <c r="Y983" s="17"/>
      <c r="Z983" s="17"/>
    </row>
    <row r="984" spans="1:26" ht="47.25" x14ac:dyDescent="0.25">
      <c r="A984" s="35"/>
      <c r="B984" s="135" t="s">
        <v>67</v>
      </c>
      <c r="C984" s="55" t="s">
        <v>837</v>
      </c>
      <c r="D984" s="68">
        <v>51</v>
      </c>
      <c r="E984" s="68" t="s">
        <v>838</v>
      </c>
      <c r="F984" s="68" t="s">
        <v>839</v>
      </c>
      <c r="G984" s="69">
        <v>44627</v>
      </c>
      <c r="H984" s="67">
        <v>6391</v>
      </c>
      <c r="I984" s="218">
        <v>3</v>
      </c>
      <c r="J984" s="32"/>
      <c r="K984" s="39"/>
      <c r="L984" s="40"/>
      <c r="T984" s="17"/>
      <c r="U984" s="17"/>
      <c r="V984" s="17"/>
      <c r="W984" s="17"/>
      <c r="X984" s="17"/>
      <c r="Y984" s="17"/>
      <c r="Z984" s="17"/>
    </row>
    <row r="985" spans="1:26" ht="47.25" x14ac:dyDescent="0.25">
      <c r="A985" s="35"/>
      <c r="B985" s="135" t="s">
        <v>68</v>
      </c>
      <c r="C985" s="55" t="s">
        <v>840</v>
      </c>
      <c r="D985" s="68"/>
      <c r="E985" s="68"/>
      <c r="F985" s="68"/>
      <c r="G985" s="68"/>
      <c r="H985" s="67"/>
      <c r="J985" s="32"/>
      <c r="K985" s="39"/>
      <c r="L985" s="40"/>
      <c r="T985" s="17"/>
      <c r="U985" s="17"/>
      <c r="V985" s="17"/>
      <c r="W985" s="17"/>
      <c r="X985" s="17"/>
      <c r="Y985" s="17"/>
      <c r="Z985" s="17"/>
    </row>
    <row r="986" spans="1:26" x14ac:dyDescent="0.25">
      <c r="A986" s="35"/>
      <c r="B986" s="138">
        <v>0.79166666666666663</v>
      </c>
      <c r="C986" s="35"/>
      <c r="D986" s="67"/>
      <c r="E986" s="67"/>
      <c r="F986" s="67"/>
      <c r="G986" s="67"/>
      <c r="H986" s="67"/>
      <c r="J986" s="32"/>
      <c r="K986" s="39"/>
      <c r="L986" s="40"/>
      <c r="T986" s="17"/>
      <c r="U986" s="17"/>
      <c r="V986" s="17"/>
      <c r="W986" s="17"/>
      <c r="X986" s="17"/>
      <c r="Y986" s="17"/>
      <c r="Z986" s="17"/>
    </row>
    <row r="987" spans="1:26" ht="63" x14ac:dyDescent="0.25">
      <c r="A987" s="35"/>
      <c r="B987" s="138">
        <v>0.83333333333333337</v>
      </c>
      <c r="C987" s="55" t="s">
        <v>841</v>
      </c>
      <c r="D987" s="57">
        <v>54</v>
      </c>
      <c r="E987" s="57" t="s">
        <v>125</v>
      </c>
      <c r="F987" s="57" t="s">
        <v>842</v>
      </c>
      <c r="G987" s="63">
        <v>44635</v>
      </c>
      <c r="H987" s="65">
        <v>2149</v>
      </c>
      <c r="I987" s="30">
        <v>1</v>
      </c>
      <c r="J987" s="32"/>
      <c r="K987" s="39"/>
      <c r="L987" s="40"/>
      <c r="T987" s="17"/>
      <c r="U987" s="17"/>
      <c r="V987" s="17"/>
      <c r="W987" s="17"/>
      <c r="X987" s="17"/>
      <c r="Y987" s="17"/>
      <c r="Z987" s="17"/>
    </row>
    <row r="988" spans="1:26" x14ac:dyDescent="0.25">
      <c r="A988" s="35"/>
      <c r="B988" s="138">
        <v>0.875</v>
      </c>
      <c r="C988" s="35"/>
      <c r="D988" s="67"/>
      <c r="E988" s="67"/>
      <c r="F988" s="67"/>
      <c r="G988" s="67"/>
      <c r="H988" s="67"/>
      <c r="J988" s="32"/>
      <c r="K988" s="39"/>
      <c r="L988" s="40"/>
      <c r="T988" s="17"/>
      <c r="U988" s="17"/>
      <c r="V988" s="17"/>
      <c r="W988" s="17"/>
      <c r="X988" s="17"/>
      <c r="Y988" s="17"/>
      <c r="Z988" s="17"/>
    </row>
    <row r="989" spans="1:26" x14ac:dyDescent="0.25">
      <c r="A989" s="35"/>
      <c r="B989" s="138">
        <v>0.91666666666666663</v>
      </c>
      <c r="C989" s="35"/>
      <c r="D989" s="65"/>
      <c r="E989" s="65"/>
      <c r="F989" s="65"/>
      <c r="G989" s="66"/>
      <c r="H989" s="65"/>
      <c r="I989" s="30"/>
      <c r="J989" s="32"/>
      <c r="K989" s="39"/>
      <c r="L989" s="40"/>
      <c r="T989" s="17"/>
      <c r="U989" s="17"/>
      <c r="V989" s="17"/>
      <c r="W989" s="17"/>
      <c r="X989" s="17"/>
      <c r="Y989" s="17"/>
      <c r="Z989" s="17"/>
    </row>
    <row r="990" spans="1:26" x14ac:dyDescent="0.25">
      <c r="A990" s="35"/>
      <c r="B990" s="139">
        <v>0.94791666666666663</v>
      </c>
      <c r="C990" s="35"/>
      <c r="D990" s="65"/>
      <c r="E990" s="65"/>
      <c r="F990" s="65"/>
      <c r="G990" s="66"/>
      <c r="H990" s="65"/>
      <c r="I990" s="30"/>
      <c r="J990" s="32"/>
      <c r="K990" s="39"/>
      <c r="L990" s="40"/>
      <c r="T990" s="17"/>
      <c r="U990" s="17"/>
      <c r="V990" s="17"/>
      <c r="W990" s="17"/>
      <c r="X990" s="17"/>
      <c r="Y990" s="17"/>
      <c r="Z990" s="17"/>
    </row>
    <row r="991" spans="1:26" x14ac:dyDescent="0.25">
      <c r="A991" s="80"/>
      <c r="B991" s="132"/>
      <c r="C991" s="132"/>
      <c r="D991" s="132"/>
      <c r="E991" s="132"/>
      <c r="F991" s="132"/>
      <c r="G991" s="133"/>
      <c r="H991" s="51">
        <f t="shared" ref="H991:I991" si="49">SUM(H973:H990)</f>
        <v>23492</v>
      </c>
      <c r="I991" s="51">
        <f t="shared" si="49"/>
        <v>12</v>
      </c>
      <c r="J991" s="52"/>
      <c r="K991" s="51">
        <f>SUM(K973:K990)</f>
        <v>0</v>
      </c>
      <c r="L991" s="40"/>
      <c r="T991" s="17"/>
      <c r="U991" s="17"/>
      <c r="V991" s="17"/>
      <c r="W991" s="17"/>
      <c r="X991" s="17"/>
      <c r="Y991" s="17"/>
      <c r="Z991" s="17"/>
    </row>
    <row r="992" spans="1:26" ht="63" x14ac:dyDescent="0.25">
      <c r="A992" s="33">
        <f>A973+1</f>
        <v>44635</v>
      </c>
      <c r="B992" s="134" t="s">
        <v>54</v>
      </c>
      <c r="C992" s="55" t="s">
        <v>843</v>
      </c>
      <c r="D992" s="57">
        <v>60</v>
      </c>
      <c r="E992" s="57" t="s">
        <v>151</v>
      </c>
      <c r="F992" s="57" t="s">
        <v>844</v>
      </c>
      <c r="G992" s="125">
        <v>44635</v>
      </c>
      <c r="H992" s="65">
        <v>4045</v>
      </c>
      <c r="I992" s="218">
        <v>1</v>
      </c>
      <c r="J992" s="32"/>
      <c r="K992" s="39"/>
      <c r="L992" s="40"/>
      <c r="T992" s="17"/>
      <c r="U992" s="17"/>
      <c r="V992" s="17"/>
      <c r="W992" s="17"/>
      <c r="X992" s="17"/>
      <c r="Y992" s="17"/>
      <c r="Z992" s="17"/>
    </row>
    <row r="993" spans="1:26" ht="63" x14ac:dyDescent="0.25">
      <c r="A993" s="41" t="s">
        <v>102</v>
      </c>
      <c r="B993" s="135" t="s">
        <v>57</v>
      </c>
      <c r="C993" s="55" t="s">
        <v>845</v>
      </c>
      <c r="D993" s="68">
        <v>60</v>
      </c>
      <c r="E993" s="68" t="s">
        <v>248</v>
      </c>
      <c r="F993" s="68" t="s">
        <v>846</v>
      </c>
      <c r="G993" s="69">
        <v>44635</v>
      </c>
      <c r="H993" s="67">
        <v>4999</v>
      </c>
      <c r="I993" s="218">
        <v>2</v>
      </c>
      <c r="J993" s="32"/>
      <c r="K993" s="39"/>
      <c r="L993" s="40"/>
      <c r="T993" s="17"/>
      <c r="U993" s="17"/>
      <c r="V993" s="17"/>
      <c r="W993" s="17"/>
      <c r="X993" s="17"/>
      <c r="Y993" s="17"/>
      <c r="Z993" s="17"/>
    </row>
    <row r="994" spans="1:26" ht="31.5" x14ac:dyDescent="0.25">
      <c r="A994" s="35"/>
      <c r="B994" s="135" t="s">
        <v>58</v>
      </c>
      <c r="C994" s="55" t="s">
        <v>847</v>
      </c>
      <c r="D994" s="57"/>
      <c r="E994" s="57"/>
      <c r="F994" s="57"/>
      <c r="G994" s="57"/>
      <c r="H994" s="57"/>
      <c r="J994" s="32"/>
      <c r="K994" s="39"/>
      <c r="L994" s="40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63" x14ac:dyDescent="0.25">
      <c r="A995" s="35"/>
      <c r="B995" s="135" t="s">
        <v>59</v>
      </c>
      <c r="C995" s="55" t="s">
        <v>848</v>
      </c>
      <c r="D995" s="68">
        <v>68</v>
      </c>
      <c r="E995" s="68" t="s">
        <v>849</v>
      </c>
      <c r="F995" s="68" t="s">
        <v>850</v>
      </c>
      <c r="G995" s="69">
        <v>44637</v>
      </c>
      <c r="H995" s="67">
        <v>3516</v>
      </c>
      <c r="I995" s="218">
        <v>1</v>
      </c>
      <c r="J995" s="32"/>
      <c r="K995" s="39"/>
      <c r="L995" s="40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94.5" x14ac:dyDescent="0.25">
      <c r="A996" s="35"/>
      <c r="B996" s="135" t="s">
        <v>60</v>
      </c>
      <c r="C996" s="55" t="s">
        <v>851</v>
      </c>
      <c r="D996" s="57">
        <v>72</v>
      </c>
      <c r="E996" s="57" t="s">
        <v>291</v>
      </c>
      <c r="F996" s="57" t="s">
        <v>852</v>
      </c>
      <c r="G996" s="63">
        <v>44635</v>
      </c>
      <c r="H996" s="65">
        <v>2604</v>
      </c>
      <c r="I996" s="30">
        <v>1</v>
      </c>
      <c r="J996" s="32"/>
      <c r="K996" s="39"/>
      <c r="L996" s="40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x14ac:dyDescent="0.25">
      <c r="A997" s="35"/>
      <c r="B997" s="135" t="s">
        <v>61</v>
      </c>
      <c r="C997" s="35"/>
      <c r="D997" s="67"/>
      <c r="E997" s="67"/>
      <c r="F997" s="67"/>
      <c r="G997" s="67"/>
      <c r="H997" s="67"/>
      <c r="J997" s="32"/>
      <c r="K997" s="39"/>
      <c r="L997" s="40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x14ac:dyDescent="0.25">
      <c r="A998" s="35"/>
      <c r="B998" s="135" t="s">
        <v>62</v>
      </c>
      <c r="C998" s="35"/>
      <c r="D998" s="67"/>
      <c r="E998" s="67"/>
      <c r="F998" s="67"/>
      <c r="G998" s="67"/>
      <c r="H998" s="67"/>
      <c r="J998" s="32"/>
      <c r="K998" s="39"/>
      <c r="L998" s="40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x14ac:dyDescent="0.25">
      <c r="A999" s="35"/>
      <c r="B999" s="135" t="s">
        <v>63</v>
      </c>
      <c r="C999" s="35"/>
      <c r="D999" s="67"/>
      <c r="E999" s="67"/>
      <c r="F999" s="67"/>
      <c r="G999" s="67"/>
      <c r="H999" s="67"/>
      <c r="J999" s="32"/>
      <c r="K999" s="39"/>
      <c r="L999" s="40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78.75" x14ac:dyDescent="0.25">
      <c r="A1000" s="35"/>
      <c r="B1000" s="135" t="s">
        <v>64</v>
      </c>
      <c r="C1000" s="55" t="s">
        <v>853</v>
      </c>
      <c r="D1000" s="68">
        <v>72</v>
      </c>
      <c r="E1000" s="68" t="s">
        <v>85</v>
      </c>
      <c r="F1000" s="68" t="s">
        <v>854</v>
      </c>
      <c r="G1000" s="69">
        <v>44635</v>
      </c>
      <c r="H1000" s="67">
        <v>8350</v>
      </c>
      <c r="I1000" s="218">
        <v>4</v>
      </c>
      <c r="J1000" s="32"/>
      <c r="K1000" s="39"/>
      <c r="L1000" s="40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63" x14ac:dyDescent="0.25">
      <c r="A1001" s="35"/>
      <c r="B1001" s="135" t="s">
        <v>65</v>
      </c>
      <c r="C1001" s="55" t="s">
        <v>855</v>
      </c>
      <c r="D1001" s="68"/>
      <c r="E1001" s="68"/>
      <c r="F1001" s="68"/>
      <c r="G1001" s="109" t="s">
        <v>856</v>
      </c>
      <c r="H1001" s="67"/>
      <c r="J1001" s="32"/>
      <c r="K1001" s="39"/>
      <c r="L1001" s="40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spans="1:26" x14ac:dyDescent="0.25">
      <c r="A1002" s="35"/>
      <c r="B1002" s="135" t="s">
        <v>66</v>
      </c>
      <c r="C1002" s="35"/>
      <c r="D1002" s="67"/>
      <c r="E1002" s="67"/>
      <c r="F1002" s="67"/>
      <c r="G1002" s="67"/>
      <c r="H1002" s="67"/>
      <c r="J1002" s="32"/>
      <c r="K1002" s="39"/>
      <c r="L1002" s="40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spans="1:26" x14ac:dyDescent="0.25">
      <c r="A1003" s="35"/>
      <c r="B1003" s="135" t="s">
        <v>67</v>
      </c>
      <c r="C1003" s="35"/>
      <c r="D1003" s="67"/>
      <c r="E1003" s="67"/>
      <c r="F1003" s="67"/>
      <c r="G1003" s="67"/>
      <c r="H1003" s="67"/>
      <c r="J1003" s="32"/>
      <c r="K1003" s="39"/>
      <c r="L1003" s="40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spans="1:26" ht="63" x14ac:dyDescent="0.25">
      <c r="A1004" s="35"/>
      <c r="B1004" s="135" t="s">
        <v>68</v>
      </c>
      <c r="C1004" s="55" t="s">
        <v>857</v>
      </c>
      <c r="D1004" s="57">
        <v>72</v>
      </c>
      <c r="E1004" s="57" t="s">
        <v>858</v>
      </c>
      <c r="F1004" s="57" t="s">
        <v>859</v>
      </c>
      <c r="G1004" s="63">
        <v>44637</v>
      </c>
      <c r="H1004" s="65">
        <v>2255</v>
      </c>
      <c r="I1004" s="30">
        <v>1</v>
      </c>
      <c r="J1004" s="32"/>
      <c r="K1004" s="39"/>
      <c r="L1004" s="40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spans="1:26" ht="47.25" x14ac:dyDescent="0.25">
      <c r="A1005" s="35"/>
      <c r="B1005" s="138">
        <v>0.79166666666666663</v>
      </c>
      <c r="C1005" s="55" t="s">
        <v>860</v>
      </c>
      <c r="D1005" s="57">
        <v>72</v>
      </c>
      <c r="E1005" s="57" t="s">
        <v>204</v>
      </c>
      <c r="F1005" s="57" t="s">
        <v>861</v>
      </c>
      <c r="G1005" s="63">
        <v>44638</v>
      </c>
      <c r="H1005" s="65" t="s">
        <v>862</v>
      </c>
      <c r="I1005" s="30">
        <v>2</v>
      </c>
      <c r="J1005" s="32"/>
      <c r="K1005" s="39"/>
      <c r="L1005" s="40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 spans="1:26" ht="31.5" x14ac:dyDescent="0.25">
      <c r="A1006" s="35"/>
      <c r="B1006" s="138">
        <v>0.83333333333333337</v>
      </c>
      <c r="C1006" s="55" t="s">
        <v>863</v>
      </c>
      <c r="D1006" s="67"/>
      <c r="E1006" s="67"/>
      <c r="F1006" s="67"/>
      <c r="G1006" s="67"/>
      <c r="H1006" s="67"/>
      <c r="I1006" s="30"/>
      <c r="J1006" s="32"/>
      <c r="K1006" s="39"/>
      <c r="L1006" s="40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 spans="1:26" x14ac:dyDescent="0.25">
      <c r="A1007" s="35"/>
      <c r="B1007" s="138">
        <v>0.875</v>
      </c>
      <c r="C1007" s="35"/>
      <c r="D1007" s="65"/>
      <c r="E1007" s="65"/>
      <c r="F1007" s="65"/>
      <c r="G1007" s="66"/>
      <c r="H1007" s="65"/>
      <c r="I1007" s="30"/>
      <c r="J1007" s="32"/>
      <c r="K1007" s="39"/>
      <c r="L1007" s="40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 spans="1:26" x14ac:dyDescent="0.25">
      <c r="A1008" s="35"/>
      <c r="B1008" s="138">
        <v>0.91666666666666663</v>
      </c>
      <c r="C1008" s="35"/>
      <c r="D1008" s="65"/>
      <c r="E1008" s="65"/>
      <c r="F1008" s="65"/>
      <c r="G1008" s="66"/>
      <c r="H1008" s="65"/>
      <c r="I1008" s="30"/>
      <c r="J1008" s="32"/>
      <c r="K1008" s="39"/>
      <c r="L1008" s="40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 spans="1:26" x14ac:dyDescent="0.25">
      <c r="A1009" s="35"/>
      <c r="B1009" s="139">
        <v>0.94791666666666663</v>
      </c>
      <c r="C1009" s="35"/>
      <c r="D1009" s="65"/>
      <c r="E1009" s="65"/>
      <c r="F1009" s="65"/>
      <c r="G1009" s="66"/>
      <c r="H1009" s="65"/>
      <c r="I1009" s="30"/>
      <c r="J1009" s="32"/>
      <c r="K1009" s="39"/>
      <c r="L1009" s="40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 spans="1:26" x14ac:dyDescent="0.25">
      <c r="A1010" s="80"/>
      <c r="B1010" s="132"/>
      <c r="C1010" s="132"/>
      <c r="D1010" s="132"/>
      <c r="E1010" s="132"/>
      <c r="F1010" s="132"/>
      <c r="G1010" s="133"/>
      <c r="H1010" s="51">
        <f t="shared" ref="H1010:I1010" si="50">SUM(H992:H1009)</f>
        <v>25769</v>
      </c>
      <c r="I1010" s="51">
        <f t="shared" si="50"/>
        <v>12</v>
      </c>
      <c r="J1010" s="52"/>
      <c r="K1010" s="51">
        <f>SUM(K992:K1009)</f>
        <v>0</v>
      </c>
      <c r="L1010" s="40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 spans="1:26" ht="47.25" x14ac:dyDescent="0.25">
      <c r="A1011" s="33">
        <f>A992+1</f>
        <v>44636</v>
      </c>
      <c r="B1011" s="134" t="s">
        <v>54</v>
      </c>
      <c r="C1011" s="55" t="s">
        <v>864</v>
      </c>
      <c r="D1011" s="57">
        <v>36</v>
      </c>
      <c r="E1011" s="57" t="s">
        <v>248</v>
      </c>
      <c r="F1011" s="57" t="s">
        <v>865</v>
      </c>
      <c r="G1011" s="63">
        <v>44638</v>
      </c>
      <c r="H1011" s="65">
        <v>1200</v>
      </c>
      <c r="I1011" s="30">
        <v>1</v>
      </c>
      <c r="J1011" s="32"/>
      <c r="K1011" s="39"/>
      <c r="L1011" s="40"/>
      <c r="T1011" s="17"/>
      <c r="U1011" s="17"/>
      <c r="V1011" s="17"/>
      <c r="W1011" s="17"/>
      <c r="X1011" s="17"/>
      <c r="Y1011" s="17"/>
      <c r="Z1011" s="17"/>
    </row>
    <row r="1012" spans="1:26" ht="63" x14ac:dyDescent="0.25">
      <c r="A1012" s="41" t="s">
        <v>117</v>
      </c>
      <c r="B1012" s="135" t="s">
        <v>57</v>
      </c>
      <c r="C1012" s="55" t="s">
        <v>866</v>
      </c>
      <c r="D1012" s="57">
        <v>48</v>
      </c>
      <c r="E1012" s="57" t="s">
        <v>91</v>
      </c>
      <c r="F1012" s="57" t="s">
        <v>867</v>
      </c>
      <c r="G1012" s="63">
        <v>44638</v>
      </c>
      <c r="H1012" s="65">
        <v>3431</v>
      </c>
      <c r="I1012" s="30">
        <v>2</v>
      </c>
      <c r="J1012" s="32"/>
      <c r="K1012" s="39"/>
      <c r="L1012" s="40"/>
      <c r="T1012" s="17"/>
      <c r="U1012" s="17"/>
      <c r="V1012" s="17"/>
      <c r="W1012" s="17"/>
      <c r="X1012" s="17"/>
      <c r="Y1012" s="17"/>
      <c r="Z1012" s="17"/>
    </row>
    <row r="1013" spans="1:26" ht="31.5" x14ac:dyDescent="0.25">
      <c r="A1013" s="35"/>
      <c r="B1013" s="135" t="s">
        <v>58</v>
      </c>
      <c r="C1013" s="55" t="s">
        <v>868</v>
      </c>
      <c r="D1013" s="57"/>
      <c r="E1013" s="57"/>
      <c r="F1013" s="57"/>
      <c r="G1013" s="63"/>
      <c r="H1013" s="65"/>
      <c r="I1013" s="30"/>
      <c r="J1013" s="32"/>
      <c r="K1013" s="39"/>
      <c r="L1013" s="40"/>
      <c r="T1013" s="17"/>
      <c r="U1013" s="17"/>
      <c r="V1013" s="17"/>
      <c r="W1013" s="17"/>
      <c r="X1013" s="17"/>
      <c r="Y1013" s="17"/>
      <c r="Z1013" s="17"/>
    </row>
    <row r="1014" spans="1:26" ht="47.25" x14ac:dyDescent="0.25">
      <c r="A1014" s="35"/>
      <c r="B1014" s="135" t="s">
        <v>59</v>
      </c>
      <c r="C1014" s="55" t="s">
        <v>869</v>
      </c>
      <c r="D1014" s="68">
        <v>51</v>
      </c>
      <c r="E1014" s="68" t="s">
        <v>190</v>
      </c>
      <c r="F1014" s="68" t="s">
        <v>870</v>
      </c>
      <c r="G1014" s="69">
        <v>44635</v>
      </c>
      <c r="H1014" s="67">
        <v>3611</v>
      </c>
      <c r="I1014" s="218">
        <v>2</v>
      </c>
      <c r="J1014" s="32"/>
      <c r="K1014" s="39"/>
      <c r="L1014" s="40"/>
      <c r="T1014" s="17"/>
      <c r="U1014" s="17"/>
      <c r="V1014" s="17"/>
      <c r="W1014" s="17"/>
      <c r="X1014" s="17"/>
      <c r="Y1014" s="17"/>
      <c r="Z1014" s="17"/>
    </row>
    <row r="1015" spans="1:26" ht="31.5" x14ac:dyDescent="0.25">
      <c r="A1015" s="35"/>
      <c r="B1015" s="135" t="s">
        <v>60</v>
      </c>
      <c r="C1015" s="55" t="s">
        <v>871</v>
      </c>
      <c r="D1015" s="57"/>
      <c r="E1015" s="57"/>
      <c r="F1015" s="57"/>
      <c r="G1015" s="57"/>
      <c r="H1015" s="57"/>
      <c r="J1015" s="32"/>
      <c r="K1015" s="39"/>
      <c r="L1015" s="40"/>
      <c r="T1015" s="17"/>
      <c r="U1015" s="17"/>
      <c r="V1015" s="17"/>
      <c r="W1015" s="17"/>
      <c r="X1015" s="17"/>
      <c r="Y1015" s="17"/>
      <c r="Z1015" s="17"/>
    </row>
    <row r="1016" spans="1:26" ht="47.25" x14ac:dyDescent="0.25">
      <c r="A1016" s="35"/>
      <c r="B1016" s="135" t="s">
        <v>61</v>
      </c>
      <c r="C1016" s="55" t="s">
        <v>872</v>
      </c>
      <c r="D1016" s="68">
        <v>51</v>
      </c>
      <c r="E1016" s="68" t="s">
        <v>873</v>
      </c>
      <c r="F1016" s="68" t="s">
        <v>874</v>
      </c>
      <c r="G1016" s="69">
        <v>44635</v>
      </c>
      <c r="H1016" s="67">
        <v>2844</v>
      </c>
      <c r="I1016" s="218">
        <v>2</v>
      </c>
      <c r="J1016" s="32"/>
      <c r="K1016" s="39"/>
      <c r="L1016" s="40"/>
      <c r="T1016" s="17"/>
      <c r="U1016" s="17"/>
      <c r="V1016" s="17"/>
      <c r="W1016" s="17"/>
      <c r="X1016" s="17"/>
      <c r="Y1016" s="17"/>
      <c r="Z1016" s="17"/>
    </row>
    <row r="1017" spans="1:26" ht="31.5" x14ac:dyDescent="0.25">
      <c r="A1017" s="35"/>
      <c r="B1017" s="135" t="s">
        <v>62</v>
      </c>
      <c r="C1017" s="55" t="s">
        <v>875</v>
      </c>
      <c r="D1017" s="57"/>
      <c r="E1017" s="57"/>
      <c r="F1017" s="57"/>
      <c r="G1017" s="57"/>
      <c r="H1017" s="57"/>
      <c r="J1017" s="32"/>
      <c r="K1017" s="39"/>
      <c r="L1017" s="40"/>
      <c r="T1017" s="17"/>
      <c r="U1017" s="17"/>
      <c r="V1017" s="17"/>
      <c r="W1017" s="17"/>
      <c r="X1017" s="17"/>
      <c r="Y1017" s="17"/>
      <c r="Z1017" s="17"/>
    </row>
    <row r="1018" spans="1:26" ht="78.75" x14ac:dyDescent="0.25">
      <c r="A1018" s="35"/>
      <c r="B1018" s="135" t="s">
        <v>63</v>
      </c>
      <c r="C1018" s="55" t="s">
        <v>876</v>
      </c>
      <c r="D1018" s="68">
        <v>54</v>
      </c>
      <c r="E1018" s="68" t="s">
        <v>100</v>
      </c>
      <c r="F1018" s="68" t="s">
        <v>877</v>
      </c>
      <c r="G1018" s="69">
        <v>44638</v>
      </c>
      <c r="H1018" s="67">
        <v>2743</v>
      </c>
      <c r="I1018" s="218">
        <v>1</v>
      </c>
      <c r="J1018" s="32"/>
      <c r="K1018" s="39"/>
      <c r="L1018" s="40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 spans="1:26" x14ac:dyDescent="0.25">
      <c r="A1019" s="35"/>
      <c r="B1019" s="135" t="s">
        <v>64</v>
      </c>
      <c r="C1019" s="35"/>
      <c r="D1019" s="180" t="s">
        <v>878</v>
      </c>
      <c r="E1019" s="180"/>
      <c r="F1019" s="180"/>
      <c r="G1019" s="180"/>
      <c r="H1019" s="180"/>
      <c r="J1019" s="32"/>
      <c r="K1019" s="39"/>
      <c r="L1019" s="40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 spans="1:26" x14ac:dyDescent="0.25">
      <c r="A1020" s="35"/>
      <c r="B1020" s="135" t="s">
        <v>65</v>
      </c>
      <c r="C1020" s="35"/>
      <c r="D1020" s="180" t="s">
        <v>879</v>
      </c>
      <c r="E1020" s="180"/>
      <c r="F1020" s="180"/>
      <c r="G1020" s="180"/>
      <c r="H1020" s="180"/>
      <c r="J1020" s="32"/>
      <c r="K1020" s="39"/>
      <c r="L1020" s="40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 spans="1:26" x14ac:dyDescent="0.25">
      <c r="A1021" s="35"/>
      <c r="B1021" s="135" t="s">
        <v>66</v>
      </c>
      <c r="C1021" s="35"/>
      <c r="D1021" s="180"/>
      <c r="E1021" s="180"/>
      <c r="F1021" s="180"/>
      <c r="G1021" s="180"/>
      <c r="H1021" s="180"/>
      <c r="J1021" s="32"/>
      <c r="K1021" s="39"/>
      <c r="L1021" s="40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 spans="1:26" x14ac:dyDescent="0.25">
      <c r="A1022" s="41"/>
      <c r="B1022" s="135" t="s">
        <v>67</v>
      </c>
      <c r="C1022" s="35"/>
      <c r="D1022" s="180"/>
      <c r="E1022" s="180"/>
      <c r="F1022" s="180"/>
      <c r="G1022" s="180"/>
      <c r="H1022" s="180"/>
      <c r="J1022" s="32"/>
      <c r="K1022" s="39"/>
      <c r="L1022" s="40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 spans="1:26" x14ac:dyDescent="0.25">
      <c r="A1023" s="35"/>
      <c r="B1023" s="135" t="s">
        <v>68</v>
      </c>
      <c r="C1023" s="35"/>
      <c r="D1023" s="180"/>
      <c r="E1023" s="180"/>
      <c r="F1023" s="180"/>
      <c r="G1023" s="180"/>
      <c r="H1023" s="180"/>
      <c r="J1023" s="32"/>
      <c r="K1023" s="39"/>
      <c r="L1023" s="40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 spans="1:26" x14ac:dyDescent="0.25">
      <c r="A1024" s="35"/>
      <c r="B1024" s="138">
        <v>0.79166666666666663</v>
      </c>
      <c r="C1024" s="35"/>
      <c r="D1024" s="180"/>
      <c r="E1024" s="180"/>
      <c r="F1024" s="180"/>
      <c r="G1024" s="180"/>
      <c r="H1024" s="180"/>
      <c r="J1024" s="32"/>
      <c r="K1024" s="39"/>
      <c r="L1024" s="40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 spans="1:26" x14ac:dyDescent="0.25">
      <c r="A1025" s="35"/>
      <c r="B1025" s="138">
        <v>0.83333333333333337</v>
      </c>
      <c r="C1025" s="35"/>
      <c r="D1025" s="180"/>
      <c r="E1025" s="180"/>
      <c r="F1025" s="180"/>
      <c r="G1025" s="180"/>
      <c r="H1025" s="180"/>
      <c r="J1025" s="32"/>
      <c r="K1025" s="39"/>
      <c r="L1025" s="40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 spans="1:26" x14ac:dyDescent="0.25">
      <c r="A1026" s="35"/>
      <c r="B1026" s="138">
        <v>0.875</v>
      </c>
      <c r="C1026" s="35"/>
      <c r="D1026" s="180"/>
      <c r="E1026" s="180"/>
      <c r="F1026" s="180"/>
      <c r="G1026" s="180"/>
      <c r="H1026" s="180"/>
      <c r="J1026" s="32"/>
      <c r="K1026" s="39"/>
      <c r="L1026" s="40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 spans="1:26" x14ac:dyDescent="0.25">
      <c r="A1027" s="35"/>
      <c r="B1027" s="138">
        <v>0.91666666666666663</v>
      </c>
      <c r="C1027" s="35"/>
      <c r="D1027" s="180"/>
      <c r="E1027" s="180"/>
      <c r="F1027" s="180"/>
      <c r="G1027" s="180"/>
      <c r="H1027" s="180"/>
      <c r="J1027" s="32"/>
      <c r="K1027" s="39"/>
      <c r="L1027" s="40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 spans="1:26" x14ac:dyDescent="0.25">
      <c r="A1028" s="35"/>
      <c r="B1028" s="139">
        <v>0.94791666666666663</v>
      </c>
      <c r="C1028" s="35"/>
      <c r="D1028" s="180"/>
      <c r="E1028" s="180"/>
      <c r="F1028" s="180"/>
      <c r="G1028" s="180"/>
      <c r="H1028" s="180"/>
      <c r="I1028" s="30"/>
      <c r="J1028" s="32"/>
      <c r="K1028" s="39"/>
      <c r="L1028" s="40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 spans="1:26" x14ac:dyDescent="0.25">
      <c r="A1029" s="80"/>
      <c r="B1029" s="132"/>
      <c r="C1029" s="132"/>
      <c r="D1029" s="132"/>
      <c r="E1029" s="132"/>
      <c r="F1029" s="132"/>
      <c r="G1029" s="133"/>
      <c r="H1029" s="51">
        <f t="shared" ref="H1029:I1029" si="51">SUM(H1011:H1028)</f>
        <v>13829</v>
      </c>
      <c r="I1029" s="51">
        <f t="shared" si="51"/>
        <v>8</v>
      </c>
      <c r="J1029" s="52"/>
      <c r="K1029" s="51">
        <f>SUM(K1011:K1028)</f>
        <v>0</v>
      </c>
      <c r="L1029" s="40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 spans="1:26" ht="63" x14ac:dyDescent="0.25">
      <c r="A1030" s="33">
        <f>A1011+1</f>
        <v>44637</v>
      </c>
      <c r="B1030" s="134" t="s">
        <v>54</v>
      </c>
      <c r="C1030" s="55" t="s">
        <v>880</v>
      </c>
      <c r="D1030" s="57">
        <v>68</v>
      </c>
      <c r="E1030" s="57" t="s">
        <v>343</v>
      </c>
      <c r="F1030" s="57" t="s">
        <v>881</v>
      </c>
      <c r="G1030" s="125">
        <v>44631</v>
      </c>
      <c r="H1030" s="65">
        <v>25008</v>
      </c>
      <c r="I1030" s="30">
        <v>7</v>
      </c>
      <c r="J1030" s="32"/>
      <c r="K1030" s="39"/>
      <c r="L1030" s="40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 spans="1:26" ht="94.5" x14ac:dyDescent="0.25">
      <c r="A1031" s="41" t="s">
        <v>137</v>
      </c>
      <c r="B1031" s="135" t="s">
        <v>57</v>
      </c>
      <c r="C1031" s="55" t="s">
        <v>882</v>
      </c>
      <c r="D1031" s="57" t="s">
        <v>883</v>
      </c>
      <c r="E1031" s="57"/>
      <c r="F1031" s="57">
        <v>2</v>
      </c>
      <c r="G1031" s="57"/>
      <c r="H1031" s="65"/>
      <c r="I1031" s="30"/>
      <c r="J1031" s="32"/>
      <c r="K1031" s="39"/>
      <c r="L1031" s="40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 spans="1:26" x14ac:dyDescent="0.25">
      <c r="A1032" s="35"/>
      <c r="B1032" s="135" t="s">
        <v>58</v>
      </c>
      <c r="C1032" s="35"/>
      <c r="D1032" s="65"/>
      <c r="E1032" s="65"/>
      <c r="F1032" s="65">
        <v>3</v>
      </c>
      <c r="G1032" s="65"/>
      <c r="H1032" s="65"/>
      <c r="I1032" s="30"/>
      <c r="J1032" s="32"/>
      <c r="K1032" s="39"/>
      <c r="L1032" s="40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 spans="1:26" x14ac:dyDescent="0.25">
      <c r="A1033" s="35"/>
      <c r="B1033" s="135" t="s">
        <v>59</v>
      </c>
      <c r="C1033" s="35"/>
      <c r="D1033" s="65"/>
      <c r="E1033" s="65"/>
      <c r="F1033" s="65">
        <v>4</v>
      </c>
      <c r="G1033" s="65"/>
      <c r="H1033" s="65"/>
      <c r="I1033" s="30"/>
      <c r="J1033" s="32"/>
      <c r="K1033" s="39"/>
      <c r="L1033" s="40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 spans="1:26" x14ac:dyDescent="0.25">
      <c r="A1034" s="35"/>
      <c r="B1034" s="135" t="s">
        <v>60</v>
      </c>
      <c r="C1034" s="35"/>
      <c r="D1034" s="65"/>
      <c r="E1034" s="65"/>
      <c r="F1034" s="65">
        <v>5</v>
      </c>
      <c r="G1034" s="65"/>
      <c r="H1034" s="65"/>
      <c r="I1034" s="30"/>
      <c r="J1034" s="32"/>
      <c r="K1034" s="39"/>
      <c r="L1034" s="40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 spans="1:26" x14ac:dyDescent="0.25">
      <c r="A1035" s="35"/>
      <c r="B1035" s="135" t="s">
        <v>61</v>
      </c>
      <c r="C1035" s="35"/>
      <c r="D1035" s="65"/>
      <c r="E1035" s="65"/>
      <c r="F1035" s="65">
        <v>6</v>
      </c>
      <c r="G1035" s="65"/>
      <c r="H1035" s="65"/>
      <c r="I1035" s="30"/>
      <c r="J1035" s="32"/>
      <c r="K1035" s="39"/>
      <c r="L1035" s="40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 spans="1:26" x14ac:dyDescent="0.25">
      <c r="A1036" s="35"/>
      <c r="B1036" s="135" t="s">
        <v>62</v>
      </c>
      <c r="C1036" s="35"/>
      <c r="D1036" s="65"/>
      <c r="E1036" s="65"/>
      <c r="F1036" s="65">
        <v>7</v>
      </c>
      <c r="G1036" s="65"/>
      <c r="H1036" s="65"/>
      <c r="I1036" s="30"/>
      <c r="J1036" s="32"/>
      <c r="K1036" s="39"/>
      <c r="L1036" s="40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 spans="1:26" x14ac:dyDescent="0.25">
      <c r="A1037" s="35"/>
      <c r="B1037" s="135" t="s">
        <v>63</v>
      </c>
      <c r="C1037" s="35"/>
      <c r="D1037" s="67"/>
      <c r="E1037" s="67"/>
      <c r="F1037" s="67"/>
      <c r="G1037" s="67"/>
      <c r="H1037" s="67"/>
      <c r="J1037" s="32"/>
      <c r="K1037" s="39"/>
      <c r="L1037" s="40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 spans="1:26" ht="63" x14ac:dyDescent="0.25">
      <c r="A1038" s="35"/>
      <c r="B1038" s="135" t="s">
        <v>64</v>
      </c>
      <c r="C1038" s="55" t="s">
        <v>884</v>
      </c>
      <c r="D1038" s="60">
        <v>72</v>
      </c>
      <c r="E1038" s="60" t="s">
        <v>70</v>
      </c>
      <c r="F1038" s="60" t="s">
        <v>885</v>
      </c>
      <c r="G1038" s="61">
        <v>44638</v>
      </c>
      <c r="H1038" s="62">
        <v>3214</v>
      </c>
      <c r="I1038" s="218">
        <v>1</v>
      </c>
      <c r="J1038" s="32"/>
      <c r="K1038" s="39"/>
      <c r="L1038" s="40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 spans="1:26" ht="63" x14ac:dyDescent="0.25">
      <c r="A1039" s="35"/>
      <c r="B1039" s="135" t="s">
        <v>65</v>
      </c>
      <c r="C1039" s="55" t="s">
        <v>886</v>
      </c>
      <c r="D1039" s="60">
        <v>72</v>
      </c>
      <c r="E1039" s="60" t="s">
        <v>85</v>
      </c>
      <c r="F1039" s="60" t="s">
        <v>887</v>
      </c>
      <c r="G1039" s="61">
        <v>44638</v>
      </c>
      <c r="H1039" s="62">
        <v>6000</v>
      </c>
      <c r="I1039" s="218">
        <v>3</v>
      </c>
      <c r="J1039" s="32"/>
      <c r="K1039" s="39"/>
      <c r="L1039" s="40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 spans="1:26" ht="63" x14ac:dyDescent="0.25">
      <c r="A1040" s="35"/>
      <c r="B1040" s="135" t="s">
        <v>66</v>
      </c>
      <c r="C1040" s="55" t="s">
        <v>888</v>
      </c>
      <c r="D1040" s="84">
        <v>72</v>
      </c>
      <c r="E1040" s="84" t="s">
        <v>18</v>
      </c>
      <c r="F1040" s="84" t="s">
        <v>272</v>
      </c>
      <c r="G1040" s="85">
        <v>44638</v>
      </c>
      <c r="H1040" s="86">
        <v>3865</v>
      </c>
      <c r="I1040" s="30">
        <v>1</v>
      </c>
      <c r="J1040" s="32"/>
      <c r="K1040" s="39"/>
      <c r="L1040" s="40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 spans="1:26" ht="47.25" x14ac:dyDescent="0.25">
      <c r="A1041" s="35"/>
      <c r="B1041" s="135" t="s">
        <v>67</v>
      </c>
      <c r="C1041" s="55" t="s">
        <v>889</v>
      </c>
      <c r="D1041" s="84">
        <v>72</v>
      </c>
      <c r="E1041" s="84" t="s">
        <v>438</v>
      </c>
      <c r="F1041" s="84" t="s">
        <v>890</v>
      </c>
      <c r="G1041" s="85">
        <v>44638</v>
      </c>
      <c r="H1041" s="86">
        <v>4167</v>
      </c>
      <c r="I1041" s="30">
        <v>2</v>
      </c>
      <c r="J1041" s="32"/>
      <c r="K1041" s="39"/>
      <c r="L1041" s="40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 spans="1:26" ht="31.5" x14ac:dyDescent="0.25">
      <c r="A1042" s="35"/>
      <c r="B1042" s="135" t="s">
        <v>68</v>
      </c>
      <c r="C1042" s="55" t="s">
        <v>891</v>
      </c>
      <c r="D1042" s="84"/>
      <c r="E1042" s="84"/>
      <c r="F1042" s="84"/>
      <c r="G1042" s="85"/>
      <c r="H1042" s="86"/>
      <c r="I1042" s="30"/>
      <c r="J1042" s="32"/>
      <c r="K1042" s="39"/>
      <c r="L1042" s="40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 spans="1:26" ht="47.25" x14ac:dyDescent="0.25">
      <c r="A1043" s="35"/>
      <c r="B1043" s="138">
        <v>0.79166666666666663</v>
      </c>
      <c r="C1043" s="55" t="s">
        <v>892</v>
      </c>
      <c r="D1043" s="60">
        <v>60</v>
      </c>
      <c r="E1043" s="60" t="s">
        <v>85</v>
      </c>
      <c r="F1043" s="60" t="s">
        <v>893</v>
      </c>
      <c r="G1043" s="61">
        <v>44641</v>
      </c>
      <c r="H1043" s="62">
        <v>5477</v>
      </c>
      <c r="I1043" s="218">
        <v>2</v>
      </c>
      <c r="J1043" s="32"/>
      <c r="K1043" s="39"/>
      <c r="L1043" s="40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 spans="1:26" ht="31.5" x14ac:dyDescent="0.25">
      <c r="A1044" s="35"/>
      <c r="B1044" s="138">
        <v>0.83333333333333337</v>
      </c>
      <c r="C1044" s="55" t="s">
        <v>894</v>
      </c>
      <c r="D1044" s="60"/>
      <c r="E1044" s="60"/>
      <c r="F1044" s="60"/>
      <c r="G1044" s="60"/>
      <c r="H1044" s="62"/>
      <c r="J1044" s="32"/>
      <c r="K1044" s="39"/>
      <c r="L1044" s="40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 spans="1:26" x14ac:dyDescent="0.25">
      <c r="A1045" s="35"/>
      <c r="B1045" s="138">
        <v>0.875</v>
      </c>
      <c r="C1045" s="35"/>
      <c r="D1045" s="60"/>
      <c r="E1045" s="60"/>
      <c r="F1045" s="60"/>
      <c r="G1045" s="60"/>
      <c r="H1045" s="60"/>
      <c r="J1045" s="32"/>
      <c r="K1045" s="39"/>
      <c r="L1045" s="40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 spans="1:26" x14ac:dyDescent="0.25">
      <c r="A1046" s="35"/>
      <c r="B1046" s="138">
        <v>0.91666666666666663</v>
      </c>
      <c r="C1046" s="35"/>
      <c r="D1046" s="60"/>
      <c r="E1046" s="60"/>
      <c r="F1046" s="60"/>
      <c r="G1046" s="60"/>
      <c r="H1046" s="60"/>
      <c r="J1046" s="32"/>
      <c r="K1046" s="39"/>
      <c r="L1046" s="40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 spans="1:26" x14ac:dyDescent="0.25">
      <c r="A1047" s="35"/>
      <c r="B1047" s="139">
        <v>0.94791666666666663</v>
      </c>
      <c r="C1047" s="35"/>
      <c r="D1047" s="60"/>
      <c r="E1047" s="60"/>
      <c r="F1047" s="60"/>
      <c r="G1047" s="60"/>
      <c r="H1047" s="60"/>
      <c r="J1047" s="32"/>
      <c r="K1047" s="39"/>
      <c r="L1047" s="40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 spans="1:26" x14ac:dyDescent="0.25">
      <c r="A1048" s="80"/>
      <c r="B1048" s="132"/>
      <c r="C1048" s="132"/>
      <c r="D1048" s="132"/>
      <c r="E1048" s="132"/>
      <c r="F1048" s="132"/>
      <c r="G1048" s="133"/>
      <c r="H1048" s="51">
        <f t="shared" ref="H1048:I1048" si="52">SUM(H1030:H1047)</f>
        <v>47731</v>
      </c>
      <c r="I1048" s="51">
        <f t="shared" si="52"/>
        <v>16</v>
      </c>
      <c r="J1048" s="52"/>
      <c r="K1048" s="51">
        <f>SUM(K1030:K1047)</f>
        <v>0</v>
      </c>
      <c r="L1048" s="40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 spans="1:26" ht="63" x14ac:dyDescent="0.25">
      <c r="A1049" s="33">
        <f>A1030+1</f>
        <v>44638</v>
      </c>
      <c r="B1049" s="134" t="s">
        <v>54</v>
      </c>
      <c r="C1049" s="55" t="s">
        <v>895</v>
      </c>
      <c r="D1049" s="60">
        <v>60</v>
      </c>
      <c r="E1049" s="60" t="s">
        <v>248</v>
      </c>
      <c r="F1049" s="60" t="s">
        <v>896</v>
      </c>
      <c r="G1049" s="61">
        <v>44642</v>
      </c>
      <c r="H1049" s="62">
        <v>6098</v>
      </c>
      <c r="I1049" s="218">
        <v>2</v>
      </c>
      <c r="J1049" s="32"/>
      <c r="K1049" s="39"/>
      <c r="L1049" s="40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 spans="1:26" ht="31.5" x14ac:dyDescent="0.25">
      <c r="A1050" s="41" t="s">
        <v>56</v>
      </c>
      <c r="B1050" s="135" t="s">
        <v>57</v>
      </c>
      <c r="C1050" s="55" t="s">
        <v>897</v>
      </c>
      <c r="D1050" s="60"/>
      <c r="E1050" s="60"/>
      <c r="F1050" s="60"/>
      <c r="G1050" s="60"/>
      <c r="H1050" s="62"/>
      <c r="J1050" s="32"/>
      <c r="K1050" s="39"/>
      <c r="L1050" s="40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 spans="1:26" ht="78.75" x14ac:dyDescent="0.25">
      <c r="A1051" s="35"/>
      <c r="B1051" s="135" t="s">
        <v>58</v>
      </c>
      <c r="C1051" s="55" t="s">
        <v>898</v>
      </c>
      <c r="D1051" s="60">
        <v>72</v>
      </c>
      <c r="E1051" s="60" t="s">
        <v>25</v>
      </c>
      <c r="F1051" s="60" t="s">
        <v>899</v>
      </c>
      <c r="G1051" s="61">
        <v>44641</v>
      </c>
      <c r="H1051" s="62">
        <v>2209</v>
      </c>
      <c r="I1051" s="218">
        <v>1</v>
      </c>
      <c r="J1051" s="32"/>
      <c r="K1051" s="39"/>
      <c r="L1051" s="40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 spans="1:26" ht="63" x14ac:dyDescent="0.25">
      <c r="A1052" s="35"/>
      <c r="B1052" s="135" t="s">
        <v>59</v>
      </c>
      <c r="C1052" s="55" t="s">
        <v>900</v>
      </c>
      <c r="D1052" s="84">
        <v>72</v>
      </c>
      <c r="E1052" s="84" t="s">
        <v>151</v>
      </c>
      <c r="F1052" s="84" t="s">
        <v>901</v>
      </c>
      <c r="G1052" s="136">
        <v>44638</v>
      </c>
      <c r="H1052" s="86">
        <v>2700</v>
      </c>
      <c r="I1052" s="30">
        <v>1</v>
      </c>
      <c r="J1052" s="32"/>
      <c r="K1052" s="39"/>
      <c r="L1052" s="40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 spans="1:26" ht="94.5" x14ac:dyDescent="0.25">
      <c r="A1053" s="35"/>
      <c r="B1053" s="135" t="s">
        <v>60</v>
      </c>
      <c r="C1053" s="55" t="s">
        <v>902</v>
      </c>
      <c r="D1053" s="84">
        <v>72</v>
      </c>
      <c r="E1053" s="84" t="s">
        <v>248</v>
      </c>
      <c r="F1053" s="84" t="s">
        <v>903</v>
      </c>
      <c r="G1053" s="85">
        <v>44638</v>
      </c>
      <c r="H1053" s="86">
        <v>3693</v>
      </c>
      <c r="I1053" s="30">
        <v>1</v>
      </c>
      <c r="J1053" s="32"/>
      <c r="K1053" s="39"/>
      <c r="L1053" s="40"/>
      <c r="T1053" s="17"/>
      <c r="U1053" s="17"/>
      <c r="V1053" s="17"/>
      <c r="W1053" s="17"/>
      <c r="X1053" s="17"/>
      <c r="Y1053" s="17"/>
      <c r="Z1053" s="17"/>
    </row>
    <row r="1054" spans="1:26" x14ac:dyDescent="0.25">
      <c r="A1054" s="35"/>
      <c r="B1054" s="135" t="s">
        <v>61</v>
      </c>
      <c r="C1054" s="35"/>
      <c r="D1054" s="86"/>
      <c r="E1054" s="86"/>
      <c r="F1054" s="86"/>
      <c r="G1054" s="181"/>
      <c r="H1054" s="86"/>
      <c r="I1054" s="30"/>
      <c r="J1054" s="32"/>
      <c r="K1054" s="39"/>
      <c r="L1054" s="40"/>
      <c r="T1054" s="17"/>
      <c r="U1054" s="17"/>
      <c r="V1054" s="17"/>
      <c r="W1054" s="17"/>
      <c r="X1054" s="17"/>
      <c r="Y1054" s="17"/>
      <c r="Z1054" s="17"/>
    </row>
    <row r="1055" spans="1:26" x14ac:dyDescent="0.25">
      <c r="A1055" s="35"/>
      <c r="B1055" s="135" t="s">
        <v>62</v>
      </c>
      <c r="C1055" s="35"/>
      <c r="D1055" s="86"/>
      <c r="E1055" s="86"/>
      <c r="F1055" s="86"/>
      <c r="G1055" s="86"/>
      <c r="H1055" s="86"/>
      <c r="J1055" s="32"/>
      <c r="K1055" s="39"/>
      <c r="L1055" s="40"/>
      <c r="T1055" s="17"/>
      <c r="U1055" s="17"/>
      <c r="V1055" s="17"/>
      <c r="W1055" s="17"/>
      <c r="X1055" s="17"/>
      <c r="Y1055" s="17"/>
      <c r="Z1055" s="17"/>
    </row>
    <row r="1056" spans="1:26" x14ac:dyDescent="0.25">
      <c r="A1056" s="35"/>
      <c r="B1056" s="135" t="s">
        <v>63</v>
      </c>
      <c r="C1056" s="35"/>
      <c r="D1056" s="86"/>
      <c r="E1056" s="86"/>
      <c r="F1056" s="86"/>
      <c r="G1056" s="86"/>
      <c r="H1056" s="86"/>
      <c r="J1056" s="32"/>
      <c r="K1056" s="39"/>
      <c r="L1056" s="40"/>
      <c r="T1056" s="17"/>
      <c r="U1056" s="17"/>
      <c r="V1056" s="17"/>
      <c r="W1056" s="17"/>
      <c r="X1056" s="17"/>
      <c r="Y1056" s="17"/>
      <c r="Z1056" s="17"/>
    </row>
    <row r="1057" spans="1:26" ht="63" x14ac:dyDescent="0.25">
      <c r="A1057" s="35"/>
      <c r="B1057" s="135" t="s">
        <v>64</v>
      </c>
      <c r="C1057" s="55" t="s">
        <v>904</v>
      </c>
      <c r="D1057" s="68">
        <v>72</v>
      </c>
      <c r="E1057" s="68" t="s">
        <v>85</v>
      </c>
      <c r="F1057" s="68" t="s">
        <v>905</v>
      </c>
      <c r="G1057" s="69">
        <v>44638</v>
      </c>
      <c r="H1057" s="67">
        <v>4000</v>
      </c>
      <c r="I1057" s="218">
        <v>2</v>
      </c>
      <c r="J1057" s="32"/>
      <c r="K1057" s="39"/>
      <c r="L1057" s="40"/>
      <c r="T1057" s="17"/>
      <c r="U1057" s="17"/>
      <c r="V1057" s="17"/>
      <c r="W1057" s="17"/>
      <c r="X1057" s="17"/>
      <c r="Y1057" s="17"/>
      <c r="Z1057" s="17"/>
    </row>
    <row r="1058" spans="1:26" x14ac:dyDescent="0.25">
      <c r="A1058" s="35"/>
      <c r="B1058" s="135" t="s">
        <v>65</v>
      </c>
      <c r="C1058" s="35"/>
      <c r="D1058" s="67"/>
      <c r="E1058" s="67"/>
      <c r="F1058" s="67"/>
      <c r="G1058" s="67"/>
      <c r="H1058" s="67"/>
      <c r="J1058" s="32"/>
      <c r="K1058" s="39"/>
      <c r="L1058" s="40"/>
      <c r="T1058" s="17"/>
      <c r="U1058" s="17"/>
      <c r="V1058" s="17"/>
      <c r="W1058" s="17"/>
      <c r="X1058" s="17"/>
      <c r="Y1058" s="17"/>
      <c r="Z1058" s="17"/>
    </row>
    <row r="1059" spans="1:26" ht="63" x14ac:dyDescent="0.25">
      <c r="A1059" s="35"/>
      <c r="B1059" s="135" t="s">
        <v>66</v>
      </c>
      <c r="C1059" s="55" t="s">
        <v>906</v>
      </c>
      <c r="D1059" s="68">
        <v>72</v>
      </c>
      <c r="E1059" s="68" t="s">
        <v>85</v>
      </c>
      <c r="F1059" s="68" t="s">
        <v>907</v>
      </c>
      <c r="G1059" s="69">
        <v>44641</v>
      </c>
      <c r="H1059" s="67">
        <v>10412</v>
      </c>
      <c r="I1059" s="218">
        <v>5</v>
      </c>
      <c r="J1059" s="32"/>
      <c r="K1059" s="39"/>
      <c r="L1059" s="40"/>
      <c r="T1059" s="17"/>
      <c r="U1059" s="17"/>
      <c r="V1059" s="17"/>
      <c r="W1059" s="17"/>
      <c r="X1059" s="17"/>
      <c r="Y1059" s="17"/>
      <c r="Z1059" s="17"/>
    </row>
    <row r="1060" spans="1:26" ht="78.75" x14ac:dyDescent="0.25">
      <c r="A1060" s="35"/>
      <c r="B1060" s="135" t="s">
        <v>67</v>
      </c>
      <c r="C1060" s="55" t="s">
        <v>908</v>
      </c>
      <c r="D1060" s="67"/>
      <c r="E1060" s="67"/>
      <c r="F1060" s="67">
        <v>2</v>
      </c>
      <c r="G1060" s="67"/>
      <c r="H1060" s="67"/>
      <c r="J1060" s="32"/>
      <c r="K1060" s="39"/>
      <c r="L1060" s="40"/>
      <c r="T1060" s="17"/>
      <c r="U1060" s="17"/>
      <c r="V1060" s="17"/>
      <c r="W1060" s="17"/>
      <c r="X1060" s="17"/>
      <c r="Y1060" s="17"/>
      <c r="Z1060" s="17"/>
    </row>
    <row r="1061" spans="1:26" x14ac:dyDescent="0.25">
      <c r="A1061" s="35"/>
      <c r="B1061" s="135" t="s">
        <v>68</v>
      </c>
      <c r="C1061" s="35"/>
      <c r="D1061" s="67"/>
      <c r="E1061" s="67"/>
      <c r="F1061" s="67">
        <v>3</v>
      </c>
      <c r="G1061" s="67"/>
      <c r="H1061" s="67"/>
      <c r="J1061" s="32"/>
      <c r="K1061" s="39"/>
      <c r="L1061" s="40"/>
      <c r="T1061" s="17"/>
      <c r="U1061" s="17"/>
      <c r="V1061" s="17"/>
      <c r="W1061" s="17"/>
      <c r="X1061" s="17"/>
      <c r="Y1061" s="17"/>
      <c r="Z1061" s="17"/>
    </row>
    <row r="1062" spans="1:26" x14ac:dyDescent="0.25">
      <c r="A1062" s="35"/>
      <c r="B1062" s="138">
        <v>0.79166666666666663</v>
      </c>
      <c r="C1062" s="35"/>
      <c r="D1062" s="67"/>
      <c r="E1062" s="67"/>
      <c r="F1062" s="67">
        <v>4</v>
      </c>
      <c r="G1062" s="67"/>
      <c r="H1062" s="67"/>
      <c r="J1062" s="32"/>
      <c r="K1062" s="39"/>
      <c r="L1062" s="40"/>
      <c r="T1062" s="17"/>
      <c r="U1062" s="17"/>
      <c r="V1062" s="17"/>
      <c r="W1062" s="17"/>
      <c r="X1062" s="17"/>
      <c r="Y1062" s="17"/>
      <c r="Z1062" s="17"/>
    </row>
    <row r="1063" spans="1:26" x14ac:dyDescent="0.25">
      <c r="A1063" s="35"/>
      <c r="B1063" s="138">
        <v>0.83333333333333337</v>
      </c>
      <c r="C1063" s="35"/>
      <c r="D1063" s="67"/>
      <c r="E1063" s="67"/>
      <c r="F1063" s="67">
        <v>5</v>
      </c>
      <c r="G1063" s="67"/>
      <c r="H1063" s="67"/>
      <c r="J1063" s="32"/>
      <c r="K1063" s="39"/>
      <c r="L1063" s="40"/>
      <c r="T1063" s="17"/>
      <c r="U1063" s="17"/>
      <c r="V1063" s="17"/>
      <c r="W1063" s="17"/>
      <c r="X1063" s="17"/>
      <c r="Y1063" s="17"/>
      <c r="Z1063" s="17"/>
    </row>
    <row r="1064" spans="1:26" ht="78.75" x14ac:dyDescent="0.25">
      <c r="A1064" s="35"/>
      <c r="B1064" s="138">
        <v>0.875</v>
      </c>
      <c r="C1064" s="55" t="s">
        <v>909</v>
      </c>
      <c r="D1064" s="57">
        <v>72</v>
      </c>
      <c r="E1064" s="57" t="s">
        <v>85</v>
      </c>
      <c r="F1064" s="57" t="s">
        <v>910</v>
      </c>
      <c r="G1064" s="63">
        <v>44641</v>
      </c>
      <c r="H1064" s="65">
        <v>10434</v>
      </c>
      <c r="I1064" s="30">
        <v>3</v>
      </c>
      <c r="J1064" s="32"/>
      <c r="K1064" s="39"/>
      <c r="L1064" s="40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 spans="1:26" ht="78.75" x14ac:dyDescent="0.25">
      <c r="A1065" s="35"/>
      <c r="B1065" s="138">
        <v>0.91666666666666663</v>
      </c>
      <c r="C1065" s="55" t="s">
        <v>911</v>
      </c>
      <c r="D1065" s="57"/>
      <c r="E1065" s="57"/>
      <c r="F1065" s="57"/>
      <c r="G1065" s="178" t="s">
        <v>836</v>
      </c>
      <c r="H1065" s="65"/>
      <c r="I1065" s="30"/>
      <c r="J1065" s="32"/>
      <c r="K1065" s="39"/>
      <c r="L1065" s="40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 spans="1:26" x14ac:dyDescent="0.25">
      <c r="A1066" s="35"/>
      <c r="B1066" s="139">
        <v>0.94791666666666663</v>
      </c>
      <c r="C1066" s="35"/>
      <c r="D1066" s="67"/>
      <c r="E1066" s="67"/>
      <c r="F1066" s="67"/>
      <c r="G1066" s="67"/>
      <c r="H1066" s="67"/>
      <c r="J1066" s="32"/>
      <c r="K1066" s="39"/>
      <c r="L1066" s="40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  <row r="1067" spans="1:26" x14ac:dyDescent="0.25">
      <c r="A1067" s="80"/>
      <c r="B1067" s="131"/>
      <c r="C1067" s="132"/>
      <c r="D1067" s="132"/>
      <c r="E1067" s="132"/>
      <c r="F1067" s="132"/>
      <c r="G1067" s="133"/>
      <c r="H1067" s="51">
        <f t="shared" ref="H1067:I1067" si="53">SUM(H1049:H1066)</f>
        <v>39546</v>
      </c>
      <c r="I1067" s="51">
        <f t="shared" si="53"/>
        <v>15</v>
      </c>
      <c r="J1067" s="52"/>
      <c r="K1067" s="51">
        <f>SUM(K1049:K1066)</f>
        <v>0</v>
      </c>
      <c r="L1067" s="40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</row>
    <row r="1068" spans="1:26" ht="78.75" x14ac:dyDescent="0.25">
      <c r="A1068" s="33">
        <f>A1049+3</f>
        <v>44641</v>
      </c>
      <c r="B1068" s="134" t="s">
        <v>54</v>
      </c>
      <c r="C1068" s="55" t="s">
        <v>912</v>
      </c>
      <c r="D1068" s="57">
        <v>72</v>
      </c>
      <c r="E1068" s="57" t="s">
        <v>151</v>
      </c>
      <c r="F1068" s="57" t="s">
        <v>913</v>
      </c>
      <c r="G1068" s="63">
        <v>44643</v>
      </c>
      <c r="H1068" s="65">
        <v>3018</v>
      </c>
      <c r="I1068" s="30">
        <v>1</v>
      </c>
      <c r="J1068" s="32"/>
      <c r="K1068" s="39"/>
      <c r="L1068" s="40"/>
      <c r="T1068" s="17"/>
      <c r="U1068" s="17"/>
      <c r="V1068" s="17"/>
      <c r="W1068" s="17"/>
      <c r="X1068" s="17"/>
      <c r="Y1068" s="17"/>
      <c r="Z1068" s="17"/>
    </row>
    <row r="1069" spans="1:26" ht="63" x14ac:dyDescent="0.25">
      <c r="A1069" s="41" t="s">
        <v>72</v>
      </c>
      <c r="B1069" s="135" t="s">
        <v>57</v>
      </c>
      <c r="C1069" s="55" t="s">
        <v>914</v>
      </c>
      <c r="D1069" s="57">
        <v>72</v>
      </c>
      <c r="E1069" s="57" t="s">
        <v>70</v>
      </c>
      <c r="F1069" s="57" t="s">
        <v>915</v>
      </c>
      <c r="G1069" s="63">
        <v>44644</v>
      </c>
      <c r="H1069" s="65">
        <v>6493</v>
      </c>
      <c r="I1069" s="30">
        <v>2</v>
      </c>
      <c r="J1069" s="32"/>
      <c r="K1069" s="39"/>
      <c r="L1069" s="40"/>
      <c r="T1069" s="17"/>
      <c r="U1069" s="17"/>
      <c r="V1069" s="17"/>
      <c r="W1069" s="17"/>
      <c r="X1069" s="17"/>
      <c r="Y1069" s="17"/>
      <c r="Z1069" s="17"/>
    </row>
    <row r="1070" spans="1:26" ht="47.25" x14ac:dyDescent="0.25">
      <c r="A1070" s="35"/>
      <c r="B1070" s="135" t="s">
        <v>58</v>
      </c>
      <c r="C1070" s="55" t="s">
        <v>916</v>
      </c>
      <c r="D1070" s="57"/>
      <c r="E1070" s="57"/>
      <c r="F1070" s="57"/>
      <c r="G1070" s="57" t="s">
        <v>917</v>
      </c>
      <c r="H1070" s="65"/>
      <c r="I1070" s="30"/>
      <c r="J1070" s="32"/>
      <c r="K1070" s="39"/>
      <c r="L1070" s="40"/>
      <c r="T1070" s="17"/>
      <c r="U1070" s="17"/>
      <c r="V1070" s="17"/>
      <c r="W1070" s="17"/>
      <c r="X1070" s="17"/>
      <c r="Y1070" s="17"/>
      <c r="Z1070" s="17"/>
    </row>
    <row r="1071" spans="1:26" ht="94.5" x14ac:dyDescent="0.25">
      <c r="A1071" s="35"/>
      <c r="B1071" s="135" t="s">
        <v>59</v>
      </c>
      <c r="C1071" s="55" t="s">
        <v>918</v>
      </c>
      <c r="D1071" s="57">
        <v>48</v>
      </c>
      <c r="E1071" s="57" t="s">
        <v>100</v>
      </c>
      <c r="F1071" s="57" t="s">
        <v>919</v>
      </c>
      <c r="G1071" s="63">
        <v>44643</v>
      </c>
      <c r="H1071" s="65">
        <v>4793</v>
      </c>
      <c r="I1071" s="30">
        <v>2</v>
      </c>
      <c r="J1071" s="32"/>
      <c r="K1071" s="39"/>
      <c r="L1071" s="40"/>
      <c r="T1071" s="17"/>
      <c r="U1071" s="17"/>
      <c r="V1071" s="17"/>
      <c r="W1071" s="17"/>
      <c r="X1071" s="17"/>
      <c r="Y1071" s="17"/>
      <c r="Z1071" s="17"/>
    </row>
    <row r="1072" spans="1:26" ht="31.5" x14ac:dyDescent="0.25">
      <c r="A1072" s="35"/>
      <c r="B1072" s="135" t="s">
        <v>60</v>
      </c>
      <c r="C1072" s="55" t="s">
        <v>920</v>
      </c>
      <c r="D1072" s="57"/>
      <c r="E1072" s="57"/>
      <c r="F1072" s="57"/>
      <c r="G1072" s="57" t="s">
        <v>921</v>
      </c>
      <c r="H1072" s="65"/>
      <c r="I1072" s="30"/>
      <c r="J1072" s="32"/>
      <c r="K1072" s="39"/>
      <c r="L1072" s="40"/>
      <c r="T1072" s="17"/>
      <c r="U1072" s="17"/>
      <c r="V1072" s="17"/>
      <c r="W1072" s="17"/>
      <c r="X1072" s="17"/>
      <c r="Y1072" s="17"/>
      <c r="Z1072" s="17"/>
    </row>
    <row r="1073" spans="1:26" ht="110.25" x14ac:dyDescent="0.25">
      <c r="A1073" s="35"/>
      <c r="B1073" s="135" t="s">
        <v>61</v>
      </c>
      <c r="C1073" s="97" t="s">
        <v>922</v>
      </c>
      <c r="D1073" s="68">
        <v>54</v>
      </c>
      <c r="E1073" s="68" t="s">
        <v>923</v>
      </c>
      <c r="F1073" s="68" t="s">
        <v>924</v>
      </c>
      <c r="G1073" s="68" t="s">
        <v>925</v>
      </c>
      <c r="H1073" s="65">
        <v>17000</v>
      </c>
      <c r="I1073" s="30">
        <v>10</v>
      </c>
      <c r="J1073" s="32"/>
      <c r="K1073" s="39"/>
      <c r="L1073" s="40"/>
      <c r="T1073" s="17"/>
      <c r="U1073" s="17"/>
      <c r="V1073" s="17"/>
      <c r="W1073" s="17"/>
      <c r="X1073" s="17"/>
      <c r="Y1073" s="17"/>
      <c r="Z1073" s="17"/>
    </row>
    <row r="1074" spans="1:26" ht="31.5" x14ac:dyDescent="0.25">
      <c r="A1074" s="35"/>
      <c r="B1074" s="135" t="s">
        <v>62</v>
      </c>
      <c r="C1074" s="97"/>
      <c r="D1074" s="67"/>
      <c r="E1074" s="67"/>
      <c r="F1074" s="67">
        <v>2</v>
      </c>
      <c r="G1074" s="68" t="s">
        <v>926</v>
      </c>
      <c r="H1074" s="65"/>
      <c r="I1074" s="30"/>
      <c r="J1074" s="32"/>
      <c r="K1074" s="39"/>
      <c r="L1074" s="40"/>
      <c r="T1074" s="17"/>
      <c r="U1074" s="17"/>
      <c r="V1074" s="17"/>
      <c r="W1074" s="17"/>
      <c r="X1074" s="17"/>
      <c r="Y1074" s="17"/>
      <c r="Z1074" s="17"/>
    </row>
    <row r="1075" spans="1:26" x14ac:dyDescent="0.25">
      <c r="A1075" s="35"/>
      <c r="B1075" s="135" t="s">
        <v>63</v>
      </c>
      <c r="C1075" s="35"/>
      <c r="D1075" s="67"/>
      <c r="E1075" s="65"/>
      <c r="F1075" s="65">
        <v>3</v>
      </c>
      <c r="G1075" s="66"/>
      <c r="H1075" s="65"/>
      <c r="I1075" s="30"/>
      <c r="J1075" s="32"/>
      <c r="K1075" s="39"/>
      <c r="L1075" s="40"/>
      <c r="T1075" s="17"/>
      <c r="U1075" s="17"/>
      <c r="V1075" s="17"/>
      <c r="W1075" s="17"/>
      <c r="X1075" s="17"/>
      <c r="Y1075" s="17"/>
      <c r="Z1075" s="17"/>
    </row>
    <row r="1076" spans="1:26" x14ac:dyDescent="0.25">
      <c r="A1076" s="35"/>
      <c r="B1076" s="135" t="s">
        <v>64</v>
      </c>
      <c r="C1076" s="35"/>
      <c r="D1076" s="62"/>
      <c r="E1076" s="86"/>
      <c r="F1076" s="86">
        <v>4</v>
      </c>
      <c r="G1076" s="181"/>
      <c r="H1076" s="86"/>
      <c r="I1076" s="30"/>
      <c r="J1076" s="32"/>
      <c r="K1076" s="39"/>
      <c r="L1076" s="40"/>
      <c r="T1076" s="17"/>
      <c r="U1076" s="17"/>
      <c r="V1076" s="17"/>
      <c r="W1076" s="17"/>
      <c r="X1076" s="17"/>
      <c r="Y1076" s="17"/>
      <c r="Z1076" s="17"/>
    </row>
    <row r="1077" spans="1:26" x14ac:dyDescent="0.25">
      <c r="A1077" s="35"/>
      <c r="B1077" s="135" t="s">
        <v>65</v>
      </c>
      <c r="C1077" s="35"/>
      <c r="D1077" s="62"/>
      <c r="E1077" s="86"/>
      <c r="F1077" s="86">
        <v>5</v>
      </c>
      <c r="G1077" s="181"/>
      <c r="H1077" s="86"/>
      <c r="I1077" s="30"/>
      <c r="J1077" s="32"/>
      <c r="K1077" s="39"/>
      <c r="L1077" s="40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</row>
    <row r="1078" spans="1:26" x14ac:dyDescent="0.25">
      <c r="A1078" s="35"/>
      <c r="B1078" s="135" t="s">
        <v>66</v>
      </c>
      <c r="C1078" s="35"/>
      <c r="D1078" s="62"/>
      <c r="E1078" s="86"/>
      <c r="F1078" s="86">
        <v>6</v>
      </c>
      <c r="G1078" s="181"/>
      <c r="H1078" s="86"/>
      <c r="I1078" s="30"/>
      <c r="J1078" s="32"/>
      <c r="K1078" s="39"/>
      <c r="L1078" s="40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</row>
    <row r="1079" spans="1:26" x14ac:dyDescent="0.25">
      <c r="A1079" s="35"/>
      <c r="B1079" s="135" t="s">
        <v>67</v>
      </c>
      <c r="C1079" s="35"/>
      <c r="D1079" s="62"/>
      <c r="E1079" s="62"/>
      <c r="F1079" s="62">
        <v>7</v>
      </c>
      <c r="G1079" s="62"/>
      <c r="H1079" s="62"/>
      <c r="J1079" s="32"/>
      <c r="K1079" s="39"/>
      <c r="L1079" s="40"/>
      <c r="T1079" s="17"/>
      <c r="U1079" s="17"/>
      <c r="V1079" s="17"/>
      <c r="W1079" s="17"/>
      <c r="X1079" s="17"/>
      <c r="Y1079" s="17"/>
      <c r="Z1079" s="17"/>
    </row>
    <row r="1080" spans="1:26" x14ac:dyDescent="0.25">
      <c r="A1080" s="35"/>
      <c r="B1080" s="135" t="s">
        <v>68</v>
      </c>
      <c r="C1080" s="35"/>
      <c r="D1080" s="62"/>
      <c r="E1080" s="62"/>
      <c r="F1080" s="62">
        <v>8</v>
      </c>
      <c r="G1080" s="62"/>
      <c r="H1080" s="62"/>
      <c r="J1080" s="32"/>
      <c r="K1080" s="39"/>
      <c r="L1080" s="40"/>
      <c r="T1080" s="17"/>
      <c r="U1080" s="17"/>
      <c r="V1080" s="17"/>
      <c r="W1080" s="17"/>
      <c r="X1080" s="17"/>
      <c r="Y1080" s="17"/>
      <c r="Z1080" s="17"/>
    </row>
    <row r="1081" spans="1:26" x14ac:dyDescent="0.25">
      <c r="A1081" s="35"/>
      <c r="B1081" s="138">
        <v>0.79166666666666663</v>
      </c>
      <c r="C1081" s="35"/>
      <c r="D1081" s="62"/>
      <c r="E1081" s="62"/>
      <c r="F1081" s="62">
        <v>9</v>
      </c>
      <c r="G1081" s="62"/>
      <c r="H1081" s="62"/>
      <c r="J1081" s="32"/>
      <c r="K1081" s="39"/>
      <c r="L1081" s="40"/>
      <c r="T1081" s="17"/>
      <c r="U1081" s="17"/>
      <c r="V1081" s="17"/>
      <c r="W1081" s="17"/>
      <c r="X1081" s="17"/>
      <c r="Y1081" s="17"/>
      <c r="Z1081" s="17"/>
    </row>
    <row r="1082" spans="1:26" x14ac:dyDescent="0.25">
      <c r="A1082" s="35"/>
      <c r="B1082" s="138">
        <v>0.83333333333333337</v>
      </c>
      <c r="C1082" s="35"/>
      <c r="D1082" s="62"/>
      <c r="E1082" s="62"/>
      <c r="F1082" s="62">
        <v>10</v>
      </c>
      <c r="G1082" s="62"/>
      <c r="H1082" s="62"/>
      <c r="J1082" s="32"/>
      <c r="K1082" s="39"/>
      <c r="L1082" s="40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</row>
    <row r="1083" spans="1:26" ht="94.5" x14ac:dyDescent="0.25">
      <c r="A1083" s="35"/>
      <c r="B1083" s="138">
        <v>0.875</v>
      </c>
      <c r="C1083" s="97" t="s">
        <v>927</v>
      </c>
      <c r="D1083" s="60">
        <v>60</v>
      </c>
      <c r="E1083" s="60" t="s">
        <v>257</v>
      </c>
      <c r="F1083" s="60" t="s">
        <v>905</v>
      </c>
      <c r="G1083" s="61">
        <v>44606</v>
      </c>
      <c r="H1083" s="62">
        <v>4000</v>
      </c>
      <c r="I1083" s="218">
        <v>2</v>
      </c>
      <c r="J1083" s="32"/>
      <c r="K1083" s="39"/>
      <c r="L1083" s="40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</row>
    <row r="1084" spans="1:26" x14ac:dyDescent="0.25">
      <c r="A1084" s="35"/>
      <c r="B1084" s="138">
        <v>0.91666666666666663</v>
      </c>
      <c r="C1084" s="97"/>
      <c r="D1084" s="62" t="s">
        <v>928</v>
      </c>
      <c r="E1084" s="62"/>
      <c r="F1084" s="62"/>
      <c r="G1084" s="105" t="s">
        <v>929</v>
      </c>
      <c r="H1084" s="62"/>
      <c r="J1084" s="32"/>
      <c r="K1084" s="39"/>
      <c r="L1084" s="40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</row>
    <row r="1085" spans="1:26" x14ac:dyDescent="0.25">
      <c r="A1085" s="35"/>
      <c r="B1085" s="139">
        <v>0.94791666666666663</v>
      </c>
      <c r="C1085" s="35"/>
      <c r="D1085" s="86"/>
      <c r="E1085" s="86"/>
      <c r="F1085" s="86"/>
      <c r="G1085" s="181"/>
      <c r="H1085" s="86"/>
      <c r="I1085" s="30"/>
      <c r="J1085" s="32"/>
      <c r="K1085" s="39"/>
      <c r="L1085" s="40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</row>
    <row r="1086" spans="1:26" x14ac:dyDescent="0.25">
      <c r="A1086" s="80"/>
      <c r="B1086" s="132"/>
      <c r="C1086" s="132"/>
      <c r="D1086" s="132"/>
      <c r="E1086" s="132"/>
      <c r="F1086" s="132"/>
      <c r="G1086" s="133"/>
      <c r="H1086" s="51">
        <f t="shared" ref="H1086:I1086" si="54">SUM(H1068:H1085)</f>
        <v>35304</v>
      </c>
      <c r="I1086" s="51">
        <f t="shared" si="54"/>
        <v>17</v>
      </c>
      <c r="J1086" s="52"/>
      <c r="K1086" s="51">
        <f>SUM(K1068:K1085)</f>
        <v>0</v>
      </c>
      <c r="L1086" s="40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</row>
    <row r="1087" spans="1:26" ht="63" x14ac:dyDescent="0.25">
      <c r="A1087" s="33">
        <f>A1068+1</f>
        <v>44642</v>
      </c>
      <c r="B1087" s="134" t="s">
        <v>54</v>
      </c>
      <c r="C1087" s="55" t="s">
        <v>930</v>
      </c>
      <c r="D1087" s="84">
        <v>51</v>
      </c>
      <c r="E1087" s="84" t="s">
        <v>172</v>
      </c>
      <c r="F1087" s="84" t="s">
        <v>931</v>
      </c>
      <c r="G1087" s="85">
        <v>44648</v>
      </c>
      <c r="H1087" s="86">
        <v>11318</v>
      </c>
      <c r="I1087" s="30">
        <v>4</v>
      </c>
      <c r="J1087" s="32" t="s">
        <v>932</v>
      </c>
      <c r="K1087" s="39"/>
      <c r="L1087" s="40"/>
      <c r="T1087" s="17"/>
      <c r="U1087" s="17"/>
      <c r="V1087" s="17"/>
      <c r="W1087" s="17"/>
      <c r="X1087" s="17"/>
      <c r="Y1087" s="17"/>
      <c r="Z1087" s="17"/>
    </row>
    <row r="1088" spans="1:26" ht="63" x14ac:dyDescent="0.25">
      <c r="A1088" s="41" t="s">
        <v>102</v>
      </c>
      <c r="B1088" s="135" t="s">
        <v>57</v>
      </c>
      <c r="C1088" s="55" t="s">
        <v>933</v>
      </c>
      <c r="D1088" s="84"/>
      <c r="E1088" s="84"/>
      <c r="F1088" s="84"/>
      <c r="G1088" s="85"/>
      <c r="H1088" s="86"/>
      <c r="I1088" s="30">
        <f>I1087*1.5-4</f>
        <v>2</v>
      </c>
      <c r="J1088" s="32"/>
      <c r="K1088" s="39"/>
      <c r="L1088" s="40"/>
      <c r="T1088" s="17"/>
      <c r="U1088" s="17"/>
      <c r="V1088" s="17"/>
      <c r="W1088" s="17"/>
      <c r="X1088" s="17"/>
      <c r="Y1088" s="17"/>
      <c r="Z1088" s="17"/>
    </row>
    <row r="1089" spans="1:26" x14ac:dyDescent="0.25">
      <c r="A1089" s="35"/>
      <c r="B1089" s="135" t="s">
        <v>58</v>
      </c>
      <c r="C1089" s="35"/>
      <c r="D1089" s="86"/>
      <c r="E1089" s="86"/>
      <c r="F1089" s="86"/>
      <c r="G1089" s="181"/>
      <c r="H1089" s="86"/>
      <c r="I1089" s="30"/>
      <c r="J1089" s="32"/>
      <c r="K1089" s="39"/>
      <c r="L1089" s="40"/>
      <c r="T1089" s="17"/>
      <c r="U1089" s="17"/>
      <c r="V1089" s="17"/>
      <c r="W1089" s="17"/>
      <c r="X1089" s="17"/>
      <c r="Y1089" s="17"/>
      <c r="Z1089" s="17"/>
    </row>
    <row r="1090" spans="1:26" x14ac:dyDescent="0.25">
      <c r="A1090" s="35"/>
      <c r="B1090" s="135" t="s">
        <v>59</v>
      </c>
      <c r="C1090" s="35"/>
      <c r="D1090" s="86"/>
      <c r="E1090" s="86"/>
      <c r="F1090" s="86"/>
      <c r="G1090" s="181"/>
      <c r="H1090" s="86"/>
      <c r="I1090" s="30"/>
      <c r="J1090" s="32"/>
      <c r="K1090" s="39"/>
      <c r="L1090" s="40"/>
      <c r="T1090" s="17"/>
      <c r="U1090" s="17"/>
      <c r="V1090" s="17"/>
      <c r="W1090" s="17"/>
      <c r="X1090" s="17"/>
      <c r="Y1090" s="17"/>
      <c r="Z1090" s="17"/>
    </row>
    <row r="1091" spans="1:26" x14ac:dyDescent="0.25">
      <c r="A1091" s="35"/>
      <c r="B1091" s="135" t="s">
        <v>60</v>
      </c>
      <c r="C1091" s="35"/>
      <c r="D1091" s="86"/>
      <c r="E1091" s="86"/>
      <c r="F1091" s="86"/>
      <c r="G1091" s="86"/>
      <c r="H1091" s="86"/>
      <c r="J1091" s="32"/>
      <c r="K1091" s="39"/>
      <c r="L1091" s="40"/>
      <c r="T1091" s="17"/>
      <c r="U1091" s="17"/>
      <c r="V1091" s="17"/>
      <c r="W1091" s="17"/>
      <c r="X1091" s="17"/>
      <c r="Y1091" s="17"/>
      <c r="Z1091" s="17"/>
    </row>
    <row r="1092" spans="1:26" x14ac:dyDescent="0.25">
      <c r="A1092" s="35"/>
      <c r="B1092" s="135" t="s">
        <v>61</v>
      </c>
      <c r="C1092" s="35"/>
      <c r="D1092" s="86"/>
      <c r="E1092" s="86"/>
      <c r="F1092" s="86"/>
      <c r="G1092" s="86"/>
      <c r="H1092" s="86"/>
      <c r="J1092" s="32"/>
      <c r="K1092" s="39"/>
      <c r="L1092" s="40"/>
      <c r="T1092" s="17"/>
      <c r="U1092" s="17"/>
      <c r="V1092" s="17"/>
      <c r="W1092" s="17"/>
      <c r="X1092" s="17"/>
      <c r="Y1092" s="17"/>
      <c r="Z1092" s="17"/>
    </row>
    <row r="1093" spans="1:26" x14ac:dyDescent="0.25">
      <c r="A1093" s="35"/>
      <c r="B1093" s="135" t="s">
        <v>62</v>
      </c>
      <c r="C1093" s="35"/>
      <c r="D1093" s="86"/>
      <c r="E1093" s="86"/>
      <c r="F1093" s="86"/>
      <c r="G1093" s="86"/>
      <c r="H1093" s="86"/>
      <c r="J1093" s="32"/>
      <c r="K1093" s="39"/>
      <c r="L1093" s="40"/>
      <c r="T1093" s="17"/>
      <c r="U1093" s="17"/>
      <c r="V1093" s="17"/>
      <c r="W1093" s="17"/>
      <c r="X1093" s="17"/>
      <c r="Y1093" s="17"/>
      <c r="Z1093" s="17"/>
    </row>
    <row r="1094" spans="1:26" x14ac:dyDescent="0.25">
      <c r="A1094" s="35"/>
      <c r="B1094" s="135" t="s">
        <v>63</v>
      </c>
      <c r="C1094" s="35"/>
      <c r="D1094" s="86"/>
      <c r="E1094" s="86"/>
      <c r="F1094" s="86"/>
      <c r="G1094" s="86"/>
      <c r="H1094" s="86"/>
      <c r="J1094" s="32"/>
      <c r="K1094" s="39"/>
      <c r="L1094" s="40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</row>
    <row r="1095" spans="1:26" ht="63" x14ac:dyDescent="0.25">
      <c r="A1095" s="35"/>
      <c r="B1095" s="135" t="s">
        <v>64</v>
      </c>
      <c r="C1095" s="55" t="s">
        <v>934</v>
      </c>
      <c r="D1095" s="84">
        <v>68</v>
      </c>
      <c r="E1095" s="84" t="s">
        <v>935</v>
      </c>
      <c r="F1095" s="84" t="s">
        <v>936</v>
      </c>
      <c r="G1095" s="85">
        <v>44648</v>
      </c>
      <c r="H1095" s="86">
        <v>6896</v>
      </c>
      <c r="I1095" s="30">
        <v>2</v>
      </c>
      <c r="J1095" s="32"/>
      <c r="K1095" s="39"/>
      <c r="L1095" s="40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</row>
    <row r="1096" spans="1:26" ht="31.5" x14ac:dyDescent="0.25">
      <c r="A1096" s="35"/>
      <c r="B1096" s="135" t="s">
        <v>65</v>
      </c>
      <c r="C1096" s="55" t="s">
        <v>937</v>
      </c>
      <c r="D1096" s="84"/>
      <c r="E1096" s="84"/>
      <c r="F1096" s="84"/>
      <c r="G1096" s="84"/>
      <c r="H1096" s="84"/>
      <c r="I1096" s="30"/>
      <c r="J1096" s="32"/>
      <c r="K1096" s="39"/>
      <c r="L1096" s="40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</row>
    <row r="1097" spans="1:26" x14ac:dyDescent="0.25">
      <c r="A1097" s="35"/>
      <c r="B1097" s="135" t="s">
        <v>66</v>
      </c>
      <c r="C1097" s="142"/>
      <c r="D1097" s="62"/>
      <c r="E1097" s="62"/>
      <c r="F1097" s="62"/>
      <c r="G1097" s="62"/>
      <c r="H1097" s="62"/>
      <c r="J1097" s="32"/>
      <c r="K1097" s="39"/>
      <c r="L1097" s="40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</row>
    <row r="1098" spans="1:26" x14ac:dyDescent="0.25">
      <c r="A1098" s="35"/>
      <c r="B1098" s="135" t="s">
        <v>67</v>
      </c>
      <c r="C1098" s="142"/>
      <c r="D1098" s="62"/>
      <c r="E1098" s="62"/>
      <c r="F1098" s="62"/>
      <c r="G1098" s="62"/>
      <c r="H1098" s="62"/>
      <c r="J1098" s="32"/>
      <c r="K1098" s="39"/>
      <c r="L1098" s="40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</row>
    <row r="1099" spans="1:26" ht="63" x14ac:dyDescent="0.25">
      <c r="A1099" s="35"/>
      <c r="B1099" s="135" t="s">
        <v>68</v>
      </c>
      <c r="C1099" s="182" t="s">
        <v>938</v>
      </c>
      <c r="D1099" s="183">
        <v>72</v>
      </c>
      <c r="E1099" s="183" t="s">
        <v>70</v>
      </c>
      <c r="F1099" s="183" t="s">
        <v>885</v>
      </c>
      <c r="G1099" s="184">
        <v>44642</v>
      </c>
      <c r="H1099" s="62">
        <v>3214</v>
      </c>
      <c r="I1099" s="218">
        <v>1</v>
      </c>
      <c r="J1099" s="32"/>
      <c r="K1099" s="39"/>
      <c r="L1099" s="40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</row>
    <row r="1100" spans="1:26" ht="63" x14ac:dyDescent="0.25">
      <c r="A1100" s="35"/>
      <c r="B1100" s="138">
        <v>0.79166666666666663</v>
      </c>
      <c r="C1100" s="182" t="s">
        <v>939</v>
      </c>
      <c r="D1100" s="183">
        <v>72</v>
      </c>
      <c r="E1100" s="183" t="s">
        <v>151</v>
      </c>
      <c r="F1100" s="183" t="s">
        <v>940</v>
      </c>
      <c r="G1100" s="184">
        <v>44642</v>
      </c>
      <c r="H1100" s="62">
        <v>2652</v>
      </c>
      <c r="I1100" s="218">
        <v>1</v>
      </c>
      <c r="J1100" s="32"/>
      <c r="K1100" s="39"/>
      <c r="L1100" s="40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</row>
    <row r="1101" spans="1:26" x14ac:dyDescent="0.25">
      <c r="A1101" s="35"/>
      <c r="B1101" s="138">
        <v>0.83333333333333337</v>
      </c>
      <c r="C1101" s="142"/>
      <c r="D1101" s="185" t="s">
        <v>941</v>
      </c>
      <c r="E1101" s="186"/>
      <c r="F1101" s="186"/>
      <c r="G1101" s="186"/>
      <c r="H1101" s="186"/>
      <c r="J1101" s="32"/>
      <c r="K1101" s="39"/>
      <c r="L1101" s="40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</row>
    <row r="1102" spans="1:26" x14ac:dyDescent="0.25">
      <c r="A1102" s="35"/>
      <c r="B1102" s="138">
        <v>0.875</v>
      </c>
      <c r="C1102" s="35"/>
      <c r="D1102" s="187" t="s">
        <v>942</v>
      </c>
      <c r="E1102" s="188"/>
      <c r="F1102" s="188"/>
      <c r="G1102" s="189"/>
      <c r="H1102" s="188"/>
      <c r="I1102" s="30"/>
      <c r="J1102" s="32"/>
      <c r="K1102" s="39"/>
      <c r="L1102" s="40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</row>
    <row r="1103" spans="1:26" x14ac:dyDescent="0.25">
      <c r="A1103" s="35"/>
      <c r="B1103" s="138">
        <v>0.91666666666666663</v>
      </c>
      <c r="C1103" s="35"/>
      <c r="D1103" s="188"/>
      <c r="E1103" s="188"/>
      <c r="F1103" s="188"/>
      <c r="G1103" s="189"/>
      <c r="H1103" s="188"/>
      <c r="I1103" s="30"/>
      <c r="J1103" s="32"/>
      <c r="K1103" s="39"/>
      <c r="L1103" s="40"/>
      <c r="R1103" s="17"/>
      <c r="S1103" s="17"/>
      <c r="T1103" s="17"/>
      <c r="U1103" s="17"/>
      <c r="V1103" s="17"/>
      <c r="W1103" s="17"/>
      <c r="X1103" s="17"/>
      <c r="Y1103" s="17"/>
      <c r="Z1103" s="17"/>
    </row>
    <row r="1104" spans="1:26" x14ac:dyDescent="0.25">
      <c r="A1104" s="35"/>
      <c r="B1104" s="139">
        <v>0.94791666666666663</v>
      </c>
      <c r="C1104" s="35"/>
      <c r="D1104" s="86"/>
      <c r="E1104" s="86"/>
      <c r="F1104" s="86"/>
      <c r="G1104" s="181"/>
      <c r="H1104" s="86"/>
      <c r="I1104" s="30"/>
      <c r="J1104" s="32"/>
      <c r="K1104" s="39"/>
      <c r="L1104" s="40"/>
      <c r="R1104" s="17"/>
      <c r="S1104" s="17"/>
      <c r="T1104" s="17"/>
      <c r="U1104" s="17"/>
      <c r="V1104" s="17"/>
      <c r="W1104" s="17"/>
      <c r="X1104" s="17"/>
      <c r="Y1104" s="17"/>
      <c r="Z1104" s="17"/>
    </row>
    <row r="1105" spans="1:26" x14ac:dyDescent="0.25">
      <c r="A1105" s="80"/>
      <c r="B1105" s="132"/>
      <c r="C1105" s="132"/>
      <c r="D1105" s="132"/>
      <c r="E1105" s="132"/>
      <c r="F1105" s="132"/>
      <c r="G1105" s="133"/>
      <c r="H1105" s="51">
        <f t="shared" ref="H1105:I1105" si="55">SUM(H1087:H1104)</f>
        <v>24080</v>
      </c>
      <c r="I1105" s="51">
        <f t="shared" si="55"/>
        <v>10</v>
      </c>
      <c r="J1105" s="52"/>
      <c r="K1105" s="51">
        <f>SUM(K1087:K1104)</f>
        <v>0</v>
      </c>
      <c r="L1105" s="40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</row>
    <row r="1106" spans="1:26" ht="47.25" x14ac:dyDescent="0.25">
      <c r="A1106" s="33">
        <f>A1087+1</f>
        <v>44643</v>
      </c>
      <c r="B1106" s="134" t="s">
        <v>54</v>
      </c>
      <c r="C1106" s="55" t="s">
        <v>943</v>
      </c>
      <c r="D1106" s="68">
        <v>36</v>
      </c>
      <c r="E1106" s="68" t="s">
        <v>944</v>
      </c>
      <c r="F1106" s="68" t="s">
        <v>945</v>
      </c>
      <c r="G1106" s="69">
        <v>44636</v>
      </c>
      <c r="H1106" s="67">
        <v>2000</v>
      </c>
      <c r="I1106" s="218">
        <v>2</v>
      </c>
      <c r="J1106" s="32"/>
      <c r="K1106" s="39"/>
      <c r="L1106" s="40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</row>
    <row r="1107" spans="1:26" x14ac:dyDescent="0.25">
      <c r="A1107" s="41" t="s">
        <v>117</v>
      </c>
      <c r="B1107" s="135" t="s">
        <v>57</v>
      </c>
      <c r="C1107" s="43"/>
      <c r="D1107" s="67"/>
      <c r="E1107" s="67"/>
      <c r="F1107" s="68"/>
      <c r="G1107" s="68" t="s">
        <v>946</v>
      </c>
      <c r="H1107" s="67"/>
      <c r="J1107" s="32"/>
      <c r="K1107" s="39"/>
      <c r="L1107" s="40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</row>
    <row r="1108" spans="1:26" ht="47.25" x14ac:dyDescent="0.25">
      <c r="A1108" s="35"/>
      <c r="B1108" s="135" t="s">
        <v>58</v>
      </c>
      <c r="C1108" s="55" t="s">
        <v>947</v>
      </c>
      <c r="D1108" s="56">
        <v>36</v>
      </c>
      <c r="E1108" s="57" t="s">
        <v>948</v>
      </c>
      <c r="F1108" s="57" t="s">
        <v>949</v>
      </c>
      <c r="G1108" s="57" t="s">
        <v>950</v>
      </c>
      <c r="H1108" s="67">
        <v>6600</v>
      </c>
      <c r="I1108" s="218">
        <v>4</v>
      </c>
      <c r="J1108" s="32"/>
      <c r="K1108" s="39"/>
      <c r="L1108" s="40"/>
      <c r="M1108" s="17"/>
      <c r="T1108" s="17">
        <v>2</v>
      </c>
      <c r="U1108" s="17"/>
      <c r="V1108" s="17"/>
      <c r="W1108" s="17"/>
      <c r="X1108" s="17"/>
      <c r="Y1108" s="17"/>
      <c r="Z1108" s="17"/>
    </row>
    <row r="1109" spans="1:26" x14ac:dyDescent="0.25">
      <c r="A1109" s="35"/>
      <c r="B1109" s="135" t="s">
        <v>59</v>
      </c>
      <c r="C1109" s="35"/>
      <c r="D1109" s="67"/>
      <c r="E1109" s="67"/>
      <c r="F1109" s="67"/>
      <c r="G1109" s="67"/>
      <c r="H1109" s="67"/>
      <c r="J1109" s="32"/>
      <c r="K1109" s="39"/>
      <c r="L1109" s="40"/>
      <c r="M1109" s="17"/>
      <c r="T1109" s="32"/>
      <c r="U1109" s="17"/>
      <c r="V1109" s="17"/>
      <c r="W1109" s="17"/>
      <c r="X1109" s="17"/>
      <c r="Y1109" s="17"/>
      <c r="Z1109" s="17"/>
    </row>
    <row r="1110" spans="1:26" x14ac:dyDescent="0.25">
      <c r="A1110" s="35"/>
      <c r="B1110" s="135" t="s">
        <v>60</v>
      </c>
      <c r="C1110" s="35"/>
      <c r="D1110" s="67"/>
      <c r="E1110" s="67"/>
      <c r="F1110" s="67"/>
      <c r="G1110" s="67"/>
      <c r="H1110" s="67"/>
      <c r="J1110" s="32"/>
      <c r="K1110" s="39"/>
      <c r="L1110" s="40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</row>
    <row r="1111" spans="1:26" x14ac:dyDescent="0.25">
      <c r="A1111" s="35"/>
      <c r="B1111" s="135" t="s">
        <v>61</v>
      </c>
      <c r="C1111" s="35"/>
      <c r="D1111" s="67"/>
      <c r="E1111" s="67"/>
      <c r="F1111" s="67"/>
      <c r="G1111" s="67"/>
      <c r="H1111" s="67"/>
      <c r="J1111" s="32"/>
      <c r="K1111" s="39"/>
      <c r="L1111" s="40"/>
      <c r="S1111" s="17"/>
      <c r="T1111" s="17"/>
      <c r="U1111" s="17"/>
      <c r="V1111" s="17"/>
      <c r="W1111" s="17"/>
      <c r="X1111" s="17"/>
      <c r="Y1111" s="17"/>
      <c r="Z1111" s="17"/>
    </row>
    <row r="1112" spans="1:26" ht="78.75" x14ac:dyDescent="0.25">
      <c r="A1112" s="35"/>
      <c r="B1112" s="135" t="s">
        <v>62</v>
      </c>
      <c r="C1112" s="55" t="s">
        <v>951</v>
      </c>
      <c r="D1112" s="57">
        <v>72</v>
      </c>
      <c r="E1112" s="57" t="s">
        <v>85</v>
      </c>
      <c r="F1112" s="57" t="s">
        <v>952</v>
      </c>
      <c r="G1112" s="63">
        <v>44648</v>
      </c>
      <c r="H1112" s="65">
        <v>10426</v>
      </c>
      <c r="I1112" s="30">
        <v>5</v>
      </c>
      <c r="J1112" s="32"/>
      <c r="K1112" s="39"/>
      <c r="L1112" s="40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</row>
    <row r="1113" spans="1:26" x14ac:dyDescent="0.25">
      <c r="A1113" s="35"/>
      <c r="B1113" s="135" t="s">
        <v>63</v>
      </c>
      <c r="C1113" s="55"/>
      <c r="D1113" s="57"/>
      <c r="E1113" s="57"/>
      <c r="F1113" s="57"/>
      <c r="G1113" s="178" t="s">
        <v>953</v>
      </c>
      <c r="H1113" s="65"/>
      <c r="I1113" s="30"/>
      <c r="J1113" s="32"/>
      <c r="K1113" s="39"/>
      <c r="L1113" s="40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</row>
    <row r="1114" spans="1:26" x14ac:dyDescent="0.25">
      <c r="A1114" s="35"/>
      <c r="B1114" s="135" t="s">
        <v>64</v>
      </c>
      <c r="C1114" s="35"/>
      <c r="D1114" s="65"/>
      <c r="E1114" s="65"/>
      <c r="F1114" s="65"/>
      <c r="G1114" s="66"/>
      <c r="H1114" s="65"/>
      <c r="I1114" s="30"/>
      <c r="J1114" s="32"/>
      <c r="K1114" s="39"/>
      <c r="L1114" s="40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</row>
    <row r="1115" spans="1:26" x14ac:dyDescent="0.25">
      <c r="A1115" s="35"/>
      <c r="B1115" s="135" t="s">
        <v>65</v>
      </c>
      <c r="C1115" s="35"/>
      <c r="D1115" s="65"/>
      <c r="E1115" s="65"/>
      <c r="F1115" s="65"/>
      <c r="G1115" s="66"/>
      <c r="H1115" s="65"/>
      <c r="I1115" s="30"/>
      <c r="J1115" s="32"/>
      <c r="K1115" s="39"/>
      <c r="L1115" s="40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</row>
    <row r="1116" spans="1:26" x14ac:dyDescent="0.25">
      <c r="A1116" s="35"/>
      <c r="B1116" s="135" t="s">
        <v>66</v>
      </c>
      <c r="C1116" s="35"/>
      <c r="D1116" s="65"/>
      <c r="E1116" s="65"/>
      <c r="F1116" s="65"/>
      <c r="G1116" s="65"/>
      <c r="H1116" s="65"/>
      <c r="I1116" s="30"/>
      <c r="J1116" s="32"/>
      <c r="K1116" s="39"/>
      <c r="L1116" s="40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</row>
    <row r="1117" spans="1:26" x14ac:dyDescent="0.25">
      <c r="A1117" s="41"/>
      <c r="B1117" s="135" t="s">
        <v>67</v>
      </c>
      <c r="C1117" s="35"/>
      <c r="D1117" s="65"/>
      <c r="E1117" s="65"/>
      <c r="F1117" s="65"/>
      <c r="G1117" s="65"/>
      <c r="H1117" s="65"/>
      <c r="I1117" s="30"/>
      <c r="J1117" s="32"/>
      <c r="K1117" s="39"/>
      <c r="L1117" s="40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</row>
    <row r="1118" spans="1:26" ht="47.25" x14ac:dyDescent="0.25">
      <c r="A1118" s="35"/>
      <c r="B1118" s="135" t="s">
        <v>68</v>
      </c>
      <c r="C1118" s="176" t="s">
        <v>954</v>
      </c>
      <c r="D1118" s="190">
        <v>30</v>
      </c>
      <c r="E1118" s="178" t="s">
        <v>955</v>
      </c>
      <c r="F1118" s="178" t="s">
        <v>945</v>
      </c>
      <c r="G1118" s="178" t="s">
        <v>956</v>
      </c>
      <c r="H1118" s="67">
        <v>2000</v>
      </c>
      <c r="I1118" s="218">
        <v>2</v>
      </c>
      <c r="J1118" s="32"/>
      <c r="K1118" s="39"/>
      <c r="L1118" s="40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</row>
    <row r="1119" spans="1:26" x14ac:dyDescent="0.25">
      <c r="A1119" s="35"/>
      <c r="B1119" s="138">
        <v>0.79166666666666663</v>
      </c>
      <c r="C1119" s="35"/>
      <c r="D1119" s="67"/>
      <c r="E1119" s="67"/>
      <c r="F1119" s="67"/>
      <c r="G1119" s="67"/>
      <c r="H1119" s="67"/>
      <c r="J1119" s="32"/>
      <c r="K1119" s="39"/>
      <c r="L1119" s="40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</row>
    <row r="1120" spans="1:26" ht="63" x14ac:dyDescent="0.25">
      <c r="A1120" s="35"/>
      <c r="B1120" s="138">
        <v>0.83333333333333337</v>
      </c>
      <c r="C1120" s="55" t="s">
        <v>957</v>
      </c>
      <c r="D1120" s="68">
        <v>36</v>
      </c>
      <c r="E1120" s="68" t="s">
        <v>140</v>
      </c>
      <c r="F1120" s="68" t="s">
        <v>958</v>
      </c>
      <c r="G1120" s="69">
        <v>44642</v>
      </c>
      <c r="H1120" s="67">
        <v>2240</v>
      </c>
      <c r="I1120" s="30">
        <v>2</v>
      </c>
      <c r="J1120" s="32"/>
      <c r="K1120" s="39"/>
      <c r="L1120" s="40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</row>
    <row r="1121" spans="1:26" ht="31.5" x14ac:dyDescent="0.25">
      <c r="A1121" s="35"/>
      <c r="B1121" s="138">
        <v>0.875</v>
      </c>
      <c r="C1121" s="55" t="s">
        <v>959</v>
      </c>
      <c r="D1121" s="67"/>
      <c r="E1121" s="67"/>
      <c r="F1121" s="67"/>
      <c r="G1121" s="67"/>
      <c r="H1121" s="67"/>
      <c r="I1121" s="30"/>
      <c r="J1121" s="32"/>
      <c r="K1121" s="39"/>
      <c r="L1121" s="40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</row>
    <row r="1122" spans="1:26" x14ac:dyDescent="0.25">
      <c r="A1122" s="35"/>
      <c r="B1122" s="138">
        <v>0.91666666666666663</v>
      </c>
      <c r="C1122" s="35"/>
      <c r="D1122" s="67"/>
      <c r="E1122" s="67"/>
      <c r="F1122" s="67"/>
      <c r="G1122" s="67"/>
      <c r="H1122" s="67"/>
      <c r="I1122" s="30"/>
      <c r="J1122" s="32"/>
      <c r="K1122" s="39"/>
      <c r="L1122" s="40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</row>
    <row r="1123" spans="1:26" x14ac:dyDescent="0.25">
      <c r="A1123" s="35"/>
      <c r="B1123" s="139">
        <v>0.94791666666666663</v>
      </c>
      <c r="C1123" s="35"/>
      <c r="D1123" s="67"/>
      <c r="E1123" s="67"/>
      <c r="F1123" s="67"/>
      <c r="G1123" s="67"/>
      <c r="H1123" s="67"/>
      <c r="I1123" s="30"/>
      <c r="J1123" s="32"/>
      <c r="K1123" s="39"/>
      <c r="L1123" s="40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</row>
    <row r="1124" spans="1:26" x14ac:dyDescent="0.25">
      <c r="A1124" s="80"/>
      <c r="B1124" s="132"/>
      <c r="C1124" s="132"/>
      <c r="D1124" s="132"/>
      <c r="E1124" s="132"/>
      <c r="F1124" s="132"/>
      <c r="G1124" s="133"/>
      <c r="H1124" s="51">
        <f t="shared" ref="H1124:I1124" si="56">SUM(H1064:H1123)</f>
        <v>192014</v>
      </c>
      <c r="I1124" s="51">
        <f t="shared" si="56"/>
        <v>87</v>
      </c>
      <c r="J1124" s="52"/>
      <c r="K1124" s="51">
        <f>SUM(K1106:K1123)</f>
        <v>0</v>
      </c>
      <c r="L1124" s="40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</row>
    <row r="1125" spans="1:26" ht="63" x14ac:dyDescent="0.25">
      <c r="A1125" s="33">
        <f>A1106+1</f>
        <v>44644</v>
      </c>
      <c r="B1125" s="134" t="s">
        <v>54</v>
      </c>
      <c r="C1125" s="97" t="s">
        <v>960</v>
      </c>
      <c r="D1125" s="68">
        <v>36</v>
      </c>
      <c r="E1125" s="68" t="s">
        <v>961</v>
      </c>
      <c r="F1125" s="68" t="s">
        <v>945</v>
      </c>
      <c r="G1125" s="68" t="s">
        <v>962</v>
      </c>
      <c r="H1125" s="67">
        <v>2000</v>
      </c>
      <c r="I1125" s="218">
        <v>2</v>
      </c>
      <c r="K1125" s="39"/>
      <c r="L1125" s="40"/>
      <c r="T1125" s="17"/>
      <c r="U1125" s="17"/>
      <c r="V1125" s="17"/>
      <c r="W1125" s="17"/>
      <c r="X1125" s="17"/>
      <c r="Y1125" s="17"/>
      <c r="Z1125" s="17"/>
    </row>
    <row r="1126" spans="1:26" x14ac:dyDescent="0.25">
      <c r="A1126" s="41" t="s">
        <v>137</v>
      </c>
      <c r="B1126" s="135" t="s">
        <v>57</v>
      </c>
      <c r="C1126" s="35"/>
      <c r="D1126" s="67"/>
      <c r="E1126" s="67"/>
      <c r="F1126" s="67"/>
      <c r="G1126" s="67"/>
      <c r="H1126" s="67"/>
      <c r="K1126" s="39"/>
      <c r="L1126" s="40"/>
      <c r="T1126" s="17"/>
      <c r="U1126" s="17"/>
      <c r="V1126" s="17"/>
      <c r="W1126" s="17"/>
      <c r="X1126" s="17"/>
      <c r="Y1126" s="17"/>
      <c r="Z1126" s="17"/>
    </row>
    <row r="1127" spans="1:26" ht="63" x14ac:dyDescent="0.25">
      <c r="A1127" s="35"/>
      <c r="B1127" s="135" t="s">
        <v>58</v>
      </c>
      <c r="C1127" s="55" t="s">
        <v>963</v>
      </c>
      <c r="D1127" s="57">
        <v>48</v>
      </c>
      <c r="E1127" s="57" t="s">
        <v>248</v>
      </c>
      <c r="F1127" s="57" t="s">
        <v>964</v>
      </c>
      <c r="G1127" s="63">
        <v>44649</v>
      </c>
      <c r="H1127" s="65">
        <v>1891</v>
      </c>
      <c r="I1127" s="30">
        <v>1</v>
      </c>
      <c r="J1127" s="32"/>
      <c r="K1127" s="39"/>
      <c r="L1127" s="40"/>
      <c r="T1127" s="17"/>
      <c r="U1127" s="17"/>
      <c r="V1127" s="17"/>
      <c r="W1127" s="17"/>
      <c r="X1127" s="17"/>
      <c r="Y1127" s="17"/>
      <c r="Z1127" s="17"/>
    </row>
    <row r="1128" spans="1:26" ht="78.75" x14ac:dyDescent="0.25">
      <c r="A1128" s="35"/>
      <c r="B1128" s="135" t="s">
        <v>59</v>
      </c>
      <c r="C1128" s="97" t="s">
        <v>965</v>
      </c>
      <c r="D1128" s="68">
        <v>60</v>
      </c>
      <c r="E1128" s="68" t="s">
        <v>151</v>
      </c>
      <c r="F1128" s="68" t="s">
        <v>966</v>
      </c>
      <c r="G1128" s="68" t="s">
        <v>967</v>
      </c>
      <c r="H1128" s="67">
        <v>40000</v>
      </c>
      <c r="I1128" s="218">
        <v>10</v>
      </c>
      <c r="J1128" s="32" t="s">
        <v>345</v>
      </c>
      <c r="K1128" s="39"/>
      <c r="L1128" s="40"/>
      <c r="T1128" s="17"/>
      <c r="U1128" s="17"/>
      <c r="V1128" s="17"/>
      <c r="W1128" s="17"/>
      <c r="X1128" s="17"/>
      <c r="Y1128" s="17"/>
      <c r="Z1128" s="17"/>
    </row>
    <row r="1129" spans="1:26" ht="47.25" x14ac:dyDescent="0.25">
      <c r="A1129" s="35"/>
      <c r="B1129" s="135" t="s">
        <v>60</v>
      </c>
      <c r="C1129" s="35"/>
      <c r="D1129" s="67"/>
      <c r="E1129" s="67"/>
      <c r="F1129" s="67">
        <v>2</v>
      </c>
      <c r="G1129" s="68" t="s">
        <v>968</v>
      </c>
      <c r="H1129" s="67"/>
      <c r="I1129" s="218">
        <v>5</v>
      </c>
      <c r="J1129" s="32"/>
      <c r="K1129" s="39"/>
      <c r="L1129" s="40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</row>
    <row r="1130" spans="1:26" x14ac:dyDescent="0.25">
      <c r="A1130" s="35"/>
      <c r="B1130" s="135" t="s">
        <v>61</v>
      </c>
      <c r="C1130" s="35"/>
      <c r="D1130" s="67"/>
      <c r="E1130" s="67"/>
      <c r="F1130" s="67">
        <v>3</v>
      </c>
      <c r="G1130" s="67"/>
      <c r="H1130" s="67"/>
      <c r="J1130" s="32"/>
      <c r="K1130" s="39"/>
      <c r="L1130" s="40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</row>
    <row r="1131" spans="1:26" x14ac:dyDescent="0.25">
      <c r="A1131" s="35"/>
      <c r="B1131" s="135" t="s">
        <v>62</v>
      </c>
      <c r="C1131" s="35"/>
      <c r="D1131" s="67"/>
      <c r="E1131" s="67"/>
      <c r="F1131" s="67">
        <v>4</v>
      </c>
      <c r="G1131" s="67"/>
      <c r="H1131" s="67"/>
      <c r="J1131" s="32"/>
      <c r="K1131" s="39"/>
      <c r="L1131" s="40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</row>
    <row r="1132" spans="1:26" x14ac:dyDescent="0.25">
      <c r="A1132" s="35"/>
      <c r="B1132" s="135" t="s">
        <v>63</v>
      </c>
      <c r="C1132" s="35"/>
      <c r="D1132" s="67"/>
      <c r="E1132" s="67"/>
      <c r="F1132" s="67">
        <v>5</v>
      </c>
      <c r="G1132" s="67"/>
      <c r="H1132" s="67"/>
      <c r="I1132" s="30"/>
      <c r="J1132" s="32"/>
      <c r="K1132" s="39"/>
      <c r="L1132" s="40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</row>
    <row r="1133" spans="1:26" x14ac:dyDescent="0.25">
      <c r="A1133" s="35"/>
      <c r="B1133" s="135" t="s">
        <v>64</v>
      </c>
      <c r="C1133" s="35"/>
      <c r="D1133" s="67"/>
      <c r="E1133" s="67"/>
      <c r="F1133" s="67">
        <v>6</v>
      </c>
      <c r="G1133" s="67"/>
      <c r="H1133" s="67"/>
      <c r="I1133" s="30"/>
      <c r="J1133" s="32"/>
      <c r="K1133" s="39"/>
      <c r="L1133" s="40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</row>
    <row r="1134" spans="1:26" x14ac:dyDescent="0.25">
      <c r="A1134" s="35"/>
      <c r="B1134" s="135" t="s">
        <v>65</v>
      </c>
      <c r="C1134" s="35"/>
      <c r="D1134" s="67"/>
      <c r="E1134" s="67"/>
      <c r="F1134" s="67">
        <v>7</v>
      </c>
      <c r="G1134" s="67"/>
      <c r="H1134" s="67"/>
      <c r="I1134" s="30"/>
      <c r="J1134" s="32"/>
      <c r="K1134" s="39"/>
      <c r="L1134" s="40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</row>
    <row r="1135" spans="1:26" x14ac:dyDescent="0.25">
      <c r="A1135" s="35"/>
      <c r="B1135" s="135" t="s">
        <v>66</v>
      </c>
      <c r="C1135" s="35"/>
      <c r="D1135" s="67"/>
      <c r="E1135" s="67"/>
      <c r="F1135" s="67">
        <v>8</v>
      </c>
      <c r="G1135" s="67"/>
      <c r="H1135" s="67"/>
      <c r="I1135" s="30"/>
      <c r="J1135" s="32"/>
      <c r="K1135" s="39"/>
      <c r="L1135" s="40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</row>
    <row r="1136" spans="1:26" x14ac:dyDescent="0.25">
      <c r="A1136" s="35"/>
      <c r="B1136" s="135" t="s">
        <v>67</v>
      </c>
      <c r="C1136" s="35"/>
      <c r="D1136" s="67"/>
      <c r="E1136" s="67"/>
      <c r="F1136" s="67">
        <v>9</v>
      </c>
      <c r="G1136" s="67"/>
      <c r="H1136" s="67"/>
      <c r="I1136" s="30"/>
      <c r="J1136" s="32"/>
      <c r="K1136" s="39"/>
      <c r="L1136" s="40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</row>
    <row r="1137" spans="1:26" x14ac:dyDescent="0.25">
      <c r="A1137" s="35"/>
      <c r="B1137" s="135" t="s">
        <v>68</v>
      </c>
      <c r="C1137" s="35"/>
      <c r="D1137" s="67"/>
      <c r="E1137" s="67"/>
      <c r="F1137" s="67">
        <v>10</v>
      </c>
      <c r="G1137" s="67"/>
      <c r="H1137" s="67"/>
      <c r="J1137" s="32"/>
      <c r="K1137" s="39"/>
      <c r="L1137" s="40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</row>
    <row r="1138" spans="1:26" x14ac:dyDescent="0.25">
      <c r="A1138" s="35"/>
      <c r="B1138" s="138">
        <v>0.79166666666666663</v>
      </c>
      <c r="C1138" s="35"/>
      <c r="D1138" s="67"/>
      <c r="E1138" s="67"/>
      <c r="F1138" s="67">
        <v>11</v>
      </c>
      <c r="G1138" s="67"/>
      <c r="H1138" s="67"/>
      <c r="J1138" s="32"/>
      <c r="K1138" s="39"/>
      <c r="L1138" s="40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</row>
    <row r="1139" spans="1:26" x14ac:dyDescent="0.25">
      <c r="A1139" s="35"/>
      <c r="B1139" s="138">
        <v>0.83333333333333337</v>
      </c>
      <c r="C1139" s="35"/>
      <c r="D1139" s="67"/>
      <c r="E1139" s="67"/>
      <c r="F1139" s="67">
        <v>12</v>
      </c>
      <c r="G1139" s="67"/>
      <c r="H1139" s="67"/>
      <c r="J1139" s="32"/>
      <c r="K1139" s="39"/>
      <c r="L1139" s="40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</row>
    <row r="1140" spans="1:26" x14ac:dyDescent="0.25">
      <c r="A1140" s="35"/>
      <c r="B1140" s="138">
        <v>0.875</v>
      </c>
      <c r="C1140" s="35"/>
      <c r="D1140" s="67"/>
      <c r="E1140" s="67"/>
      <c r="F1140" s="67">
        <v>13</v>
      </c>
      <c r="G1140" s="67"/>
      <c r="H1140" s="67"/>
      <c r="J1140" s="32"/>
      <c r="K1140" s="39"/>
      <c r="L1140" s="40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</row>
    <row r="1141" spans="1:26" x14ac:dyDescent="0.25">
      <c r="A1141" s="35"/>
      <c r="B1141" s="138">
        <v>0.91666666666666663</v>
      </c>
      <c r="C1141" s="35"/>
      <c r="D1141" s="67"/>
      <c r="E1141" s="67"/>
      <c r="F1141" s="67">
        <v>14</v>
      </c>
      <c r="G1141" s="67"/>
      <c r="H1141" s="67"/>
      <c r="J1141" s="32"/>
      <c r="K1141" s="39"/>
      <c r="L1141" s="40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</row>
    <row r="1142" spans="1:26" x14ac:dyDescent="0.25">
      <c r="A1142" s="35"/>
      <c r="B1142" s="139">
        <v>0.94791666666666663</v>
      </c>
      <c r="C1142" s="35"/>
      <c r="D1142" s="67"/>
      <c r="E1142" s="67"/>
      <c r="F1142" s="67">
        <v>15</v>
      </c>
      <c r="G1142" s="67"/>
      <c r="H1142" s="67"/>
      <c r="J1142" s="32"/>
      <c r="K1142" s="39"/>
      <c r="L1142" s="40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</row>
    <row r="1143" spans="1:26" x14ac:dyDescent="0.25">
      <c r="A1143" s="80"/>
      <c r="B1143" s="132"/>
      <c r="C1143" s="132"/>
      <c r="D1143" s="132"/>
      <c r="E1143" s="132"/>
      <c r="F1143" s="132"/>
      <c r="G1143" s="133"/>
      <c r="H1143" s="51">
        <f t="shared" ref="H1143:I1143" si="57">SUM(H1127:H1142)</f>
        <v>41891</v>
      </c>
      <c r="I1143" s="51">
        <f t="shared" si="57"/>
        <v>16</v>
      </c>
      <c r="J1143" s="52"/>
      <c r="K1143" s="51">
        <f>SUM(K1125:K1142)</f>
        <v>0</v>
      </c>
      <c r="L1143" s="40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</row>
    <row r="1144" spans="1:26" ht="78.75" x14ac:dyDescent="0.25">
      <c r="A1144" s="33">
        <f>A1125+1</f>
        <v>44645</v>
      </c>
      <c r="B1144" s="134" t="s">
        <v>54</v>
      </c>
      <c r="C1144" s="55" t="s">
        <v>969</v>
      </c>
      <c r="D1144" s="57">
        <v>72</v>
      </c>
      <c r="E1144" s="57" t="s">
        <v>85</v>
      </c>
      <c r="F1144" s="57" t="s">
        <v>970</v>
      </c>
      <c r="G1144" s="63">
        <v>44656</v>
      </c>
      <c r="H1144" s="65">
        <v>10416</v>
      </c>
      <c r="I1144" s="30">
        <v>5</v>
      </c>
      <c r="J1144" s="32"/>
      <c r="K1144" s="39"/>
      <c r="L1144" s="40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</row>
    <row r="1145" spans="1:26" ht="110.25" x14ac:dyDescent="0.25">
      <c r="A1145" s="41" t="s">
        <v>56</v>
      </c>
      <c r="B1145" s="135" t="s">
        <v>57</v>
      </c>
      <c r="C1145" s="55"/>
      <c r="D1145" s="191" t="s">
        <v>971</v>
      </c>
      <c r="E1145" s="57"/>
      <c r="F1145" s="57"/>
      <c r="G1145" s="57" t="s">
        <v>972</v>
      </c>
      <c r="H1145" s="65"/>
      <c r="I1145" s="30"/>
      <c r="J1145" s="32"/>
      <c r="K1145" s="39"/>
      <c r="L1145" s="40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</row>
    <row r="1146" spans="1:26" x14ac:dyDescent="0.25">
      <c r="A1146" s="35"/>
      <c r="B1146" s="135" t="s">
        <v>58</v>
      </c>
      <c r="C1146" s="35"/>
      <c r="D1146" s="65"/>
      <c r="E1146" s="65"/>
      <c r="F1146" s="65"/>
      <c r="G1146" s="66"/>
      <c r="H1146" s="65"/>
      <c r="I1146" s="30"/>
      <c r="J1146" s="32"/>
      <c r="K1146" s="39"/>
      <c r="L1146" s="40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</row>
    <row r="1147" spans="1:26" ht="63" x14ac:dyDescent="0.25">
      <c r="A1147" s="35"/>
      <c r="B1147" s="135" t="s">
        <v>59</v>
      </c>
      <c r="C1147" s="55" t="s">
        <v>973</v>
      </c>
      <c r="D1147" s="57">
        <v>72</v>
      </c>
      <c r="E1147" s="57" t="s">
        <v>85</v>
      </c>
      <c r="F1147" s="57" t="s">
        <v>974</v>
      </c>
      <c r="G1147" s="63">
        <v>44642</v>
      </c>
      <c r="H1147" s="65">
        <v>2000</v>
      </c>
      <c r="I1147" s="30">
        <v>1</v>
      </c>
      <c r="J1147" s="32"/>
      <c r="K1147" s="39"/>
      <c r="L1147" s="40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</row>
    <row r="1148" spans="1:26" x14ac:dyDescent="0.25">
      <c r="A1148" s="35"/>
      <c r="B1148" s="135" t="s">
        <v>60</v>
      </c>
      <c r="C1148" s="35"/>
      <c r="D1148" s="65"/>
      <c r="E1148" s="65"/>
      <c r="F1148" s="65"/>
      <c r="G1148" s="66"/>
      <c r="H1148" s="65"/>
      <c r="I1148" s="30"/>
      <c r="J1148" s="32"/>
      <c r="K1148" s="39"/>
      <c r="L1148" s="40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</row>
    <row r="1149" spans="1:26" ht="63" x14ac:dyDescent="0.25">
      <c r="A1149" s="35"/>
      <c r="B1149" s="135" t="s">
        <v>61</v>
      </c>
      <c r="C1149" s="55" t="s">
        <v>975</v>
      </c>
      <c r="D1149" s="57">
        <v>51</v>
      </c>
      <c r="E1149" s="57" t="s">
        <v>332</v>
      </c>
      <c r="F1149" s="57" t="s">
        <v>976</v>
      </c>
      <c r="G1149" s="125">
        <v>44648</v>
      </c>
      <c r="H1149" s="65">
        <v>5163</v>
      </c>
      <c r="I1149" s="30">
        <v>2</v>
      </c>
      <c r="J1149" s="32"/>
      <c r="K1149" s="39"/>
      <c r="L1149" s="40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</row>
    <row r="1150" spans="1:26" ht="31.5" x14ac:dyDescent="0.25">
      <c r="A1150" s="35"/>
      <c r="B1150" s="135" t="s">
        <v>62</v>
      </c>
      <c r="C1150" s="55" t="s">
        <v>977</v>
      </c>
      <c r="D1150" s="65"/>
      <c r="E1150" s="65"/>
      <c r="F1150" s="65"/>
      <c r="G1150" s="65"/>
      <c r="H1150" s="65"/>
      <c r="I1150" s="30"/>
      <c r="J1150" s="32"/>
      <c r="K1150" s="39"/>
      <c r="L1150" s="40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</row>
    <row r="1151" spans="1:26" x14ac:dyDescent="0.25">
      <c r="A1151" s="35"/>
      <c r="B1151" s="135" t="s">
        <v>63</v>
      </c>
      <c r="C1151" s="35"/>
      <c r="D1151" s="65"/>
      <c r="E1151" s="65"/>
      <c r="F1151" s="65"/>
      <c r="G1151" s="66"/>
      <c r="H1151" s="65"/>
      <c r="I1151" s="30"/>
      <c r="J1151" s="32"/>
      <c r="K1151" s="39"/>
      <c r="L1151" s="40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</row>
    <row r="1152" spans="1:26" ht="47.25" x14ac:dyDescent="0.25">
      <c r="A1152" s="35"/>
      <c r="B1152" s="135" t="s">
        <v>64</v>
      </c>
      <c r="C1152" s="55" t="s">
        <v>978</v>
      </c>
      <c r="D1152" s="56">
        <v>51</v>
      </c>
      <c r="E1152" s="57" t="s">
        <v>979</v>
      </c>
      <c r="F1152" s="57" t="s">
        <v>980</v>
      </c>
      <c r="G1152" s="57" t="s">
        <v>981</v>
      </c>
      <c r="H1152" s="67">
        <v>10400</v>
      </c>
      <c r="I1152" s="218">
        <v>5</v>
      </c>
      <c r="J1152" s="32"/>
      <c r="K1152" s="39"/>
      <c r="L1152" s="40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</row>
    <row r="1153" spans="1:26" x14ac:dyDescent="0.25">
      <c r="A1153" s="35"/>
      <c r="B1153" s="135" t="s">
        <v>65</v>
      </c>
      <c r="C1153" s="35"/>
      <c r="D1153" s="67"/>
      <c r="E1153" s="67"/>
      <c r="F1153" s="67">
        <v>2</v>
      </c>
      <c r="G1153" s="67"/>
      <c r="H1153" s="67"/>
      <c r="J1153" s="32"/>
      <c r="K1153" s="39"/>
      <c r="L1153" s="40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</row>
    <row r="1154" spans="1:26" x14ac:dyDescent="0.25">
      <c r="A1154" s="35"/>
      <c r="B1154" s="135" t="s">
        <v>66</v>
      </c>
      <c r="C1154" s="35"/>
      <c r="D1154" s="67"/>
      <c r="E1154" s="67"/>
      <c r="F1154" s="67">
        <v>3</v>
      </c>
      <c r="G1154" s="67"/>
      <c r="H1154" s="67"/>
      <c r="J1154" s="32"/>
      <c r="K1154" s="39"/>
      <c r="L1154" s="40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</row>
    <row r="1155" spans="1:26" x14ac:dyDescent="0.25">
      <c r="A1155" s="35"/>
      <c r="B1155" s="135" t="s">
        <v>67</v>
      </c>
      <c r="C1155" s="35"/>
      <c r="D1155" s="67"/>
      <c r="E1155" s="67"/>
      <c r="F1155" s="67">
        <v>4</v>
      </c>
      <c r="G1155" s="67"/>
      <c r="H1155" s="67"/>
      <c r="J1155" s="32"/>
      <c r="K1155" s="39"/>
      <c r="L1155" s="40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</row>
    <row r="1156" spans="1:26" x14ac:dyDescent="0.25">
      <c r="A1156" s="35"/>
      <c r="B1156" s="135" t="s">
        <v>68</v>
      </c>
      <c r="C1156" s="35"/>
      <c r="D1156" s="62"/>
      <c r="E1156" s="62"/>
      <c r="F1156" s="62">
        <v>5</v>
      </c>
      <c r="G1156" s="67"/>
      <c r="H1156" s="67"/>
      <c r="J1156" s="32"/>
      <c r="K1156" s="39"/>
      <c r="L1156" s="40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</row>
    <row r="1157" spans="1:26" x14ac:dyDescent="0.25">
      <c r="A1157" s="35"/>
      <c r="B1157" s="138">
        <v>0.79166666666666663</v>
      </c>
      <c r="C1157" s="35"/>
      <c r="D1157" s="62"/>
      <c r="E1157" s="67"/>
      <c r="F1157" s="62">
        <v>6</v>
      </c>
      <c r="G1157" s="67"/>
      <c r="H1157" s="67"/>
      <c r="J1157" s="32"/>
      <c r="K1157" s="39"/>
      <c r="L1157" s="40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</row>
    <row r="1158" spans="1:26" x14ac:dyDescent="0.25">
      <c r="A1158" s="35"/>
      <c r="B1158" s="138">
        <v>0.83333333333333337</v>
      </c>
      <c r="C1158" s="35"/>
      <c r="D1158" s="62"/>
      <c r="E1158" s="62"/>
      <c r="F1158" s="62">
        <v>7</v>
      </c>
      <c r="G1158" s="67"/>
      <c r="H1158" s="67"/>
      <c r="J1158" s="32"/>
      <c r="K1158" s="39"/>
      <c r="L1158" s="40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</row>
    <row r="1159" spans="1:26" x14ac:dyDescent="0.25">
      <c r="A1159" s="35"/>
      <c r="B1159" s="138">
        <v>0.875</v>
      </c>
      <c r="C1159" s="35"/>
      <c r="D1159" s="86"/>
      <c r="E1159" s="86"/>
      <c r="F1159" s="86"/>
      <c r="G1159" s="66"/>
      <c r="H1159" s="65"/>
      <c r="I1159" s="30"/>
      <c r="J1159" s="32"/>
      <c r="K1159" s="39"/>
      <c r="L1159" s="40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</row>
    <row r="1160" spans="1:26" x14ac:dyDescent="0.25">
      <c r="A1160" s="35"/>
      <c r="B1160" s="138">
        <v>0.91666666666666663</v>
      </c>
      <c r="C1160" s="35"/>
      <c r="D1160" s="86"/>
      <c r="E1160" s="86"/>
      <c r="F1160" s="86"/>
      <c r="G1160" s="66"/>
      <c r="H1160" s="65"/>
      <c r="I1160" s="30"/>
      <c r="J1160" s="32"/>
      <c r="K1160" s="39"/>
      <c r="L1160" s="40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</row>
    <row r="1161" spans="1:26" x14ac:dyDescent="0.25">
      <c r="A1161" s="35"/>
      <c r="B1161" s="139">
        <v>0.94791666666666663</v>
      </c>
      <c r="C1161" s="35"/>
      <c r="D1161" s="86"/>
      <c r="E1161" s="86"/>
      <c r="F1161" s="86"/>
      <c r="G1161" s="66"/>
      <c r="H1161" s="65"/>
      <c r="I1161" s="30"/>
      <c r="J1161" s="32"/>
      <c r="K1161" s="39"/>
      <c r="L1161" s="40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</row>
    <row r="1162" spans="1:26" x14ac:dyDescent="0.25">
      <c r="A1162" s="80"/>
      <c r="B1162" s="131"/>
      <c r="C1162" s="132"/>
      <c r="D1162" s="132"/>
      <c r="E1162" s="132"/>
      <c r="F1162" s="132"/>
      <c r="G1162" s="133"/>
      <c r="H1162" s="51">
        <f t="shared" ref="H1162:I1162" si="58">SUM(H1112:H1161)</f>
        <v>320441</v>
      </c>
      <c r="I1162" s="51">
        <f t="shared" si="58"/>
        <v>143</v>
      </c>
      <c r="J1162" s="52"/>
      <c r="K1162" s="51">
        <f>SUM(K1144:K1161)</f>
        <v>0</v>
      </c>
      <c r="L1162" s="40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</row>
    <row r="1163" spans="1:26" ht="63" x14ac:dyDescent="0.25">
      <c r="A1163" s="33">
        <f>A1144+3</f>
        <v>44648</v>
      </c>
      <c r="B1163" s="134" t="s">
        <v>54</v>
      </c>
      <c r="C1163" s="55" t="s">
        <v>982</v>
      </c>
      <c r="D1163" s="68">
        <v>54</v>
      </c>
      <c r="E1163" s="68" t="s">
        <v>257</v>
      </c>
      <c r="F1163" s="68" t="s">
        <v>983</v>
      </c>
      <c r="G1163" s="69">
        <v>44648</v>
      </c>
      <c r="H1163" s="67">
        <v>1689</v>
      </c>
      <c r="I1163" s="218">
        <v>1</v>
      </c>
      <c r="J1163" s="32"/>
      <c r="K1163" s="39"/>
      <c r="L1163" s="40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</row>
    <row r="1164" spans="1:26" ht="78.75" x14ac:dyDescent="0.25">
      <c r="A1164" s="41" t="s">
        <v>72</v>
      </c>
      <c r="B1164" s="135" t="s">
        <v>57</v>
      </c>
      <c r="C1164" s="55" t="s">
        <v>984</v>
      </c>
      <c r="D1164" s="68">
        <v>60</v>
      </c>
      <c r="E1164" s="68" t="s">
        <v>248</v>
      </c>
      <c r="F1164" s="68" t="s">
        <v>985</v>
      </c>
      <c r="G1164" s="69">
        <v>44648</v>
      </c>
      <c r="H1164" s="67">
        <v>3078</v>
      </c>
      <c r="I1164" s="218">
        <v>1</v>
      </c>
      <c r="J1164" s="32"/>
      <c r="K1164" s="39"/>
      <c r="L1164" s="40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</row>
    <row r="1165" spans="1:26" ht="110.25" x14ac:dyDescent="0.25">
      <c r="A1165" s="35"/>
      <c r="B1165" s="135" t="s">
        <v>58</v>
      </c>
      <c r="C1165" s="55" t="s">
        <v>986</v>
      </c>
      <c r="D1165" s="60">
        <v>60</v>
      </c>
      <c r="E1165" s="60" t="s">
        <v>151</v>
      </c>
      <c r="F1165" s="60" t="s">
        <v>987</v>
      </c>
      <c r="G1165" s="61">
        <v>44648</v>
      </c>
      <c r="H1165" s="62">
        <v>4056</v>
      </c>
      <c r="I1165" s="218">
        <v>1</v>
      </c>
      <c r="J1165" s="32"/>
      <c r="K1165" s="39"/>
      <c r="L1165" s="40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</row>
    <row r="1166" spans="1:26" ht="110.25" x14ac:dyDescent="0.25">
      <c r="A1166" s="35"/>
      <c r="B1166" s="135" t="s">
        <v>59</v>
      </c>
      <c r="C1166" s="55" t="s">
        <v>988</v>
      </c>
      <c r="D1166" s="60">
        <v>72</v>
      </c>
      <c r="E1166" s="60" t="s">
        <v>248</v>
      </c>
      <c r="F1166" s="60" t="s">
        <v>989</v>
      </c>
      <c r="G1166" s="61">
        <v>44649</v>
      </c>
      <c r="H1166" s="62">
        <v>7295</v>
      </c>
      <c r="I1166" s="218">
        <v>2</v>
      </c>
      <c r="J1166" s="32"/>
      <c r="K1166" s="39"/>
      <c r="L1166" s="40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</row>
    <row r="1167" spans="1:26" ht="31.5" x14ac:dyDescent="0.25">
      <c r="A1167" s="35"/>
      <c r="B1167" s="135" t="s">
        <v>60</v>
      </c>
      <c r="C1167" s="55" t="s">
        <v>990</v>
      </c>
      <c r="D1167" s="60"/>
      <c r="E1167" s="60"/>
      <c r="F1167" s="60"/>
      <c r="G1167" s="60"/>
      <c r="H1167" s="62"/>
      <c r="J1167" s="32"/>
      <c r="K1167" s="39"/>
      <c r="L1167" s="40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</row>
    <row r="1168" spans="1:26" ht="78.75" x14ac:dyDescent="0.25">
      <c r="A1168" s="35"/>
      <c r="B1168" s="135" t="s">
        <v>61</v>
      </c>
      <c r="C1168" s="55" t="s">
        <v>991</v>
      </c>
      <c r="D1168" s="60">
        <v>72</v>
      </c>
      <c r="E1168" s="60" t="s">
        <v>204</v>
      </c>
      <c r="F1168" s="60" t="s">
        <v>992</v>
      </c>
      <c r="G1168" s="61">
        <v>44648</v>
      </c>
      <c r="H1168" s="62">
        <v>2255</v>
      </c>
      <c r="I1168" s="218">
        <v>1</v>
      </c>
      <c r="J1168" s="32"/>
      <c r="K1168" s="39"/>
      <c r="L1168" s="40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</row>
    <row r="1169" spans="1:26" x14ac:dyDescent="0.25">
      <c r="A1169" s="35"/>
      <c r="B1169" s="135" t="s">
        <v>62</v>
      </c>
      <c r="C1169" s="35"/>
      <c r="D1169" s="62"/>
      <c r="E1169" s="62"/>
      <c r="F1169" s="62"/>
      <c r="G1169" s="62"/>
      <c r="H1169" s="62"/>
      <c r="J1169" s="32"/>
      <c r="K1169" s="39"/>
      <c r="L1169" s="40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</row>
    <row r="1170" spans="1:26" x14ac:dyDescent="0.25">
      <c r="A1170" s="35"/>
      <c r="B1170" s="135" t="s">
        <v>63</v>
      </c>
      <c r="C1170" s="35"/>
      <c r="D1170" s="86"/>
      <c r="E1170" s="86"/>
      <c r="F1170" s="86"/>
      <c r="G1170" s="86"/>
      <c r="H1170" s="86"/>
      <c r="I1170" s="30"/>
      <c r="J1170" s="32"/>
      <c r="K1170" s="39"/>
      <c r="L1170" s="40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</row>
    <row r="1171" spans="1:26" ht="94.5" x14ac:dyDescent="0.25">
      <c r="A1171" s="35"/>
      <c r="B1171" s="135" t="s">
        <v>64</v>
      </c>
      <c r="C1171" s="55" t="s">
        <v>993</v>
      </c>
      <c r="D1171" s="60">
        <v>72</v>
      </c>
      <c r="E1171" s="60" t="s">
        <v>85</v>
      </c>
      <c r="F1171" s="60" t="s">
        <v>994</v>
      </c>
      <c r="G1171" s="61">
        <v>44649</v>
      </c>
      <c r="H1171" s="62">
        <v>12397</v>
      </c>
      <c r="I1171" s="218">
        <v>6</v>
      </c>
      <c r="J1171" s="32"/>
      <c r="K1171" s="39"/>
      <c r="L1171" s="40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</row>
    <row r="1172" spans="1:26" ht="94.5" x14ac:dyDescent="0.25">
      <c r="A1172" s="35"/>
      <c r="B1172" s="135" t="s">
        <v>65</v>
      </c>
      <c r="C1172" s="55" t="s">
        <v>995</v>
      </c>
      <c r="D1172" s="60"/>
      <c r="E1172" s="60"/>
      <c r="F1172" s="60">
        <v>2</v>
      </c>
      <c r="G1172" s="60"/>
      <c r="H1172" s="62"/>
      <c r="J1172" s="32"/>
      <c r="K1172" s="39"/>
      <c r="L1172" s="40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</row>
    <row r="1173" spans="1:26" x14ac:dyDescent="0.25">
      <c r="A1173" s="35"/>
      <c r="B1173" s="135" t="s">
        <v>66</v>
      </c>
      <c r="C1173" s="35"/>
      <c r="D1173" s="86"/>
      <c r="E1173" s="62"/>
      <c r="F1173" s="62">
        <v>3</v>
      </c>
      <c r="G1173" s="62"/>
      <c r="H1173" s="62"/>
      <c r="J1173" s="32"/>
      <c r="K1173" s="39"/>
      <c r="L1173" s="40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</row>
    <row r="1174" spans="1:26" x14ac:dyDescent="0.25">
      <c r="A1174" s="35"/>
      <c r="B1174" s="135" t="s">
        <v>67</v>
      </c>
      <c r="C1174" s="35"/>
      <c r="D1174" s="86"/>
      <c r="E1174" s="62"/>
      <c r="F1174" s="62">
        <v>4</v>
      </c>
      <c r="G1174" s="62"/>
      <c r="H1174" s="62"/>
      <c r="J1174" s="32"/>
      <c r="K1174" s="39"/>
      <c r="L1174" s="40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</row>
    <row r="1175" spans="1:26" x14ac:dyDescent="0.25">
      <c r="A1175" s="35"/>
      <c r="B1175" s="135" t="s">
        <v>68</v>
      </c>
      <c r="C1175" s="35"/>
      <c r="D1175" s="86"/>
      <c r="E1175" s="62"/>
      <c r="F1175" s="62">
        <v>5</v>
      </c>
      <c r="G1175" s="62"/>
      <c r="H1175" s="62"/>
      <c r="J1175" s="32"/>
      <c r="K1175" s="39"/>
      <c r="L1175" s="40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</row>
    <row r="1176" spans="1:26" x14ac:dyDescent="0.25">
      <c r="A1176" s="35"/>
      <c r="B1176" s="138">
        <v>0.79166666666666663</v>
      </c>
      <c r="C1176" s="35"/>
      <c r="D1176" s="86"/>
      <c r="E1176" s="86"/>
      <c r="F1176" s="86">
        <v>6</v>
      </c>
      <c r="G1176" s="181"/>
      <c r="H1176" s="86"/>
      <c r="I1176" s="30"/>
      <c r="J1176" s="32"/>
      <c r="K1176" s="39"/>
      <c r="L1176" s="40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</row>
    <row r="1177" spans="1:26" ht="63" x14ac:dyDescent="0.25">
      <c r="A1177" s="35"/>
      <c r="B1177" s="138">
        <v>0.83333333333333337</v>
      </c>
      <c r="C1177" s="55" t="s">
        <v>996</v>
      </c>
      <c r="D1177" s="60">
        <v>60</v>
      </c>
      <c r="E1177" s="60" t="s">
        <v>997</v>
      </c>
      <c r="F1177" s="60" t="s">
        <v>998</v>
      </c>
      <c r="G1177" s="61">
        <v>44648</v>
      </c>
      <c r="H1177" s="62">
        <v>3651</v>
      </c>
      <c r="I1177" s="218">
        <v>1</v>
      </c>
      <c r="J1177" s="32"/>
      <c r="K1177" s="39"/>
      <c r="L1177" s="40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</row>
    <row r="1178" spans="1:26" ht="47.25" x14ac:dyDescent="0.25">
      <c r="A1178" s="35"/>
      <c r="B1178" s="138">
        <v>0.875</v>
      </c>
      <c r="C1178" s="55" t="s">
        <v>999</v>
      </c>
      <c r="D1178" s="60" t="s">
        <v>1000</v>
      </c>
      <c r="E1178" s="60"/>
      <c r="F1178" s="60"/>
      <c r="G1178" s="60"/>
      <c r="H1178" s="62"/>
      <c r="J1178" s="32"/>
      <c r="K1178" s="39"/>
      <c r="L1178" s="40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</row>
    <row r="1179" spans="1:26" x14ac:dyDescent="0.25">
      <c r="A1179" s="35"/>
      <c r="B1179" s="138">
        <v>0.91666666666666663</v>
      </c>
      <c r="C1179" s="35"/>
      <c r="D1179" s="86"/>
      <c r="E1179" s="86"/>
      <c r="F1179" s="86"/>
      <c r="G1179" s="181"/>
      <c r="H1179" s="86"/>
      <c r="I1179" s="30"/>
      <c r="J1179" s="32"/>
      <c r="K1179" s="39"/>
      <c r="L1179" s="40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</row>
    <row r="1180" spans="1:26" x14ac:dyDescent="0.25">
      <c r="A1180" s="35"/>
      <c r="B1180" s="139">
        <v>0.94791666666666663</v>
      </c>
      <c r="C1180" s="35"/>
      <c r="D1180" s="86"/>
      <c r="E1180" s="86"/>
      <c r="F1180" s="86"/>
      <c r="G1180" s="181"/>
      <c r="H1180" s="86"/>
      <c r="I1180" s="30"/>
      <c r="J1180" s="32"/>
      <c r="K1180" s="39"/>
      <c r="L1180" s="40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</row>
    <row r="1181" spans="1:26" x14ac:dyDescent="0.25">
      <c r="A1181" s="80"/>
      <c r="B1181" s="132"/>
      <c r="C1181" s="132"/>
      <c r="D1181" s="132"/>
      <c r="E1181" s="132"/>
      <c r="F1181" s="132"/>
      <c r="G1181" s="133"/>
      <c r="H1181" s="51">
        <f t="shared" ref="H1181:I1181" si="59">SUM(H1163:H1180)</f>
        <v>34421</v>
      </c>
      <c r="I1181" s="51">
        <f t="shared" si="59"/>
        <v>13</v>
      </c>
      <c r="J1181" s="52"/>
      <c r="K1181" s="51">
        <f>SUM(K1163:K1180)</f>
        <v>0</v>
      </c>
      <c r="L1181" s="40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</row>
    <row r="1182" spans="1:26" ht="94.5" x14ac:dyDescent="0.25">
      <c r="A1182" s="33">
        <f>A1163+1</f>
        <v>44649</v>
      </c>
      <c r="B1182" s="134" t="s">
        <v>54</v>
      </c>
      <c r="C1182" s="55" t="s">
        <v>1001</v>
      </c>
      <c r="D1182" s="68">
        <v>72</v>
      </c>
      <c r="E1182" s="68" t="s">
        <v>70</v>
      </c>
      <c r="F1182" s="68" t="s">
        <v>1002</v>
      </c>
      <c r="G1182" s="69">
        <v>44648</v>
      </c>
      <c r="H1182" s="67">
        <v>6493</v>
      </c>
      <c r="I1182" s="218">
        <v>2</v>
      </c>
      <c r="J1182" s="32"/>
      <c r="K1182" s="39"/>
      <c r="L1182" s="40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</row>
    <row r="1183" spans="1:26" ht="63" x14ac:dyDescent="0.25">
      <c r="A1183" s="41" t="s">
        <v>102</v>
      </c>
      <c r="B1183" s="135" t="s">
        <v>57</v>
      </c>
      <c r="C1183" s="55" t="s">
        <v>1003</v>
      </c>
      <c r="D1183" s="192" t="s">
        <v>1004</v>
      </c>
      <c r="E1183" s="57"/>
      <c r="F1183" s="57"/>
      <c r="G1183" s="57"/>
      <c r="H1183" s="67"/>
      <c r="J1183" s="32"/>
      <c r="K1183" s="39"/>
      <c r="L1183" s="40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</row>
    <row r="1184" spans="1:26" ht="78.75" x14ac:dyDescent="0.25">
      <c r="A1184" s="35"/>
      <c r="B1184" s="135" t="s">
        <v>58</v>
      </c>
      <c r="C1184" s="55" t="s">
        <v>1005</v>
      </c>
      <c r="D1184" s="68">
        <v>72</v>
      </c>
      <c r="E1184" s="68" t="s">
        <v>25</v>
      </c>
      <c r="F1184" s="68" t="s">
        <v>1006</v>
      </c>
      <c r="G1184" s="69">
        <v>44649</v>
      </c>
      <c r="H1184" s="67">
        <v>3792</v>
      </c>
      <c r="I1184" s="30">
        <v>1</v>
      </c>
      <c r="J1184" s="32"/>
      <c r="K1184" s="39"/>
      <c r="L1184" s="40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</row>
    <row r="1185" spans="1:26" ht="63" x14ac:dyDescent="0.25">
      <c r="A1185" s="35"/>
      <c r="B1185" s="135" t="s">
        <v>59</v>
      </c>
      <c r="C1185" s="35"/>
      <c r="D1185" s="192" t="s">
        <v>1004</v>
      </c>
      <c r="E1185" s="57"/>
      <c r="F1185" s="57"/>
      <c r="G1185" s="57"/>
      <c r="H1185" s="57"/>
      <c r="I1185" s="30"/>
      <c r="J1185" s="32"/>
      <c r="K1185" s="39"/>
      <c r="L1185" s="40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</row>
    <row r="1186" spans="1:26" ht="47.25" x14ac:dyDescent="0.25">
      <c r="A1186" s="35"/>
      <c r="B1186" s="135" t="s">
        <v>60</v>
      </c>
      <c r="C1186" s="97" t="s">
        <v>1007</v>
      </c>
      <c r="D1186" s="68">
        <v>36</v>
      </c>
      <c r="E1186" s="68" t="s">
        <v>1008</v>
      </c>
      <c r="F1186" s="68" t="s">
        <v>1009</v>
      </c>
      <c r="G1186" s="68" t="s">
        <v>1010</v>
      </c>
      <c r="H1186" s="67">
        <v>3000</v>
      </c>
      <c r="I1186" s="218">
        <v>2</v>
      </c>
      <c r="J1186" s="32"/>
      <c r="K1186" s="39"/>
      <c r="L1186" s="40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</row>
    <row r="1187" spans="1:26" ht="63" x14ac:dyDescent="0.25">
      <c r="A1187" s="35"/>
      <c r="B1187" s="135" t="s">
        <v>61</v>
      </c>
      <c r="C1187" s="55" t="s">
        <v>1011</v>
      </c>
      <c r="D1187" s="192" t="s">
        <v>1004</v>
      </c>
      <c r="E1187" s="67"/>
      <c r="F1187" s="67"/>
      <c r="G1187" s="67"/>
      <c r="H1187" s="67"/>
      <c r="J1187" s="32"/>
      <c r="K1187" s="39"/>
      <c r="L1187" s="40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</row>
    <row r="1188" spans="1:26" x14ac:dyDescent="0.25">
      <c r="A1188" s="35"/>
      <c r="B1188" s="135" t="s">
        <v>62</v>
      </c>
      <c r="C1188" s="35"/>
      <c r="D1188" s="67"/>
      <c r="E1188" s="67"/>
      <c r="F1188" s="67"/>
      <c r="G1188" s="67"/>
      <c r="H1188" s="67"/>
      <c r="I1188" s="30"/>
      <c r="J1188" s="32"/>
      <c r="K1188" s="39"/>
      <c r="L1188" s="40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</row>
    <row r="1189" spans="1:26" x14ac:dyDescent="0.25">
      <c r="A1189" s="35"/>
      <c r="B1189" s="135" t="s">
        <v>63</v>
      </c>
      <c r="C1189" s="35"/>
      <c r="D1189" s="67"/>
      <c r="E1189" s="67"/>
      <c r="F1189" s="67"/>
      <c r="G1189" s="67"/>
      <c r="H1189" s="67"/>
      <c r="I1189" s="30"/>
      <c r="J1189" s="32"/>
      <c r="K1189" s="39"/>
      <c r="L1189" s="40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</row>
    <row r="1190" spans="1:26" ht="47.25" x14ac:dyDescent="0.25">
      <c r="A1190" s="35"/>
      <c r="B1190" s="135" t="s">
        <v>64</v>
      </c>
      <c r="C1190" s="55" t="s">
        <v>1012</v>
      </c>
      <c r="D1190" s="56">
        <v>54</v>
      </c>
      <c r="E1190" s="57" t="s">
        <v>1013</v>
      </c>
      <c r="F1190" s="57" t="s">
        <v>1014</v>
      </c>
      <c r="G1190" s="57" t="s">
        <v>1015</v>
      </c>
      <c r="H1190" s="65">
        <v>5600</v>
      </c>
      <c r="I1190" s="218">
        <v>4</v>
      </c>
      <c r="J1190" s="32"/>
      <c r="K1190" s="39"/>
      <c r="L1190" s="40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</row>
    <row r="1191" spans="1:26" ht="63" x14ac:dyDescent="0.25">
      <c r="A1191" s="35"/>
      <c r="B1191" s="135" t="s">
        <v>65</v>
      </c>
      <c r="C1191" s="55" t="s">
        <v>1016</v>
      </c>
      <c r="D1191" s="57"/>
      <c r="E1191" s="57"/>
      <c r="F1191" s="57">
        <v>2</v>
      </c>
      <c r="G1191" s="57"/>
      <c r="H1191" s="65"/>
      <c r="J1191" s="32"/>
      <c r="K1191" s="39"/>
      <c r="L1191" s="40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</row>
    <row r="1192" spans="1:26" x14ac:dyDescent="0.25">
      <c r="A1192" s="35"/>
      <c r="B1192" s="135" t="s">
        <v>66</v>
      </c>
      <c r="C1192" s="35"/>
      <c r="D1192" s="65"/>
      <c r="E1192" s="65"/>
      <c r="F1192" s="65">
        <v>3</v>
      </c>
      <c r="G1192" s="65"/>
      <c r="H1192" s="65"/>
      <c r="J1192" s="32"/>
      <c r="K1192" s="39"/>
      <c r="L1192" s="40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</row>
    <row r="1193" spans="1:26" x14ac:dyDescent="0.25">
      <c r="A1193" s="35"/>
      <c r="B1193" s="135" t="s">
        <v>67</v>
      </c>
      <c r="C1193" s="35"/>
      <c r="D1193" s="65"/>
      <c r="E1193" s="65"/>
      <c r="F1193" s="65">
        <v>4</v>
      </c>
      <c r="G1193" s="65"/>
      <c r="H1193" s="65"/>
      <c r="J1193" s="32"/>
      <c r="K1193" s="39"/>
      <c r="L1193" s="40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</row>
    <row r="1194" spans="1:26" x14ac:dyDescent="0.25">
      <c r="A1194" s="35"/>
      <c r="B1194" s="135" t="s">
        <v>68</v>
      </c>
      <c r="C1194" s="35"/>
      <c r="D1194" s="67"/>
      <c r="E1194" s="67"/>
      <c r="F1194" s="67"/>
      <c r="G1194" s="67"/>
      <c r="H1194" s="67"/>
      <c r="J1194" s="32"/>
      <c r="K1194" s="39"/>
      <c r="L1194" s="40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</row>
    <row r="1195" spans="1:26" x14ac:dyDescent="0.25">
      <c r="A1195" s="35"/>
      <c r="B1195" s="138">
        <v>0.79166666666666663</v>
      </c>
      <c r="C1195" s="35"/>
      <c r="D1195" s="65"/>
      <c r="E1195" s="65"/>
      <c r="F1195" s="65"/>
      <c r="G1195" s="66"/>
      <c r="H1195" s="65"/>
      <c r="I1195" s="30"/>
      <c r="J1195" s="32"/>
      <c r="K1195" s="39"/>
      <c r="L1195" s="40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</row>
    <row r="1196" spans="1:26" x14ac:dyDescent="0.25">
      <c r="A1196" s="35"/>
      <c r="B1196" s="138">
        <v>0.83333333333333337</v>
      </c>
      <c r="C1196" s="35"/>
      <c r="D1196" s="65"/>
      <c r="E1196" s="65"/>
      <c r="F1196" s="65"/>
      <c r="G1196" s="66"/>
      <c r="H1196" s="65"/>
      <c r="I1196" s="30"/>
      <c r="J1196" s="32"/>
      <c r="K1196" s="39"/>
      <c r="L1196" s="40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</row>
    <row r="1197" spans="1:26" x14ac:dyDescent="0.25">
      <c r="A1197" s="35"/>
      <c r="B1197" s="138">
        <v>0.875</v>
      </c>
      <c r="C1197" s="35"/>
      <c r="D1197" s="65"/>
      <c r="E1197" s="65"/>
      <c r="F1197" s="65"/>
      <c r="G1197" s="66"/>
      <c r="H1197" s="65"/>
      <c r="I1197" s="30"/>
      <c r="J1197" s="32"/>
      <c r="K1197" s="39"/>
      <c r="L1197" s="40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</row>
    <row r="1198" spans="1:26" x14ac:dyDescent="0.25">
      <c r="A1198" s="35"/>
      <c r="B1198" s="138">
        <v>0.91666666666666663</v>
      </c>
      <c r="C1198" s="35"/>
      <c r="D1198" s="65"/>
      <c r="E1198" s="65"/>
      <c r="F1198" s="65"/>
      <c r="G1198" s="66"/>
      <c r="H1198" s="65"/>
      <c r="I1198" s="30"/>
      <c r="J1198" s="32"/>
      <c r="K1198" s="39"/>
      <c r="L1198" s="40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</row>
    <row r="1199" spans="1:26" x14ac:dyDescent="0.25">
      <c r="A1199" s="35"/>
      <c r="B1199" s="139">
        <v>0.94791666666666663</v>
      </c>
      <c r="C1199" s="35"/>
      <c r="D1199" s="65"/>
      <c r="E1199" s="65"/>
      <c r="F1199" s="65"/>
      <c r="G1199" s="66"/>
      <c r="H1199" s="65"/>
      <c r="I1199" s="30"/>
      <c r="J1199" s="32"/>
      <c r="K1199" s="39"/>
      <c r="L1199" s="40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</row>
    <row r="1200" spans="1:26" x14ac:dyDescent="0.25">
      <c r="A1200" s="80"/>
      <c r="B1200" s="132"/>
      <c r="C1200" s="132"/>
      <c r="D1200" s="132"/>
      <c r="E1200" s="132"/>
      <c r="F1200" s="132"/>
      <c r="G1200" s="133"/>
      <c r="H1200" s="51">
        <f t="shared" ref="H1200:I1200" si="60">SUM(H1188:H1199)</f>
        <v>5600</v>
      </c>
      <c r="I1200" s="51">
        <f t="shared" si="60"/>
        <v>4</v>
      </c>
      <c r="J1200" s="52"/>
      <c r="K1200" s="51">
        <f>SUM(K1182:K1199)</f>
        <v>0</v>
      </c>
      <c r="L1200" s="40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</row>
    <row r="1201" spans="1:26" x14ac:dyDescent="0.25">
      <c r="A1201" s="33">
        <f>A1182+1</f>
        <v>44650</v>
      </c>
      <c r="B1201" s="134" t="s">
        <v>54</v>
      </c>
      <c r="C1201" s="35"/>
      <c r="D1201" s="193" t="s">
        <v>1017</v>
      </c>
      <c r="E1201" s="193"/>
      <c r="F1201" s="193"/>
      <c r="G1201" s="193"/>
      <c r="H1201" s="193"/>
      <c r="I1201" s="30"/>
      <c r="J1201" s="32"/>
      <c r="K1201" s="39"/>
      <c r="L1201" s="40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</row>
    <row r="1202" spans="1:26" x14ac:dyDescent="0.25">
      <c r="A1202" s="41" t="s">
        <v>117</v>
      </c>
      <c r="B1202" s="135" t="s">
        <v>57</v>
      </c>
      <c r="C1202" s="35"/>
      <c r="D1202" s="193" t="s">
        <v>1018</v>
      </c>
      <c r="E1202" s="193"/>
      <c r="F1202" s="193"/>
      <c r="G1202" s="193"/>
      <c r="H1202" s="193"/>
      <c r="I1202" s="30"/>
      <c r="J1202" s="32"/>
      <c r="K1202" s="39"/>
      <c r="L1202" s="40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</row>
    <row r="1203" spans="1:26" x14ac:dyDescent="0.25">
      <c r="A1203" s="35"/>
      <c r="B1203" s="135" t="s">
        <v>58</v>
      </c>
      <c r="C1203" s="35"/>
      <c r="D1203" s="193"/>
      <c r="E1203" s="193"/>
      <c r="F1203" s="193"/>
      <c r="G1203" s="193"/>
      <c r="H1203" s="193"/>
      <c r="I1203" s="30"/>
      <c r="J1203" s="32"/>
      <c r="K1203" s="39"/>
      <c r="L1203" s="40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</row>
    <row r="1204" spans="1:26" x14ac:dyDescent="0.25">
      <c r="A1204" s="35"/>
      <c r="B1204" s="135" t="s">
        <v>59</v>
      </c>
      <c r="C1204" s="35"/>
      <c r="D1204" s="193"/>
      <c r="E1204" s="193"/>
      <c r="F1204" s="193"/>
      <c r="G1204" s="193"/>
      <c r="H1204" s="193"/>
      <c r="I1204" s="30"/>
      <c r="J1204" s="32"/>
      <c r="K1204" s="39"/>
      <c r="L1204" s="40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</row>
    <row r="1205" spans="1:26" x14ac:dyDescent="0.25">
      <c r="A1205" s="35"/>
      <c r="B1205" s="135" t="s">
        <v>60</v>
      </c>
      <c r="C1205" s="35"/>
      <c r="D1205" s="193"/>
      <c r="E1205" s="193"/>
      <c r="F1205" s="193"/>
      <c r="G1205" s="193"/>
      <c r="H1205" s="193"/>
      <c r="I1205" s="30"/>
      <c r="J1205" s="32"/>
      <c r="K1205" s="39"/>
      <c r="L1205" s="40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</row>
    <row r="1206" spans="1:26" x14ac:dyDescent="0.25">
      <c r="A1206" s="35"/>
      <c r="B1206" s="135" t="s">
        <v>61</v>
      </c>
      <c r="C1206" s="35"/>
      <c r="D1206" s="193" t="s">
        <v>1019</v>
      </c>
      <c r="E1206" s="193"/>
      <c r="F1206" s="193"/>
      <c r="G1206" s="193"/>
      <c r="H1206" s="193"/>
      <c r="I1206" s="30"/>
      <c r="J1206" s="32"/>
      <c r="K1206" s="39"/>
      <c r="L1206" s="40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</row>
    <row r="1207" spans="1:26" x14ac:dyDescent="0.25">
      <c r="A1207" s="35"/>
      <c r="B1207" s="135" t="s">
        <v>62</v>
      </c>
      <c r="C1207" s="35"/>
      <c r="D1207" s="193"/>
      <c r="E1207" s="193"/>
      <c r="F1207" s="193"/>
      <c r="G1207" s="193"/>
      <c r="H1207" s="193"/>
      <c r="I1207" s="30"/>
      <c r="J1207" s="32"/>
      <c r="K1207" s="39"/>
      <c r="L1207" s="40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</row>
    <row r="1208" spans="1:26" x14ac:dyDescent="0.25">
      <c r="A1208" s="35"/>
      <c r="B1208" s="135" t="s">
        <v>63</v>
      </c>
      <c r="C1208" s="35"/>
      <c r="D1208" s="193"/>
      <c r="E1208" s="193"/>
      <c r="F1208" s="193"/>
      <c r="G1208" s="193"/>
      <c r="H1208" s="193"/>
      <c r="I1208" s="30"/>
      <c r="J1208" s="32"/>
      <c r="K1208" s="39"/>
      <c r="L1208" s="40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</row>
    <row r="1209" spans="1:26" x14ac:dyDescent="0.25">
      <c r="A1209" s="35"/>
      <c r="B1209" s="135" t="s">
        <v>64</v>
      </c>
      <c r="C1209" s="35"/>
      <c r="D1209" s="193"/>
      <c r="E1209" s="193"/>
      <c r="F1209" s="193"/>
      <c r="G1209" s="193"/>
      <c r="H1209" s="193"/>
      <c r="I1209" s="30"/>
      <c r="J1209" s="32"/>
      <c r="K1209" s="39"/>
      <c r="L1209" s="40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</row>
    <row r="1210" spans="1:26" x14ac:dyDescent="0.25">
      <c r="A1210" s="35"/>
      <c r="B1210" s="135" t="s">
        <v>65</v>
      </c>
      <c r="C1210" s="35"/>
      <c r="D1210" s="193" t="s">
        <v>1017</v>
      </c>
      <c r="E1210" s="193"/>
      <c r="F1210" s="193"/>
      <c r="G1210" s="193"/>
      <c r="H1210" s="193"/>
      <c r="I1210" s="30"/>
      <c r="J1210" s="32"/>
      <c r="K1210" s="39"/>
      <c r="L1210" s="40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</row>
    <row r="1211" spans="1:26" x14ac:dyDescent="0.25">
      <c r="A1211" s="35"/>
      <c r="B1211" s="135" t="s">
        <v>66</v>
      </c>
      <c r="C1211" s="35"/>
      <c r="D1211" s="193" t="s">
        <v>1018</v>
      </c>
      <c r="E1211" s="193"/>
      <c r="F1211" s="193"/>
      <c r="G1211" s="193"/>
      <c r="H1211" s="193"/>
      <c r="I1211" s="30"/>
      <c r="J1211" s="32"/>
      <c r="K1211" s="39"/>
      <c r="L1211" s="40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</row>
    <row r="1212" spans="1:26" x14ac:dyDescent="0.25">
      <c r="A1212" s="41"/>
      <c r="B1212" s="135" t="s">
        <v>67</v>
      </c>
      <c r="C1212" s="35"/>
      <c r="D1212" s="193"/>
      <c r="E1212" s="193"/>
      <c r="F1212" s="193"/>
      <c r="G1212" s="193"/>
      <c r="H1212" s="193"/>
      <c r="I1212" s="30"/>
      <c r="J1212" s="32"/>
      <c r="K1212" s="39"/>
      <c r="L1212" s="40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</row>
    <row r="1213" spans="1:26" x14ac:dyDescent="0.25">
      <c r="A1213" s="35"/>
      <c r="B1213" s="135" t="s">
        <v>68</v>
      </c>
      <c r="C1213" s="35"/>
      <c r="D1213" s="193"/>
      <c r="E1213" s="193"/>
      <c r="F1213" s="193"/>
      <c r="G1213" s="193"/>
      <c r="H1213" s="193"/>
      <c r="I1213" s="30"/>
      <c r="J1213" s="32"/>
      <c r="K1213" s="39"/>
      <c r="L1213" s="40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</row>
    <row r="1214" spans="1:26" x14ac:dyDescent="0.25">
      <c r="A1214" s="35"/>
      <c r="B1214" s="138">
        <v>0.79166666666666663</v>
      </c>
      <c r="C1214" s="35"/>
      <c r="D1214" s="193"/>
      <c r="E1214" s="193"/>
      <c r="F1214" s="193"/>
      <c r="G1214" s="193"/>
      <c r="H1214" s="193"/>
      <c r="I1214" s="30"/>
      <c r="J1214" s="32"/>
      <c r="K1214" s="39"/>
      <c r="L1214" s="40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</row>
    <row r="1215" spans="1:26" x14ac:dyDescent="0.25">
      <c r="A1215" s="35"/>
      <c r="B1215" s="138">
        <v>0.83333333333333337</v>
      </c>
      <c r="C1215" s="35"/>
      <c r="D1215" s="193"/>
      <c r="E1215" s="193"/>
      <c r="F1215" s="193"/>
      <c r="G1215" s="193"/>
      <c r="H1215" s="193"/>
      <c r="I1215" s="30"/>
      <c r="J1215" s="32"/>
      <c r="K1215" s="39"/>
      <c r="L1215" s="40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</row>
    <row r="1216" spans="1:26" x14ac:dyDescent="0.25">
      <c r="A1216" s="35"/>
      <c r="B1216" s="138">
        <v>0.875</v>
      </c>
      <c r="C1216" s="35"/>
      <c r="D1216" s="193"/>
      <c r="E1216" s="193"/>
      <c r="F1216" s="193"/>
      <c r="G1216" s="193"/>
      <c r="H1216" s="193"/>
      <c r="I1216" s="30"/>
      <c r="J1216" s="32"/>
      <c r="K1216" s="39"/>
      <c r="L1216" s="40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</row>
    <row r="1217" spans="1:26" x14ac:dyDescent="0.25">
      <c r="A1217" s="35"/>
      <c r="B1217" s="138">
        <v>0.91666666666666663</v>
      </c>
      <c r="C1217" s="35"/>
      <c r="D1217" s="193"/>
      <c r="E1217" s="193"/>
      <c r="F1217" s="193"/>
      <c r="G1217" s="193"/>
      <c r="H1217" s="193"/>
      <c r="I1217" s="30"/>
      <c r="J1217" s="32"/>
      <c r="K1217" s="39"/>
      <c r="L1217" s="40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</row>
    <row r="1218" spans="1:26" x14ac:dyDescent="0.25">
      <c r="A1218" s="35"/>
      <c r="B1218" s="139">
        <v>0.94791666666666663</v>
      </c>
      <c r="C1218" s="35"/>
      <c r="D1218" s="193"/>
      <c r="E1218" s="193"/>
      <c r="F1218" s="193"/>
      <c r="G1218" s="193"/>
      <c r="H1218" s="193"/>
      <c r="I1218" s="30"/>
      <c r="J1218" s="32"/>
      <c r="K1218" s="39"/>
      <c r="L1218" s="40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</row>
    <row r="1219" spans="1:26" x14ac:dyDescent="0.25">
      <c r="A1219" s="80"/>
      <c r="B1219" s="132"/>
      <c r="C1219" s="132"/>
      <c r="D1219" s="132"/>
      <c r="E1219" s="132"/>
      <c r="F1219" s="132"/>
      <c r="G1219" s="133"/>
      <c r="H1219" s="51">
        <f t="shared" ref="H1219:I1219" si="61">SUM(H1143:H1218)</f>
        <v>483638</v>
      </c>
      <c r="I1219" s="51">
        <f t="shared" si="61"/>
        <v>211</v>
      </c>
      <c r="J1219" s="52"/>
      <c r="K1219" s="51">
        <f>SUM(K1201:K1218)</f>
        <v>0</v>
      </c>
      <c r="L1219" s="40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</row>
    <row r="1220" spans="1:26" x14ac:dyDescent="0.25">
      <c r="A1220" s="33">
        <f>A1201+1</f>
        <v>44651</v>
      </c>
      <c r="B1220" s="134" t="s">
        <v>54</v>
      </c>
      <c r="C1220" s="35"/>
      <c r="D1220" s="193" t="s">
        <v>1020</v>
      </c>
      <c r="E1220" s="194"/>
      <c r="F1220" s="194"/>
      <c r="G1220" s="194"/>
      <c r="H1220" s="194"/>
      <c r="J1220" s="32"/>
      <c r="K1220" s="39"/>
      <c r="L1220" s="40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</row>
    <row r="1221" spans="1:26" x14ac:dyDescent="0.25">
      <c r="A1221" s="41" t="s">
        <v>137</v>
      </c>
      <c r="B1221" s="135" t="s">
        <v>57</v>
      </c>
      <c r="C1221" s="35"/>
      <c r="D1221" s="193"/>
      <c r="E1221" s="195"/>
      <c r="F1221" s="194"/>
      <c r="G1221" s="194"/>
      <c r="H1221" s="194"/>
      <c r="J1221" s="32"/>
      <c r="K1221" s="39"/>
      <c r="L1221" s="40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</row>
    <row r="1222" spans="1:26" x14ac:dyDescent="0.25">
      <c r="A1222" s="35"/>
      <c r="B1222" s="135" t="s">
        <v>58</v>
      </c>
      <c r="C1222" s="35"/>
      <c r="D1222" s="193"/>
      <c r="E1222" s="193"/>
      <c r="F1222" s="193"/>
      <c r="G1222" s="193"/>
      <c r="H1222" s="193"/>
      <c r="J1222" s="32"/>
      <c r="K1222" s="39"/>
      <c r="L1222" s="40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</row>
    <row r="1223" spans="1:26" x14ac:dyDescent="0.25">
      <c r="A1223" s="35"/>
      <c r="B1223" s="135" t="s">
        <v>59</v>
      </c>
      <c r="C1223" s="35"/>
      <c r="D1223" s="193" t="s">
        <v>1020</v>
      </c>
      <c r="E1223" s="193"/>
      <c r="F1223" s="193"/>
      <c r="G1223" s="193"/>
      <c r="H1223" s="193"/>
      <c r="J1223" s="32"/>
      <c r="K1223" s="39"/>
      <c r="L1223" s="40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</row>
    <row r="1224" spans="1:26" x14ac:dyDescent="0.25">
      <c r="A1224" s="35"/>
      <c r="B1224" s="135" t="s">
        <v>60</v>
      </c>
      <c r="C1224" s="35"/>
      <c r="D1224" s="193"/>
      <c r="E1224" s="193"/>
      <c r="F1224" s="193"/>
      <c r="G1224" s="193"/>
      <c r="H1224" s="193"/>
      <c r="J1224" s="32"/>
      <c r="K1224" s="39"/>
      <c r="L1224" s="40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</row>
    <row r="1225" spans="1:26" x14ac:dyDescent="0.25">
      <c r="A1225" s="35"/>
      <c r="B1225" s="135" t="s">
        <v>61</v>
      </c>
      <c r="C1225" s="35"/>
      <c r="D1225" s="193"/>
      <c r="E1225" s="193"/>
      <c r="F1225" s="193"/>
      <c r="G1225" s="193"/>
      <c r="H1225" s="193"/>
      <c r="I1225" s="30"/>
      <c r="J1225" s="32"/>
      <c r="K1225" s="39"/>
      <c r="L1225" s="40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</row>
    <row r="1226" spans="1:26" x14ac:dyDescent="0.25">
      <c r="A1226" s="35"/>
      <c r="B1226" s="135" t="s">
        <v>62</v>
      </c>
      <c r="C1226" s="35"/>
      <c r="D1226" s="193" t="s">
        <v>1020</v>
      </c>
      <c r="E1226" s="193"/>
      <c r="F1226" s="193"/>
      <c r="G1226" s="193"/>
      <c r="H1226" s="193"/>
      <c r="I1226" s="30"/>
      <c r="J1226" s="32"/>
      <c r="K1226" s="39"/>
      <c r="L1226" s="40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</row>
    <row r="1227" spans="1:26" x14ac:dyDescent="0.25">
      <c r="A1227" s="35"/>
      <c r="B1227" s="135" t="s">
        <v>63</v>
      </c>
      <c r="C1227" s="35"/>
      <c r="D1227" s="193"/>
      <c r="E1227" s="193"/>
      <c r="F1227" s="193"/>
      <c r="G1227" s="193"/>
      <c r="H1227" s="193"/>
      <c r="I1227" s="30"/>
      <c r="J1227" s="32"/>
      <c r="K1227" s="39"/>
      <c r="L1227" s="40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</row>
    <row r="1228" spans="1:26" x14ac:dyDescent="0.25">
      <c r="A1228" s="35"/>
      <c r="B1228" s="135" t="s">
        <v>64</v>
      </c>
      <c r="C1228" s="35"/>
      <c r="D1228" s="193"/>
      <c r="E1228" s="193"/>
      <c r="F1228" s="193"/>
      <c r="G1228" s="193"/>
      <c r="H1228" s="193"/>
      <c r="I1228" s="30"/>
      <c r="J1228" s="32"/>
      <c r="K1228" s="39"/>
      <c r="L1228" s="40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</row>
    <row r="1229" spans="1:26" x14ac:dyDescent="0.25">
      <c r="A1229" s="35"/>
      <c r="B1229" s="135" t="s">
        <v>65</v>
      </c>
      <c r="C1229" s="35"/>
      <c r="D1229" s="193" t="s">
        <v>1020</v>
      </c>
      <c r="E1229" s="193"/>
      <c r="F1229" s="193"/>
      <c r="G1229" s="193"/>
      <c r="H1229" s="193"/>
      <c r="I1229" s="30"/>
      <c r="J1229" s="32"/>
      <c r="K1229" s="39"/>
      <c r="L1229" s="40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</row>
    <row r="1230" spans="1:26" x14ac:dyDescent="0.25">
      <c r="A1230" s="35"/>
      <c r="B1230" s="135" t="s">
        <v>66</v>
      </c>
      <c r="C1230" s="35"/>
      <c r="D1230" s="193"/>
      <c r="E1230" s="193"/>
      <c r="F1230" s="193"/>
      <c r="G1230" s="193"/>
      <c r="H1230" s="193"/>
      <c r="I1230" s="30"/>
      <c r="J1230" s="32"/>
      <c r="K1230" s="39"/>
      <c r="L1230" s="40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</row>
    <row r="1231" spans="1:26" x14ac:dyDescent="0.25">
      <c r="A1231" s="35"/>
      <c r="B1231" s="135" t="s">
        <v>67</v>
      </c>
      <c r="C1231" s="35"/>
      <c r="D1231" s="193"/>
      <c r="E1231" s="193"/>
      <c r="F1231" s="193"/>
      <c r="G1231" s="193"/>
      <c r="H1231" s="193"/>
      <c r="I1231" s="30"/>
      <c r="J1231" s="32"/>
      <c r="K1231" s="39"/>
      <c r="L1231" s="40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</row>
    <row r="1232" spans="1:26" x14ac:dyDescent="0.25">
      <c r="A1232" s="35"/>
      <c r="B1232" s="135" t="s">
        <v>68</v>
      </c>
      <c r="C1232" s="35"/>
      <c r="D1232" s="193" t="s">
        <v>1020</v>
      </c>
      <c r="E1232" s="193"/>
      <c r="F1232" s="193"/>
      <c r="G1232" s="193"/>
      <c r="H1232" s="193"/>
      <c r="I1232" s="30"/>
      <c r="J1232" s="32"/>
      <c r="K1232" s="39"/>
      <c r="L1232" s="40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</row>
    <row r="1233" spans="1:26" x14ac:dyDescent="0.25">
      <c r="A1233" s="35"/>
      <c r="B1233" s="138">
        <v>0.79166666666666663</v>
      </c>
      <c r="C1233" s="35"/>
      <c r="D1233" s="193"/>
      <c r="E1233" s="193"/>
      <c r="F1233" s="193"/>
      <c r="G1233" s="193"/>
      <c r="H1233" s="193"/>
      <c r="I1233" s="30"/>
      <c r="J1233" s="32"/>
      <c r="K1233" s="39"/>
      <c r="L1233" s="40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</row>
    <row r="1234" spans="1:26" x14ac:dyDescent="0.25">
      <c r="A1234" s="35"/>
      <c r="B1234" s="138">
        <v>0.83333333333333337</v>
      </c>
      <c r="C1234" s="35"/>
      <c r="D1234" s="193"/>
      <c r="E1234" s="193"/>
      <c r="F1234" s="193"/>
      <c r="G1234" s="193"/>
      <c r="H1234" s="193"/>
      <c r="I1234" s="30"/>
      <c r="J1234" s="32"/>
      <c r="K1234" s="39"/>
      <c r="L1234" s="40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</row>
    <row r="1235" spans="1:26" x14ac:dyDescent="0.25">
      <c r="A1235" s="35"/>
      <c r="B1235" s="138">
        <v>0.875</v>
      </c>
      <c r="C1235" s="35"/>
      <c r="D1235" s="193" t="s">
        <v>1020</v>
      </c>
      <c r="E1235" s="193"/>
      <c r="F1235" s="193"/>
      <c r="G1235" s="193"/>
      <c r="H1235" s="193"/>
      <c r="I1235" s="30"/>
      <c r="J1235" s="32"/>
      <c r="K1235" s="39"/>
      <c r="L1235" s="40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</row>
    <row r="1236" spans="1:26" x14ac:dyDescent="0.25">
      <c r="A1236" s="35"/>
      <c r="B1236" s="138">
        <v>0.91666666666666663</v>
      </c>
      <c r="C1236" s="35"/>
      <c r="D1236" s="193"/>
      <c r="E1236" s="193"/>
      <c r="F1236" s="193"/>
      <c r="G1236" s="193"/>
      <c r="H1236" s="193"/>
      <c r="I1236" s="30"/>
      <c r="J1236" s="32"/>
      <c r="K1236" s="39"/>
      <c r="L1236" s="40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</row>
    <row r="1237" spans="1:26" x14ac:dyDescent="0.25">
      <c r="A1237" s="35"/>
      <c r="B1237" s="139">
        <v>0.94791666666666663</v>
      </c>
      <c r="C1237" s="35"/>
      <c r="D1237" s="193"/>
      <c r="E1237" s="193"/>
      <c r="F1237" s="193"/>
      <c r="G1237" s="193"/>
      <c r="H1237" s="193"/>
      <c r="I1237" s="30"/>
      <c r="J1237" s="32"/>
      <c r="K1237" s="39"/>
      <c r="L1237" s="40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</row>
    <row r="1238" spans="1:26" x14ac:dyDescent="0.25">
      <c r="A1238" s="80"/>
      <c r="B1238" s="132"/>
      <c r="C1238" s="132"/>
      <c r="D1238" s="132"/>
      <c r="E1238" s="132"/>
      <c r="F1238" s="132"/>
      <c r="G1238" s="133"/>
      <c r="H1238" s="51">
        <f t="shared" ref="H1238:I1238" si="62">SUM(H1144:H1237)</f>
        <v>925385</v>
      </c>
      <c r="I1238" s="51">
        <f t="shared" si="62"/>
        <v>406</v>
      </c>
      <c r="J1238" s="52"/>
      <c r="K1238" s="51">
        <f>SUM(K1220:K1237)</f>
        <v>0</v>
      </c>
      <c r="L1238" s="40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</row>
    <row r="1239" spans="1:26" x14ac:dyDescent="0.25">
      <c r="A1239" s="33">
        <f>A1220+1</f>
        <v>44652</v>
      </c>
      <c r="B1239" s="134" t="s">
        <v>54</v>
      </c>
      <c r="C1239" s="35"/>
      <c r="D1239" s="193" t="s">
        <v>1020</v>
      </c>
      <c r="E1239" s="194"/>
      <c r="F1239" s="194"/>
      <c r="G1239" s="194"/>
      <c r="H1239" s="194"/>
      <c r="I1239" s="30"/>
      <c r="J1239" s="32"/>
      <c r="K1239" s="39"/>
      <c r="L1239" s="40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</row>
    <row r="1240" spans="1:26" x14ac:dyDescent="0.25">
      <c r="A1240" s="41" t="s">
        <v>56</v>
      </c>
      <c r="B1240" s="135" t="s">
        <v>57</v>
      </c>
      <c r="C1240" s="35"/>
      <c r="D1240" s="193"/>
      <c r="E1240" s="195"/>
      <c r="F1240" s="194"/>
      <c r="G1240" s="194"/>
      <c r="H1240" s="194"/>
      <c r="I1240" s="30"/>
      <c r="J1240" s="32"/>
      <c r="K1240" s="39"/>
      <c r="L1240" s="40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</row>
    <row r="1241" spans="1:26" x14ac:dyDescent="0.25">
      <c r="A1241" s="35"/>
      <c r="B1241" s="135" t="s">
        <v>58</v>
      </c>
      <c r="C1241" s="35"/>
      <c r="D1241" s="193"/>
      <c r="E1241" s="193"/>
      <c r="F1241" s="193"/>
      <c r="G1241" s="193"/>
      <c r="H1241" s="193"/>
      <c r="I1241" s="30"/>
      <c r="J1241" s="32"/>
      <c r="K1241" s="39"/>
      <c r="L1241" s="40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</row>
    <row r="1242" spans="1:26" x14ac:dyDescent="0.25">
      <c r="A1242" s="35"/>
      <c r="B1242" s="135" t="s">
        <v>59</v>
      </c>
      <c r="C1242" s="35"/>
      <c r="D1242" s="193" t="s">
        <v>1020</v>
      </c>
      <c r="E1242" s="193"/>
      <c r="F1242" s="193"/>
      <c r="G1242" s="193"/>
      <c r="H1242" s="193"/>
      <c r="I1242" s="30"/>
      <c r="J1242" s="32"/>
      <c r="K1242" s="39"/>
      <c r="L1242" s="40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</row>
    <row r="1243" spans="1:26" x14ac:dyDescent="0.25">
      <c r="A1243" s="35"/>
      <c r="B1243" s="135" t="s">
        <v>60</v>
      </c>
      <c r="C1243" s="35"/>
      <c r="D1243" s="193"/>
      <c r="E1243" s="193"/>
      <c r="F1243" s="193"/>
      <c r="G1243" s="193"/>
      <c r="H1243" s="193"/>
      <c r="I1243" s="30"/>
      <c r="J1243" s="32"/>
      <c r="K1243" s="39"/>
      <c r="L1243" s="40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</row>
    <row r="1244" spans="1:26" x14ac:dyDescent="0.25">
      <c r="A1244" s="35"/>
      <c r="B1244" s="135" t="s">
        <v>61</v>
      </c>
      <c r="C1244" s="35"/>
      <c r="D1244" s="193"/>
      <c r="E1244" s="193"/>
      <c r="F1244" s="193"/>
      <c r="G1244" s="193"/>
      <c r="H1244" s="193"/>
      <c r="I1244" s="30"/>
      <c r="J1244" s="32"/>
      <c r="K1244" s="39"/>
      <c r="L1244" s="40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</row>
    <row r="1245" spans="1:26" x14ac:dyDescent="0.25">
      <c r="A1245" s="35"/>
      <c r="B1245" s="135" t="s">
        <v>62</v>
      </c>
      <c r="C1245" s="35"/>
      <c r="D1245" s="193" t="s">
        <v>1020</v>
      </c>
      <c r="E1245" s="193"/>
      <c r="F1245" s="193"/>
      <c r="G1245" s="193"/>
      <c r="H1245" s="193"/>
      <c r="I1245" s="30"/>
      <c r="J1245" s="32"/>
      <c r="K1245" s="39"/>
      <c r="L1245" s="40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</row>
    <row r="1246" spans="1:26" x14ac:dyDescent="0.25">
      <c r="A1246" s="35"/>
      <c r="B1246" s="135" t="s">
        <v>63</v>
      </c>
      <c r="C1246" s="35"/>
      <c r="D1246" s="193"/>
      <c r="E1246" s="193"/>
      <c r="F1246" s="193"/>
      <c r="G1246" s="193"/>
      <c r="H1246" s="193"/>
      <c r="I1246" s="30"/>
      <c r="J1246" s="32"/>
      <c r="K1246" s="39"/>
      <c r="L1246" s="40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</row>
    <row r="1247" spans="1:26" x14ac:dyDescent="0.25">
      <c r="A1247" s="35"/>
      <c r="B1247" s="135" t="s">
        <v>64</v>
      </c>
      <c r="C1247" s="35"/>
      <c r="D1247" s="193"/>
      <c r="E1247" s="193"/>
      <c r="F1247" s="193"/>
      <c r="G1247" s="193"/>
      <c r="H1247" s="193"/>
      <c r="I1247" s="30"/>
      <c r="J1247" s="32"/>
      <c r="K1247" s="39"/>
      <c r="L1247" s="40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</row>
    <row r="1248" spans="1:26" x14ac:dyDescent="0.25">
      <c r="A1248" s="35"/>
      <c r="B1248" s="135" t="s">
        <v>65</v>
      </c>
      <c r="C1248" s="35"/>
      <c r="D1248" s="193" t="s">
        <v>1020</v>
      </c>
      <c r="E1248" s="193"/>
      <c r="F1248" s="193"/>
      <c r="G1248" s="193"/>
      <c r="H1248" s="193"/>
      <c r="I1248" s="30"/>
      <c r="J1248" s="32"/>
      <c r="K1248" s="39"/>
      <c r="L1248" s="40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</row>
    <row r="1249" spans="1:26" x14ac:dyDescent="0.25">
      <c r="A1249" s="35"/>
      <c r="B1249" s="135" t="s">
        <v>66</v>
      </c>
      <c r="C1249" s="35"/>
      <c r="D1249" s="193"/>
      <c r="E1249" s="193"/>
      <c r="F1249" s="193"/>
      <c r="G1249" s="193"/>
      <c r="H1249" s="193"/>
      <c r="I1249" s="30"/>
      <c r="J1249" s="32"/>
      <c r="K1249" s="39"/>
      <c r="L1249" s="40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</row>
    <row r="1250" spans="1:26" x14ac:dyDescent="0.25">
      <c r="A1250" s="35"/>
      <c r="B1250" s="135" t="s">
        <v>67</v>
      </c>
      <c r="C1250" s="35"/>
      <c r="D1250" s="193"/>
      <c r="E1250" s="193"/>
      <c r="F1250" s="193"/>
      <c r="G1250" s="193"/>
      <c r="H1250" s="193"/>
      <c r="I1250" s="30"/>
      <c r="J1250" s="32"/>
      <c r="K1250" s="39"/>
      <c r="L1250" s="40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</row>
    <row r="1251" spans="1:26" x14ac:dyDescent="0.25">
      <c r="A1251" s="35"/>
      <c r="B1251" s="135" t="s">
        <v>68</v>
      </c>
      <c r="C1251" s="35"/>
      <c r="D1251" s="193" t="s">
        <v>1020</v>
      </c>
      <c r="E1251" s="193"/>
      <c r="F1251" s="193"/>
      <c r="G1251" s="193"/>
      <c r="H1251" s="193"/>
      <c r="I1251" s="30"/>
      <c r="J1251" s="32"/>
      <c r="K1251" s="39"/>
      <c r="L1251" s="40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</row>
    <row r="1252" spans="1:26" x14ac:dyDescent="0.25">
      <c r="A1252" s="35"/>
      <c r="B1252" s="138">
        <v>0.79166666666666663</v>
      </c>
      <c r="C1252" s="35"/>
      <c r="D1252" s="193"/>
      <c r="E1252" s="193"/>
      <c r="F1252" s="193"/>
      <c r="G1252" s="193"/>
      <c r="H1252" s="193"/>
      <c r="I1252" s="30"/>
      <c r="J1252" s="32"/>
      <c r="K1252" s="39"/>
      <c r="L1252" s="40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</row>
    <row r="1253" spans="1:26" x14ac:dyDescent="0.25">
      <c r="A1253" s="35"/>
      <c r="B1253" s="138">
        <v>0.83333333333333337</v>
      </c>
      <c r="C1253" s="35"/>
      <c r="D1253" s="193"/>
      <c r="E1253" s="193"/>
      <c r="F1253" s="193"/>
      <c r="G1253" s="193"/>
      <c r="H1253" s="193"/>
      <c r="I1253" s="30"/>
      <c r="J1253" s="32"/>
      <c r="K1253" s="39"/>
      <c r="L1253" s="40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</row>
    <row r="1254" spans="1:26" x14ac:dyDescent="0.25">
      <c r="A1254" s="35"/>
      <c r="B1254" s="138">
        <v>0.875</v>
      </c>
      <c r="C1254" s="35"/>
      <c r="D1254" s="193" t="s">
        <v>1020</v>
      </c>
      <c r="E1254" s="193"/>
      <c r="F1254" s="193"/>
      <c r="G1254" s="193"/>
      <c r="H1254" s="193"/>
      <c r="I1254" s="30"/>
      <c r="J1254" s="32"/>
      <c r="K1254" s="39"/>
      <c r="L1254" s="40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</row>
    <row r="1255" spans="1:26" x14ac:dyDescent="0.25">
      <c r="A1255" s="35"/>
      <c r="B1255" s="138">
        <v>0.91666666666666663</v>
      </c>
      <c r="C1255" s="35"/>
      <c r="D1255" s="193"/>
      <c r="E1255" s="193"/>
      <c r="F1255" s="193"/>
      <c r="G1255" s="193"/>
      <c r="H1255" s="193"/>
      <c r="I1255" s="30"/>
      <c r="J1255" s="32"/>
      <c r="K1255" s="39"/>
      <c r="L1255" s="40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</row>
    <row r="1256" spans="1:26" x14ac:dyDescent="0.25">
      <c r="A1256" s="35"/>
      <c r="B1256" s="139">
        <v>0.94791666666666663</v>
      </c>
      <c r="C1256" s="35"/>
      <c r="D1256" s="193"/>
      <c r="E1256" s="193"/>
      <c r="F1256" s="193"/>
      <c r="G1256" s="193"/>
      <c r="H1256" s="193"/>
      <c r="I1256" s="30"/>
      <c r="J1256" s="32"/>
      <c r="K1256" s="39"/>
      <c r="L1256" s="40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</row>
    <row r="1257" spans="1:26" x14ac:dyDescent="0.25">
      <c r="A1257" s="80"/>
      <c r="B1257" s="131"/>
      <c r="C1257" s="132"/>
      <c r="D1257" s="132"/>
      <c r="E1257" s="132"/>
      <c r="F1257" s="132"/>
      <c r="G1257" s="133"/>
      <c r="H1257" s="51">
        <f t="shared" ref="H1257:I1257" si="63">SUM(H1239:H1256)</f>
        <v>0</v>
      </c>
      <c r="I1257" s="51">
        <f t="shared" si="63"/>
        <v>0</v>
      </c>
      <c r="J1257" s="52"/>
      <c r="K1257" s="51">
        <f>SUM(K1239:K1256)</f>
        <v>0</v>
      </c>
      <c r="L1257" s="40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</row>
    <row r="1258" spans="1:26" x14ac:dyDescent="0.25">
      <c r="A1258" s="33">
        <f>A1239+3</f>
        <v>44655</v>
      </c>
      <c r="B1258" s="134" t="s">
        <v>54</v>
      </c>
      <c r="C1258" s="35"/>
      <c r="D1258" s="193" t="s">
        <v>1021</v>
      </c>
      <c r="E1258" s="194"/>
      <c r="F1258" s="194"/>
      <c r="G1258" s="194"/>
      <c r="H1258" s="194"/>
      <c r="J1258" s="32"/>
      <c r="K1258" s="39"/>
      <c r="L1258" s="40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</row>
    <row r="1259" spans="1:26" x14ac:dyDescent="0.25">
      <c r="A1259" s="41" t="s">
        <v>72</v>
      </c>
      <c r="B1259" s="135" t="s">
        <v>57</v>
      </c>
      <c r="C1259" s="35"/>
      <c r="D1259" s="193"/>
      <c r="E1259" s="195"/>
      <c r="F1259" s="194"/>
      <c r="G1259" s="194"/>
      <c r="H1259" s="194"/>
      <c r="J1259" s="32"/>
      <c r="K1259" s="39"/>
      <c r="L1259" s="40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</row>
    <row r="1260" spans="1:26" x14ac:dyDescent="0.25">
      <c r="A1260" s="35"/>
      <c r="B1260" s="135" t="s">
        <v>58</v>
      </c>
      <c r="C1260" s="35"/>
      <c r="D1260" s="193"/>
      <c r="E1260" s="193"/>
      <c r="F1260" s="193"/>
      <c r="G1260" s="193"/>
      <c r="H1260" s="193"/>
      <c r="J1260" s="32"/>
      <c r="K1260" s="39"/>
      <c r="L1260" s="40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</row>
    <row r="1261" spans="1:26" x14ac:dyDescent="0.25">
      <c r="A1261" s="35"/>
      <c r="B1261" s="135" t="s">
        <v>59</v>
      </c>
      <c r="C1261" s="35"/>
      <c r="D1261" s="193" t="s">
        <v>1021</v>
      </c>
      <c r="E1261" s="193"/>
      <c r="F1261" s="193"/>
      <c r="G1261" s="193"/>
      <c r="H1261" s="193"/>
      <c r="J1261" s="32"/>
      <c r="K1261" s="39"/>
      <c r="L1261" s="40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</row>
    <row r="1262" spans="1:26" x14ac:dyDescent="0.25">
      <c r="A1262" s="35"/>
      <c r="B1262" s="135" t="s">
        <v>60</v>
      </c>
      <c r="C1262" s="35"/>
      <c r="D1262" s="193"/>
      <c r="E1262" s="193"/>
      <c r="F1262" s="193"/>
      <c r="G1262" s="193"/>
      <c r="H1262" s="193"/>
      <c r="J1262" s="32"/>
      <c r="K1262" s="39"/>
      <c r="L1262" s="40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</row>
    <row r="1263" spans="1:26" x14ac:dyDescent="0.25">
      <c r="A1263" s="35"/>
      <c r="B1263" s="135" t="s">
        <v>61</v>
      </c>
      <c r="C1263" s="35"/>
      <c r="D1263" s="193"/>
      <c r="E1263" s="193"/>
      <c r="F1263" s="193"/>
      <c r="G1263" s="193"/>
      <c r="H1263" s="193"/>
      <c r="I1263" s="30"/>
      <c r="J1263" s="32"/>
      <c r="K1263" s="39"/>
      <c r="L1263" s="40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</row>
    <row r="1264" spans="1:26" x14ac:dyDescent="0.25">
      <c r="A1264" s="35"/>
      <c r="B1264" s="135" t="s">
        <v>62</v>
      </c>
      <c r="C1264" s="35"/>
      <c r="D1264" s="193" t="s">
        <v>1021</v>
      </c>
      <c r="E1264" s="193"/>
      <c r="F1264" s="193"/>
      <c r="G1264" s="193"/>
      <c r="H1264" s="193"/>
      <c r="I1264" s="30"/>
      <c r="J1264" s="32"/>
      <c r="K1264" s="39"/>
      <c r="L1264" s="40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</row>
    <row r="1265" spans="1:26" x14ac:dyDescent="0.25">
      <c r="A1265" s="35"/>
      <c r="B1265" s="135" t="s">
        <v>63</v>
      </c>
      <c r="C1265" s="35"/>
      <c r="D1265" s="193"/>
      <c r="E1265" s="193"/>
      <c r="F1265" s="193"/>
      <c r="G1265" s="193"/>
      <c r="H1265" s="193"/>
      <c r="J1265" s="32"/>
      <c r="K1265" s="39"/>
      <c r="L1265" s="40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</row>
    <row r="1266" spans="1:26" x14ac:dyDescent="0.25">
      <c r="A1266" s="35"/>
      <c r="B1266" s="135" t="s">
        <v>64</v>
      </c>
      <c r="C1266" s="35"/>
      <c r="D1266" s="193"/>
      <c r="E1266" s="193"/>
      <c r="F1266" s="193"/>
      <c r="G1266" s="193"/>
      <c r="H1266" s="193"/>
      <c r="J1266" s="32"/>
      <c r="K1266" s="39"/>
      <c r="L1266" s="40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</row>
    <row r="1267" spans="1:26" x14ac:dyDescent="0.25">
      <c r="A1267" s="35"/>
      <c r="B1267" s="135" t="s">
        <v>65</v>
      </c>
      <c r="C1267" s="35"/>
      <c r="D1267" s="193" t="s">
        <v>1021</v>
      </c>
      <c r="E1267" s="193"/>
      <c r="F1267" s="193"/>
      <c r="G1267" s="193"/>
      <c r="H1267" s="193"/>
      <c r="J1267" s="32"/>
      <c r="K1267" s="39"/>
      <c r="L1267" s="40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</row>
    <row r="1268" spans="1:26" x14ac:dyDescent="0.25">
      <c r="A1268" s="35"/>
      <c r="B1268" s="135" t="s">
        <v>66</v>
      </c>
      <c r="C1268" s="35"/>
      <c r="D1268" s="193"/>
      <c r="E1268" s="193"/>
      <c r="F1268" s="193"/>
      <c r="G1268" s="193"/>
      <c r="H1268" s="193"/>
      <c r="J1268" s="32"/>
      <c r="K1268" s="39"/>
      <c r="L1268" s="40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</row>
    <row r="1269" spans="1:26" x14ac:dyDescent="0.25">
      <c r="A1269" s="35"/>
      <c r="B1269" s="135" t="s">
        <v>67</v>
      </c>
      <c r="C1269" s="35"/>
      <c r="D1269" s="193"/>
      <c r="E1269" s="193"/>
      <c r="F1269" s="193"/>
      <c r="G1269" s="193"/>
      <c r="H1269" s="193"/>
      <c r="J1269" s="32"/>
      <c r="K1269" s="39"/>
      <c r="L1269" s="40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</row>
    <row r="1270" spans="1:26" x14ac:dyDescent="0.25">
      <c r="A1270" s="35"/>
      <c r="B1270" s="135" t="s">
        <v>68</v>
      </c>
      <c r="C1270" s="35"/>
      <c r="D1270" s="193" t="s">
        <v>1021</v>
      </c>
      <c r="E1270" s="193"/>
      <c r="F1270" s="193"/>
      <c r="G1270" s="193"/>
      <c r="H1270" s="193"/>
      <c r="I1270" s="30"/>
      <c r="J1270" s="32"/>
      <c r="K1270" s="39"/>
      <c r="L1270" s="40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</row>
    <row r="1271" spans="1:26" x14ac:dyDescent="0.25">
      <c r="A1271" s="35"/>
      <c r="B1271" s="138">
        <v>0.79166666666666663</v>
      </c>
      <c r="C1271" s="35"/>
      <c r="D1271" s="193"/>
      <c r="E1271" s="193"/>
      <c r="F1271" s="193"/>
      <c r="G1271" s="193"/>
      <c r="H1271" s="193"/>
      <c r="I1271" s="30"/>
      <c r="J1271" s="32"/>
      <c r="K1271" s="39"/>
      <c r="L1271" s="40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</row>
    <row r="1272" spans="1:26" x14ac:dyDescent="0.25">
      <c r="A1272" s="35"/>
      <c r="B1272" s="138">
        <v>0.83333333333333337</v>
      </c>
      <c r="C1272" s="35"/>
      <c r="D1272" s="193"/>
      <c r="E1272" s="193"/>
      <c r="F1272" s="193"/>
      <c r="G1272" s="193"/>
      <c r="H1272" s="193"/>
      <c r="I1272" s="30"/>
      <c r="J1272" s="32"/>
      <c r="K1272" s="39"/>
      <c r="L1272" s="40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</row>
    <row r="1273" spans="1:26" x14ac:dyDescent="0.25">
      <c r="A1273" s="35"/>
      <c r="B1273" s="138">
        <v>0.875</v>
      </c>
      <c r="C1273" s="35"/>
      <c r="D1273" s="193" t="s">
        <v>1021</v>
      </c>
      <c r="E1273" s="193"/>
      <c r="F1273" s="193"/>
      <c r="G1273" s="193"/>
      <c r="H1273" s="193"/>
      <c r="I1273" s="30"/>
      <c r="J1273" s="32"/>
      <c r="K1273" s="39"/>
      <c r="L1273" s="40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</row>
    <row r="1274" spans="1:26" x14ac:dyDescent="0.25">
      <c r="A1274" s="35"/>
      <c r="B1274" s="138">
        <v>0.91666666666666663</v>
      </c>
      <c r="C1274" s="35"/>
      <c r="D1274" s="193"/>
      <c r="E1274" s="193"/>
      <c r="F1274" s="193"/>
      <c r="G1274" s="193"/>
      <c r="H1274" s="193"/>
      <c r="I1274" s="30"/>
      <c r="J1274" s="32"/>
      <c r="K1274" s="39"/>
      <c r="L1274" s="40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</row>
    <row r="1275" spans="1:26" x14ac:dyDescent="0.25">
      <c r="A1275" s="35"/>
      <c r="B1275" s="139">
        <v>0.94791666666666663</v>
      </c>
      <c r="C1275" s="35"/>
      <c r="D1275" s="193"/>
      <c r="E1275" s="193"/>
      <c r="F1275" s="193"/>
      <c r="G1275" s="193"/>
      <c r="H1275" s="193"/>
      <c r="I1275" s="30"/>
      <c r="J1275" s="32"/>
      <c r="K1275" s="39"/>
      <c r="L1275" s="40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</row>
    <row r="1276" spans="1:26" x14ac:dyDescent="0.25">
      <c r="A1276" s="80"/>
      <c r="B1276" s="132"/>
      <c r="C1276" s="132"/>
      <c r="D1276" s="132"/>
      <c r="E1276" s="132"/>
      <c r="F1276" s="132"/>
      <c r="G1276" s="133"/>
      <c r="H1276" s="51">
        <f t="shared" ref="H1276:I1276" si="64">SUM(H1258:H1275)</f>
        <v>0</v>
      </c>
      <c r="I1276" s="51">
        <f t="shared" si="64"/>
        <v>0</v>
      </c>
      <c r="J1276" s="52"/>
      <c r="K1276" s="51">
        <f>SUM(K1258:K1275)</f>
        <v>0</v>
      </c>
      <c r="L1276" s="40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</row>
    <row r="1277" spans="1:26" x14ac:dyDescent="0.25">
      <c r="A1277" s="33">
        <f>A1258+1</f>
        <v>44656</v>
      </c>
      <c r="B1277" s="134" t="s">
        <v>54</v>
      </c>
      <c r="C1277" s="35"/>
      <c r="D1277" s="193" t="s">
        <v>1021</v>
      </c>
      <c r="E1277" s="194"/>
      <c r="F1277" s="194"/>
      <c r="G1277" s="194"/>
      <c r="H1277" s="194"/>
      <c r="J1277" s="32"/>
      <c r="K1277" s="39"/>
      <c r="L1277" s="40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</row>
    <row r="1278" spans="1:26" x14ac:dyDescent="0.25">
      <c r="A1278" s="41" t="s">
        <v>102</v>
      </c>
      <c r="B1278" s="135" t="s">
        <v>57</v>
      </c>
      <c r="C1278" s="35"/>
      <c r="D1278" s="193"/>
      <c r="E1278" s="195"/>
      <c r="F1278" s="194"/>
      <c r="G1278" s="194"/>
      <c r="H1278" s="194"/>
      <c r="J1278" s="32"/>
      <c r="K1278" s="39"/>
      <c r="L1278" s="40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</row>
    <row r="1279" spans="1:26" x14ac:dyDescent="0.25">
      <c r="A1279" s="35"/>
      <c r="B1279" s="135" t="s">
        <v>58</v>
      </c>
      <c r="C1279" s="35"/>
      <c r="D1279" s="193"/>
      <c r="E1279" s="193"/>
      <c r="F1279" s="193"/>
      <c r="G1279" s="193"/>
      <c r="H1279" s="193"/>
      <c r="J1279" s="32"/>
      <c r="K1279" s="39"/>
      <c r="L1279" s="40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</row>
    <row r="1280" spans="1:26" x14ac:dyDescent="0.25">
      <c r="A1280" s="35"/>
      <c r="B1280" s="135" t="s">
        <v>59</v>
      </c>
      <c r="C1280" s="35"/>
      <c r="D1280" s="193" t="s">
        <v>1021</v>
      </c>
      <c r="E1280" s="193"/>
      <c r="F1280" s="193"/>
      <c r="G1280" s="193"/>
      <c r="H1280" s="193"/>
      <c r="J1280" s="32"/>
      <c r="K1280" s="39"/>
      <c r="L1280" s="40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</row>
    <row r="1281" spans="1:26" x14ac:dyDescent="0.25">
      <c r="A1281" s="35"/>
      <c r="B1281" s="135" t="s">
        <v>60</v>
      </c>
      <c r="C1281" s="35"/>
      <c r="D1281" s="193"/>
      <c r="E1281" s="193"/>
      <c r="F1281" s="193"/>
      <c r="G1281" s="193"/>
      <c r="H1281" s="193"/>
      <c r="J1281" s="32"/>
      <c r="K1281" s="39"/>
      <c r="L1281" s="40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</row>
    <row r="1282" spans="1:26" x14ac:dyDescent="0.25">
      <c r="A1282" s="35"/>
      <c r="B1282" s="135" t="s">
        <v>61</v>
      </c>
      <c r="C1282" s="35"/>
      <c r="D1282" s="193"/>
      <c r="E1282" s="193"/>
      <c r="F1282" s="193"/>
      <c r="G1282" s="193"/>
      <c r="H1282" s="193"/>
      <c r="I1282" s="30"/>
      <c r="J1282" s="32"/>
      <c r="K1282" s="39"/>
      <c r="L1282" s="40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</row>
    <row r="1283" spans="1:26" x14ac:dyDescent="0.25">
      <c r="A1283" s="35"/>
      <c r="B1283" s="135" t="s">
        <v>62</v>
      </c>
      <c r="C1283" s="35"/>
      <c r="D1283" s="193" t="s">
        <v>1021</v>
      </c>
      <c r="E1283" s="193"/>
      <c r="F1283" s="193"/>
      <c r="G1283" s="193"/>
      <c r="H1283" s="193"/>
      <c r="I1283" s="30"/>
      <c r="J1283" s="32"/>
      <c r="K1283" s="39"/>
      <c r="L1283" s="40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</row>
    <row r="1284" spans="1:26" x14ac:dyDescent="0.25">
      <c r="A1284" s="35"/>
      <c r="B1284" s="135" t="s">
        <v>63</v>
      </c>
      <c r="C1284" s="35"/>
      <c r="D1284" s="193"/>
      <c r="E1284" s="193"/>
      <c r="F1284" s="193"/>
      <c r="G1284" s="193"/>
      <c r="H1284" s="193"/>
      <c r="J1284" s="32"/>
      <c r="K1284" s="39"/>
      <c r="L1284" s="40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</row>
    <row r="1285" spans="1:26" x14ac:dyDescent="0.25">
      <c r="A1285" s="35"/>
      <c r="B1285" s="135" t="s">
        <v>64</v>
      </c>
      <c r="C1285" s="35"/>
      <c r="D1285" s="193"/>
      <c r="E1285" s="193"/>
      <c r="F1285" s="193"/>
      <c r="G1285" s="193"/>
      <c r="H1285" s="193"/>
      <c r="J1285" s="32"/>
      <c r="K1285" s="39"/>
      <c r="L1285" s="40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</row>
    <row r="1286" spans="1:26" x14ac:dyDescent="0.25">
      <c r="A1286" s="35"/>
      <c r="B1286" s="135" t="s">
        <v>65</v>
      </c>
      <c r="C1286" s="35"/>
      <c r="D1286" s="193" t="s">
        <v>1021</v>
      </c>
      <c r="E1286" s="193"/>
      <c r="F1286" s="193"/>
      <c r="G1286" s="193"/>
      <c r="H1286" s="193"/>
      <c r="J1286" s="32"/>
      <c r="K1286" s="39"/>
      <c r="L1286" s="40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</row>
    <row r="1287" spans="1:26" x14ac:dyDescent="0.25">
      <c r="A1287" s="35"/>
      <c r="B1287" s="135" t="s">
        <v>66</v>
      </c>
      <c r="C1287" s="35"/>
      <c r="D1287" s="193"/>
      <c r="E1287" s="193"/>
      <c r="F1287" s="193"/>
      <c r="G1287" s="193"/>
      <c r="H1287" s="193"/>
      <c r="J1287" s="32"/>
      <c r="K1287" s="39"/>
      <c r="L1287" s="40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</row>
    <row r="1288" spans="1:26" x14ac:dyDescent="0.25">
      <c r="A1288" s="35"/>
      <c r="B1288" s="135" t="s">
        <v>67</v>
      </c>
      <c r="C1288" s="35"/>
      <c r="D1288" s="193"/>
      <c r="E1288" s="193"/>
      <c r="F1288" s="193"/>
      <c r="G1288" s="193"/>
      <c r="H1288" s="193"/>
      <c r="J1288" s="32"/>
      <c r="K1288" s="39"/>
      <c r="L1288" s="40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</row>
    <row r="1289" spans="1:26" x14ac:dyDescent="0.25">
      <c r="A1289" s="35"/>
      <c r="B1289" s="135" t="s">
        <v>68</v>
      </c>
      <c r="C1289" s="35"/>
      <c r="D1289" s="193" t="s">
        <v>1021</v>
      </c>
      <c r="E1289" s="193"/>
      <c r="F1289" s="193"/>
      <c r="G1289" s="193"/>
      <c r="H1289" s="193"/>
      <c r="I1289" s="30"/>
      <c r="J1289" s="32"/>
      <c r="K1289" s="39"/>
      <c r="L1289" s="40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</row>
    <row r="1290" spans="1:26" x14ac:dyDescent="0.25">
      <c r="A1290" s="35"/>
      <c r="B1290" s="138">
        <v>0.79166666666666663</v>
      </c>
      <c r="C1290" s="35"/>
      <c r="D1290" s="193"/>
      <c r="E1290" s="193"/>
      <c r="F1290" s="193"/>
      <c r="G1290" s="193"/>
      <c r="H1290" s="193"/>
      <c r="I1290" s="30"/>
      <c r="J1290" s="32"/>
      <c r="K1290" s="39"/>
      <c r="L1290" s="40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</row>
    <row r="1291" spans="1:26" x14ac:dyDescent="0.25">
      <c r="A1291" s="35"/>
      <c r="B1291" s="138">
        <v>0.83333333333333337</v>
      </c>
      <c r="C1291" s="35"/>
      <c r="D1291" s="193"/>
      <c r="E1291" s="193"/>
      <c r="F1291" s="193"/>
      <c r="G1291" s="193"/>
      <c r="H1291" s="193"/>
      <c r="I1291" s="30"/>
      <c r="J1291" s="32"/>
      <c r="K1291" s="39"/>
      <c r="L1291" s="40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</row>
    <row r="1292" spans="1:26" x14ac:dyDescent="0.25">
      <c r="A1292" s="35"/>
      <c r="B1292" s="138">
        <v>0.875</v>
      </c>
      <c r="C1292" s="35"/>
      <c r="D1292" s="193" t="s">
        <v>1021</v>
      </c>
      <c r="E1292" s="193"/>
      <c r="F1292" s="193"/>
      <c r="G1292" s="193"/>
      <c r="H1292" s="193"/>
      <c r="I1292" s="30"/>
      <c r="J1292" s="32"/>
      <c r="K1292" s="39"/>
      <c r="L1292" s="40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</row>
    <row r="1293" spans="1:26" x14ac:dyDescent="0.25">
      <c r="A1293" s="35"/>
      <c r="B1293" s="138">
        <v>0.91666666666666663</v>
      </c>
      <c r="C1293" s="35"/>
      <c r="D1293" s="193"/>
      <c r="E1293" s="193"/>
      <c r="F1293" s="193"/>
      <c r="G1293" s="193"/>
      <c r="H1293" s="193"/>
      <c r="I1293" s="30"/>
      <c r="J1293" s="32"/>
      <c r="K1293" s="39"/>
      <c r="L1293" s="40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</row>
    <row r="1294" spans="1:26" x14ac:dyDescent="0.25">
      <c r="A1294" s="35"/>
      <c r="B1294" s="139">
        <v>0.94791666666666663</v>
      </c>
      <c r="C1294" s="35"/>
      <c r="D1294" s="193"/>
      <c r="E1294" s="193"/>
      <c r="F1294" s="193"/>
      <c r="G1294" s="193"/>
      <c r="H1294" s="193"/>
      <c r="I1294" s="30"/>
      <c r="J1294" s="32"/>
      <c r="K1294" s="39"/>
      <c r="L1294" s="40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</row>
    <row r="1295" spans="1:26" x14ac:dyDescent="0.25">
      <c r="A1295" s="80"/>
      <c r="B1295" s="132"/>
      <c r="C1295" s="132"/>
      <c r="D1295" s="132"/>
      <c r="E1295" s="132"/>
      <c r="F1295" s="132"/>
      <c r="G1295" s="133"/>
      <c r="H1295" s="51">
        <f t="shared" ref="H1295:I1295" si="65">SUM(H1282:H1294)</f>
        <v>0</v>
      </c>
      <c r="I1295" s="51">
        <f t="shared" si="65"/>
        <v>0</v>
      </c>
      <c r="J1295" s="52"/>
      <c r="K1295" s="51">
        <f>SUM(K1277:K1294)</f>
        <v>0</v>
      </c>
      <c r="L1295" s="40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</row>
    <row r="1296" spans="1:26" ht="63" x14ac:dyDescent="0.25">
      <c r="A1296" s="33">
        <f>A1277+1</f>
        <v>44657</v>
      </c>
      <c r="B1296" s="134" t="s">
        <v>54</v>
      </c>
      <c r="C1296" s="55" t="s">
        <v>1022</v>
      </c>
      <c r="D1296" s="196">
        <v>48</v>
      </c>
      <c r="E1296" s="196" t="s">
        <v>215</v>
      </c>
      <c r="F1296" s="196" t="s">
        <v>1023</v>
      </c>
      <c r="G1296" s="196" t="s">
        <v>2875</v>
      </c>
      <c r="H1296" s="17">
        <v>1790</v>
      </c>
      <c r="I1296" s="218">
        <v>1</v>
      </c>
      <c r="J1296" s="32"/>
      <c r="K1296" s="39"/>
      <c r="L1296" s="40"/>
      <c r="T1296" s="17"/>
      <c r="U1296" s="17"/>
      <c r="V1296" s="17"/>
      <c r="W1296" s="17"/>
      <c r="X1296" s="17"/>
      <c r="Y1296" s="17"/>
      <c r="Z1296" s="17"/>
    </row>
    <row r="1297" spans="1:26" ht="63" x14ac:dyDescent="0.25">
      <c r="A1297" s="41" t="s">
        <v>117</v>
      </c>
      <c r="B1297" s="135" t="s">
        <v>57</v>
      </c>
      <c r="C1297" s="55" t="s">
        <v>1024</v>
      </c>
      <c r="D1297" s="167">
        <v>51</v>
      </c>
      <c r="E1297" s="167" t="s">
        <v>172</v>
      </c>
      <c r="F1297" s="167" t="s">
        <v>1025</v>
      </c>
      <c r="G1297" s="197">
        <v>44659</v>
      </c>
      <c r="H1297" s="32">
        <v>5672</v>
      </c>
      <c r="I1297" s="218">
        <v>2</v>
      </c>
      <c r="J1297" s="32"/>
      <c r="K1297" s="39"/>
      <c r="L1297" s="40"/>
      <c r="T1297" s="17"/>
      <c r="U1297" s="17"/>
      <c r="V1297" s="17"/>
      <c r="W1297" s="17"/>
      <c r="X1297" s="17"/>
      <c r="Y1297" s="17"/>
      <c r="Z1297" s="17"/>
    </row>
    <row r="1298" spans="1:26" ht="31.5" x14ac:dyDescent="0.25">
      <c r="A1298" s="35"/>
      <c r="B1298" s="135" t="s">
        <v>58</v>
      </c>
      <c r="C1298" s="55" t="s">
        <v>1026</v>
      </c>
      <c r="D1298" s="198"/>
      <c r="E1298" s="198"/>
      <c r="F1298" s="198"/>
      <c r="G1298" s="198"/>
      <c r="H1298" s="198"/>
      <c r="J1298" s="32"/>
      <c r="K1298" s="39"/>
      <c r="L1298" s="40"/>
      <c r="T1298" s="17"/>
      <c r="U1298" s="17"/>
      <c r="V1298" s="17"/>
      <c r="W1298" s="17"/>
      <c r="X1298" s="17"/>
      <c r="Y1298" s="17"/>
      <c r="Z1298" s="17"/>
    </row>
    <row r="1299" spans="1:26" ht="47.25" x14ac:dyDescent="0.25">
      <c r="A1299" s="35"/>
      <c r="B1299" s="135" t="s">
        <v>59</v>
      </c>
      <c r="C1299" s="176" t="s">
        <v>1027</v>
      </c>
      <c r="D1299" s="199">
        <v>51</v>
      </c>
      <c r="E1299" s="200" t="s">
        <v>1028</v>
      </c>
      <c r="F1299" s="200" t="s">
        <v>1029</v>
      </c>
      <c r="G1299" s="200" t="s">
        <v>1015</v>
      </c>
      <c r="H1299" s="32">
        <v>9000</v>
      </c>
      <c r="I1299" s="218">
        <v>7</v>
      </c>
      <c r="J1299" s="32"/>
      <c r="K1299" s="39"/>
      <c r="L1299" s="40"/>
      <c r="T1299" s="17"/>
      <c r="U1299" s="17"/>
      <c r="V1299" s="17"/>
      <c r="W1299" s="17"/>
      <c r="X1299" s="17"/>
      <c r="Y1299" s="17"/>
      <c r="Z1299" s="17"/>
    </row>
    <row r="1300" spans="1:26" ht="47.25" x14ac:dyDescent="0.25">
      <c r="A1300" s="35"/>
      <c r="B1300" s="135" t="s">
        <v>60</v>
      </c>
      <c r="C1300" s="35"/>
      <c r="D1300" s="201"/>
      <c r="E1300" s="201"/>
      <c r="F1300" s="201">
        <v>2</v>
      </c>
      <c r="G1300" s="202" t="s">
        <v>1030</v>
      </c>
      <c r="H1300" s="201"/>
      <c r="J1300" s="32"/>
      <c r="K1300" s="39"/>
      <c r="L1300" s="40"/>
      <c r="T1300" s="17"/>
      <c r="U1300" s="17"/>
      <c r="V1300" s="17"/>
      <c r="W1300" s="17"/>
      <c r="X1300" s="17"/>
      <c r="Y1300" s="17"/>
      <c r="Z1300" s="17"/>
    </row>
    <row r="1301" spans="1:26" x14ac:dyDescent="0.25">
      <c r="A1301" s="35"/>
      <c r="B1301" s="135" t="s">
        <v>61</v>
      </c>
      <c r="C1301" s="35"/>
      <c r="D1301" s="201"/>
      <c r="E1301" s="201"/>
      <c r="F1301" s="201">
        <v>3</v>
      </c>
      <c r="G1301" s="201"/>
      <c r="H1301" s="201"/>
      <c r="J1301" s="32"/>
      <c r="K1301" s="39"/>
      <c r="L1301" s="40"/>
      <c r="T1301" s="17"/>
      <c r="U1301" s="17"/>
      <c r="V1301" s="17"/>
      <c r="W1301" s="17"/>
      <c r="X1301" s="17"/>
      <c r="Y1301" s="17"/>
      <c r="Z1301" s="17"/>
    </row>
    <row r="1302" spans="1:26" x14ac:dyDescent="0.25">
      <c r="A1302" s="35"/>
      <c r="B1302" s="135" t="s">
        <v>62</v>
      </c>
      <c r="C1302" s="35"/>
      <c r="D1302" s="201"/>
      <c r="E1302" s="201"/>
      <c r="F1302" s="201">
        <v>4</v>
      </c>
      <c r="G1302" s="201"/>
      <c r="H1302" s="201"/>
      <c r="J1302" s="32"/>
      <c r="K1302" s="39"/>
      <c r="L1302" s="40"/>
      <c r="T1302" s="17"/>
      <c r="U1302" s="17"/>
      <c r="V1302" s="17"/>
      <c r="W1302" s="17"/>
      <c r="X1302" s="17"/>
      <c r="Y1302" s="17"/>
      <c r="Z1302" s="17"/>
    </row>
    <row r="1303" spans="1:26" x14ac:dyDescent="0.25">
      <c r="A1303" s="35"/>
      <c r="B1303" s="135" t="s">
        <v>63</v>
      </c>
      <c r="C1303" s="35"/>
      <c r="D1303" s="201"/>
      <c r="E1303" s="201"/>
      <c r="F1303" s="201">
        <v>5</v>
      </c>
      <c r="G1303" s="201"/>
      <c r="H1303" s="201"/>
      <c r="J1303" s="32"/>
      <c r="K1303" s="39"/>
      <c r="L1303" s="40"/>
      <c r="T1303" s="17"/>
      <c r="U1303" s="17"/>
      <c r="V1303" s="17"/>
      <c r="W1303" s="17"/>
      <c r="X1303" s="17"/>
      <c r="Y1303" s="17"/>
      <c r="Z1303" s="17"/>
    </row>
    <row r="1304" spans="1:26" x14ac:dyDescent="0.25">
      <c r="A1304" s="35"/>
      <c r="B1304" s="135" t="s">
        <v>64</v>
      </c>
      <c r="C1304" s="35"/>
      <c r="D1304" s="201"/>
      <c r="E1304" s="201"/>
      <c r="F1304" s="201">
        <v>6</v>
      </c>
      <c r="G1304" s="201"/>
      <c r="H1304" s="201"/>
      <c r="I1304" s="30"/>
      <c r="J1304" s="32"/>
      <c r="K1304" s="39"/>
      <c r="L1304" s="40"/>
      <c r="T1304" s="17"/>
      <c r="U1304" s="17"/>
      <c r="V1304" s="17"/>
      <c r="W1304" s="17"/>
      <c r="X1304" s="17"/>
      <c r="Y1304" s="17"/>
      <c r="Z1304" s="17"/>
    </row>
    <row r="1305" spans="1:26" ht="94.5" x14ac:dyDescent="0.25">
      <c r="A1305" s="35"/>
      <c r="B1305" s="135" t="s">
        <v>65</v>
      </c>
      <c r="C1305" s="55" t="s">
        <v>1031</v>
      </c>
      <c r="D1305" s="196">
        <v>60</v>
      </c>
      <c r="E1305" s="196" t="s">
        <v>70</v>
      </c>
      <c r="F1305" s="196" t="s">
        <v>1032</v>
      </c>
      <c r="G1305" s="203">
        <v>44659</v>
      </c>
      <c r="H1305" s="17">
        <v>2635</v>
      </c>
      <c r="I1305" s="218">
        <v>1</v>
      </c>
      <c r="J1305" s="32"/>
      <c r="K1305" s="39"/>
      <c r="L1305" s="40"/>
      <c r="T1305" s="17"/>
      <c r="U1305" s="17"/>
      <c r="V1305" s="17"/>
      <c r="W1305" s="17"/>
      <c r="X1305" s="17"/>
      <c r="Y1305" s="17"/>
      <c r="Z1305" s="17"/>
    </row>
    <row r="1306" spans="1:26" ht="63" x14ac:dyDescent="0.25">
      <c r="A1306" s="35"/>
      <c r="B1306" s="135" t="s">
        <v>66</v>
      </c>
      <c r="C1306" s="204" t="s">
        <v>1033</v>
      </c>
      <c r="D1306" s="205">
        <v>60</v>
      </c>
      <c r="E1306" s="205" t="s">
        <v>151</v>
      </c>
      <c r="F1306" s="205" t="s">
        <v>1034</v>
      </c>
      <c r="G1306" s="206">
        <v>44656</v>
      </c>
      <c r="H1306" s="17">
        <v>22000</v>
      </c>
      <c r="I1306" s="218">
        <v>7</v>
      </c>
      <c r="J1306" s="32"/>
      <c r="K1306" s="39"/>
      <c r="L1306" s="40"/>
      <c r="T1306" s="17"/>
      <c r="U1306" s="17"/>
      <c r="V1306" s="17"/>
      <c r="W1306" s="17"/>
      <c r="X1306" s="17"/>
      <c r="Y1306" s="17"/>
      <c r="Z1306" s="17"/>
    </row>
    <row r="1307" spans="1:26" ht="47.25" x14ac:dyDescent="0.25">
      <c r="A1307" s="41"/>
      <c r="B1307" s="135" t="s">
        <v>67</v>
      </c>
      <c r="C1307" s="207"/>
      <c r="D1307" s="208"/>
      <c r="E1307" s="208"/>
      <c r="F1307" s="208" t="s">
        <v>1035</v>
      </c>
      <c r="G1307" s="209" t="s">
        <v>972</v>
      </c>
      <c r="H1307" s="210"/>
      <c r="J1307" s="32"/>
      <c r="K1307" s="39"/>
      <c r="L1307" s="40"/>
      <c r="T1307" s="17"/>
      <c r="U1307" s="17"/>
      <c r="V1307" s="17"/>
      <c r="W1307" s="17"/>
      <c r="X1307" s="17"/>
      <c r="Y1307" s="17"/>
      <c r="Z1307" s="17"/>
    </row>
    <row r="1308" spans="1:26" x14ac:dyDescent="0.25">
      <c r="A1308" s="35"/>
      <c r="B1308" s="135" t="s">
        <v>68</v>
      </c>
      <c r="C1308" s="35"/>
      <c r="D1308" s="210"/>
      <c r="E1308" s="210"/>
      <c r="F1308" s="210"/>
      <c r="G1308" s="210"/>
      <c r="H1308" s="210"/>
      <c r="J1308" s="32"/>
      <c r="K1308" s="39"/>
      <c r="L1308" s="40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</row>
    <row r="1309" spans="1:26" x14ac:dyDescent="0.25">
      <c r="A1309" s="35"/>
      <c r="B1309" s="138">
        <v>0.79166666666666663</v>
      </c>
      <c r="C1309" s="35"/>
      <c r="D1309" s="210"/>
      <c r="E1309" s="210"/>
      <c r="F1309" s="210"/>
      <c r="G1309" s="210"/>
      <c r="H1309" s="210"/>
      <c r="J1309" s="32"/>
      <c r="K1309" s="39"/>
      <c r="L1309" s="40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</row>
    <row r="1310" spans="1:26" x14ac:dyDescent="0.25">
      <c r="A1310" s="35"/>
      <c r="B1310" s="138">
        <v>0.83333333333333337</v>
      </c>
      <c r="C1310" s="35"/>
      <c r="D1310" s="210"/>
      <c r="E1310" s="210"/>
      <c r="F1310" s="210"/>
      <c r="G1310" s="210"/>
      <c r="H1310" s="210"/>
      <c r="J1310" s="32"/>
      <c r="K1310" s="39"/>
      <c r="L1310" s="40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</row>
    <row r="1311" spans="1:26" x14ac:dyDescent="0.25">
      <c r="A1311" s="35"/>
      <c r="B1311" s="138">
        <v>0.875</v>
      </c>
      <c r="C1311" s="35"/>
      <c r="D1311" s="210"/>
      <c r="E1311" s="210"/>
      <c r="F1311" s="210"/>
      <c r="G1311" s="210"/>
      <c r="H1311" s="210"/>
      <c r="J1311" s="32"/>
      <c r="K1311" s="39"/>
      <c r="L1311" s="40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</row>
    <row r="1312" spans="1:26" x14ac:dyDescent="0.25">
      <c r="A1312" s="35"/>
      <c r="B1312" s="138">
        <v>0.91666666666666663</v>
      </c>
      <c r="C1312" s="35"/>
      <c r="D1312" s="201"/>
      <c r="E1312" s="201"/>
      <c r="F1312" s="201"/>
      <c r="G1312" s="211"/>
      <c r="H1312" s="201"/>
      <c r="I1312" s="30"/>
      <c r="J1312" s="32"/>
      <c r="K1312" s="39"/>
      <c r="L1312" s="40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</row>
    <row r="1313" spans="1:26" x14ac:dyDescent="0.25">
      <c r="A1313" s="35"/>
      <c r="B1313" s="139">
        <v>0.94791666666666663</v>
      </c>
      <c r="C1313" s="35"/>
      <c r="D1313" s="32"/>
      <c r="E1313" s="32"/>
      <c r="F1313" s="32"/>
      <c r="G1313" s="212"/>
      <c r="H1313" s="32"/>
      <c r="I1313" s="30"/>
      <c r="J1313" s="32"/>
      <c r="K1313" s="39"/>
      <c r="L1313" s="40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</row>
    <row r="1314" spans="1:26" x14ac:dyDescent="0.25">
      <c r="A1314" s="80"/>
      <c r="B1314" s="132"/>
      <c r="C1314" s="132"/>
      <c r="D1314" s="132"/>
      <c r="E1314" s="132"/>
      <c r="F1314" s="132"/>
      <c r="G1314" s="133"/>
      <c r="H1314" s="51">
        <f t="shared" ref="H1314:I1314" si="66">SUM(H1297:H1313)</f>
        <v>39307</v>
      </c>
      <c r="I1314" s="51">
        <f t="shared" si="66"/>
        <v>17</v>
      </c>
      <c r="J1314" s="52"/>
      <c r="K1314" s="51">
        <f>SUM(K1296:K1313)</f>
        <v>0</v>
      </c>
      <c r="L1314" s="40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</row>
    <row r="1315" spans="1:26" ht="63" x14ac:dyDescent="0.25">
      <c r="A1315" s="33">
        <f>A1296+1</f>
        <v>44658</v>
      </c>
      <c r="B1315" s="134" t="s">
        <v>54</v>
      </c>
      <c r="C1315" s="55" t="s">
        <v>1036</v>
      </c>
      <c r="D1315" s="167">
        <v>68</v>
      </c>
      <c r="E1315" s="167" t="s">
        <v>802</v>
      </c>
      <c r="F1315" s="167" t="s">
        <v>1037</v>
      </c>
      <c r="G1315" s="197">
        <v>44657</v>
      </c>
      <c r="H1315" s="32">
        <v>31852</v>
      </c>
      <c r="I1315" s="218">
        <v>9</v>
      </c>
      <c r="J1315" s="32"/>
      <c r="K1315" s="39"/>
      <c r="L1315" s="40"/>
      <c r="T1315" s="17"/>
      <c r="U1315" s="17"/>
      <c r="V1315" s="17"/>
      <c r="W1315" s="17"/>
      <c r="X1315" s="17"/>
      <c r="Y1315" s="17"/>
      <c r="Z1315" s="17"/>
    </row>
    <row r="1316" spans="1:26" ht="141.75" x14ac:dyDescent="0.25">
      <c r="A1316" s="41" t="s">
        <v>137</v>
      </c>
      <c r="B1316" s="135" t="s">
        <v>57</v>
      </c>
      <c r="C1316" s="55" t="s">
        <v>1038</v>
      </c>
      <c r="D1316" s="213"/>
      <c r="E1316" s="213"/>
      <c r="F1316" s="213">
        <v>2</v>
      </c>
      <c r="G1316" s="213"/>
      <c r="H1316" s="198"/>
      <c r="I1316" s="218">
        <f>0.5*I1315</f>
        <v>4.5</v>
      </c>
      <c r="J1316" s="32"/>
      <c r="K1316" s="39"/>
      <c r="L1316" s="40"/>
      <c r="T1316" s="17"/>
      <c r="U1316" s="17"/>
      <c r="V1316" s="17"/>
      <c r="W1316" s="17"/>
      <c r="X1316" s="17"/>
      <c r="Y1316" s="17"/>
      <c r="Z1316" s="17"/>
    </row>
    <row r="1317" spans="1:26" x14ac:dyDescent="0.25">
      <c r="A1317" s="35"/>
      <c r="B1317" s="135" t="s">
        <v>58</v>
      </c>
      <c r="C1317" s="35"/>
      <c r="D1317" s="198"/>
      <c r="E1317" s="198"/>
      <c r="F1317" s="198">
        <v>3</v>
      </c>
      <c r="G1317" s="198"/>
      <c r="H1317" s="198"/>
      <c r="J1317" s="32"/>
      <c r="K1317" s="39"/>
      <c r="L1317" s="40"/>
      <c r="T1317" s="17"/>
      <c r="U1317" s="17"/>
      <c r="V1317" s="17"/>
      <c r="W1317" s="17"/>
      <c r="X1317" s="17"/>
      <c r="Y1317" s="17"/>
      <c r="Z1317" s="17"/>
    </row>
    <row r="1318" spans="1:26" x14ac:dyDescent="0.25">
      <c r="A1318" s="35"/>
      <c r="B1318" s="135" t="s">
        <v>59</v>
      </c>
      <c r="C1318" s="35"/>
      <c r="D1318" s="198"/>
      <c r="E1318" s="198"/>
      <c r="F1318" s="198">
        <v>4</v>
      </c>
      <c r="G1318" s="198"/>
      <c r="H1318" s="198"/>
      <c r="J1318" s="32"/>
      <c r="K1318" s="39"/>
      <c r="L1318" s="40"/>
      <c r="T1318" s="17"/>
      <c r="U1318" s="17"/>
      <c r="V1318" s="17"/>
      <c r="W1318" s="17"/>
      <c r="X1318" s="17"/>
      <c r="Y1318" s="17"/>
      <c r="Z1318" s="17"/>
    </row>
    <row r="1319" spans="1:26" x14ac:dyDescent="0.25">
      <c r="A1319" s="35"/>
      <c r="B1319" s="135" t="s">
        <v>60</v>
      </c>
      <c r="C1319" s="35"/>
      <c r="D1319" s="198"/>
      <c r="E1319" s="198"/>
      <c r="F1319" s="198">
        <v>5</v>
      </c>
      <c r="G1319" s="198"/>
      <c r="H1319" s="198"/>
      <c r="J1319" s="32"/>
      <c r="K1319" s="39"/>
      <c r="L1319" s="40"/>
      <c r="T1319" s="17"/>
      <c r="U1319" s="17"/>
      <c r="V1319" s="17"/>
      <c r="W1319" s="17"/>
      <c r="X1319" s="17"/>
      <c r="Y1319" s="17"/>
      <c r="Z1319" s="17"/>
    </row>
    <row r="1320" spans="1:26" x14ac:dyDescent="0.25">
      <c r="A1320" s="35"/>
      <c r="B1320" s="135" t="s">
        <v>61</v>
      </c>
      <c r="C1320" s="35"/>
      <c r="D1320" s="198"/>
      <c r="E1320" s="198"/>
      <c r="F1320" s="198">
        <v>6</v>
      </c>
      <c r="G1320" s="198"/>
      <c r="H1320" s="198"/>
      <c r="I1320" s="30"/>
      <c r="J1320" s="32"/>
      <c r="K1320" s="39"/>
      <c r="L1320" s="40"/>
      <c r="T1320" s="17"/>
      <c r="U1320" s="17"/>
      <c r="V1320" s="17"/>
      <c r="W1320" s="17"/>
      <c r="X1320" s="17"/>
      <c r="Y1320" s="17"/>
      <c r="Z1320" s="17"/>
    </row>
    <row r="1321" spans="1:26" x14ac:dyDescent="0.25">
      <c r="A1321" s="35"/>
      <c r="B1321" s="135" t="s">
        <v>62</v>
      </c>
      <c r="C1321" s="35"/>
      <c r="D1321" s="198"/>
      <c r="E1321" s="198"/>
      <c r="F1321" s="198">
        <v>7</v>
      </c>
      <c r="G1321" s="198"/>
      <c r="H1321" s="198"/>
      <c r="I1321" s="30"/>
      <c r="J1321" s="32"/>
      <c r="K1321" s="39"/>
      <c r="L1321" s="40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</row>
    <row r="1322" spans="1:26" x14ac:dyDescent="0.25">
      <c r="A1322" s="35"/>
      <c r="B1322" s="135" t="s">
        <v>63</v>
      </c>
      <c r="C1322" s="35"/>
      <c r="D1322" s="198"/>
      <c r="E1322" s="198"/>
      <c r="F1322" s="198">
        <v>8</v>
      </c>
      <c r="G1322" s="198"/>
      <c r="H1322" s="198"/>
      <c r="J1322" s="32"/>
      <c r="K1322" s="39"/>
      <c r="L1322" s="40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</row>
    <row r="1323" spans="1:26" x14ac:dyDescent="0.25">
      <c r="A1323" s="35"/>
      <c r="B1323" s="135" t="s">
        <v>64</v>
      </c>
      <c r="C1323" s="35"/>
      <c r="D1323" s="198"/>
      <c r="E1323" s="198"/>
      <c r="F1323" s="198">
        <v>9</v>
      </c>
      <c r="G1323" s="198"/>
      <c r="H1323" s="198"/>
      <c r="J1323" s="32"/>
      <c r="K1323" s="39"/>
      <c r="L1323" s="40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</row>
    <row r="1324" spans="1:26" x14ac:dyDescent="0.25">
      <c r="A1324" s="35"/>
      <c r="B1324" s="135" t="s">
        <v>65</v>
      </c>
      <c r="C1324" s="35"/>
      <c r="D1324" s="213"/>
      <c r="E1324" s="213"/>
      <c r="F1324" s="213"/>
      <c r="G1324" s="213"/>
      <c r="H1324" s="213"/>
      <c r="J1324" s="32"/>
      <c r="K1324" s="39"/>
      <c r="L1324" s="40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</row>
    <row r="1325" spans="1:26" x14ac:dyDescent="0.25">
      <c r="A1325" s="35"/>
      <c r="B1325" s="135" t="s">
        <v>66</v>
      </c>
      <c r="C1325" s="35"/>
      <c r="D1325" s="213"/>
      <c r="E1325" s="213"/>
      <c r="F1325" s="213"/>
      <c r="G1325" s="213"/>
      <c r="H1325" s="213"/>
      <c r="J1325" s="32"/>
      <c r="K1325" s="39"/>
      <c r="L1325" s="40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</row>
    <row r="1326" spans="1:26" x14ac:dyDescent="0.25">
      <c r="A1326" s="35"/>
      <c r="B1326" s="135" t="s">
        <v>67</v>
      </c>
      <c r="C1326" s="35"/>
      <c r="D1326" s="213"/>
      <c r="E1326" s="213"/>
      <c r="F1326" s="213"/>
      <c r="G1326" s="213"/>
      <c r="H1326" s="213"/>
      <c r="J1326" s="32"/>
      <c r="K1326" s="39"/>
      <c r="L1326" s="40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</row>
    <row r="1327" spans="1:26" x14ac:dyDescent="0.25">
      <c r="A1327" s="35"/>
      <c r="B1327" s="135" t="s">
        <v>68</v>
      </c>
      <c r="C1327" s="35"/>
      <c r="J1327" s="32"/>
      <c r="K1327" s="39"/>
      <c r="L1327" s="40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</row>
    <row r="1328" spans="1:26" x14ac:dyDescent="0.25">
      <c r="A1328" s="35"/>
      <c r="B1328" s="138">
        <v>0.79166666666666663</v>
      </c>
      <c r="C1328" s="35"/>
      <c r="J1328" s="32"/>
      <c r="K1328" s="39"/>
      <c r="L1328" s="40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</row>
    <row r="1329" spans="1:26" x14ac:dyDescent="0.25">
      <c r="A1329" s="35"/>
      <c r="B1329" s="138">
        <v>0.83333333333333337</v>
      </c>
      <c r="C1329" s="35"/>
      <c r="D1329" s="32"/>
      <c r="E1329" s="32"/>
      <c r="F1329" s="32"/>
      <c r="G1329" s="32"/>
      <c r="H1329" s="32"/>
      <c r="I1329" s="30"/>
      <c r="J1329" s="32"/>
      <c r="K1329" s="39"/>
      <c r="L1329" s="40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</row>
    <row r="1330" spans="1:26" x14ac:dyDescent="0.25">
      <c r="A1330" s="35"/>
      <c r="B1330" s="138">
        <v>0.875</v>
      </c>
      <c r="C1330" s="35"/>
      <c r="D1330" s="32"/>
      <c r="E1330" s="32"/>
      <c r="F1330" s="32"/>
      <c r="G1330" s="212"/>
      <c r="H1330" s="32"/>
      <c r="I1330" s="30"/>
      <c r="J1330" s="32"/>
      <c r="K1330" s="39"/>
      <c r="L1330" s="40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</row>
    <row r="1331" spans="1:26" x14ac:dyDescent="0.25">
      <c r="A1331" s="35"/>
      <c r="B1331" s="138">
        <v>0.91666666666666663</v>
      </c>
      <c r="C1331" s="35"/>
      <c r="D1331" s="32"/>
      <c r="E1331" s="32"/>
      <c r="F1331" s="32"/>
      <c r="G1331" s="212"/>
      <c r="H1331" s="32"/>
      <c r="I1331" s="30"/>
      <c r="J1331" s="32"/>
      <c r="K1331" s="39"/>
      <c r="L1331" s="40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</row>
    <row r="1332" spans="1:26" x14ac:dyDescent="0.25">
      <c r="A1332" s="35"/>
      <c r="B1332" s="139">
        <v>0.94791666666666663</v>
      </c>
      <c r="C1332" s="35"/>
      <c r="D1332" s="32"/>
      <c r="E1332" s="32"/>
      <c r="F1332" s="32"/>
      <c r="G1332" s="212"/>
      <c r="H1332" s="32"/>
      <c r="I1332" s="30"/>
      <c r="J1332" s="32"/>
      <c r="K1332" s="39"/>
      <c r="L1332" s="40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</row>
    <row r="1333" spans="1:26" x14ac:dyDescent="0.25">
      <c r="A1333" s="80"/>
      <c r="B1333" s="132"/>
      <c r="C1333" s="132"/>
      <c r="D1333" s="132"/>
      <c r="E1333" s="132"/>
      <c r="F1333" s="132"/>
      <c r="G1333" s="133"/>
      <c r="H1333" s="51">
        <f t="shared" ref="H1333:I1333" si="67">SUM(H1315:H1332)</f>
        <v>31852</v>
      </c>
      <c r="I1333" s="51">
        <f t="shared" si="67"/>
        <v>13.5</v>
      </c>
      <c r="J1333" s="52"/>
      <c r="K1333" s="51">
        <f>SUM(K1315:K1332)</f>
        <v>0</v>
      </c>
      <c r="L1333" s="40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</row>
    <row r="1334" spans="1:26" ht="63" x14ac:dyDescent="0.25">
      <c r="A1334" s="33">
        <f>A1315+1</f>
        <v>44659</v>
      </c>
      <c r="B1334" s="134" t="s">
        <v>54</v>
      </c>
      <c r="C1334" s="55" t="s">
        <v>1039</v>
      </c>
      <c r="D1334" s="167">
        <v>68</v>
      </c>
      <c r="E1334" s="167" t="s">
        <v>343</v>
      </c>
      <c r="F1334" s="167" t="s">
        <v>1040</v>
      </c>
      <c r="G1334" s="197">
        <v>44657</v>
      </c>
      <c r="H1334" s="32" t="s">
        <v>1041</v>
      </c>
      <c r="I1334" s="218">
        <v>3</v>
      </c>
      <c r="J1334" s="32"/>
      <c r="K1334" s="39"/>
      <c r="L1334" s="40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</row>
    <row r="1335" spans="1:26" ht="47.25" x14ac:dyDescent="0.25">
      <c r="A1335" s="41" t="s">
        <v>56</v>
      </c>
      <c r="B1335" s="135" t="s">
        <v>57</v>
      </c>
      <c r="C1335" s="55" t="s">
        <v>1042</v>
      </c>
      <c r="D1335" s="198"/>
      <c r="E1335" s="198"/>
      <c r="F1335" s="198">
        <v>2</v>
      </c>
      <c r="G1335" s="198"/>
      <c r="H1335" s="198"/>
      <c r="I1335" s="30"/>
      <c r="J1335" s="32"/>
      <c r="K1335" s="39"/>
      <c r="L1335" s="40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</row>
    <row r="1336" spans="1:26" x14ac:dyDescent="0.25">
      <c r="A1336" s="35"/>
      <c r="B1336" s="135" t="s">
        <v>58</v>
      </c>
      <c r="C1336" s="35"/>
      <c r="D1336" s="198"/>
      <c r="E1336" s="198"/>
      <c r="F1336" s="198">
        <v>3</v>
      </c>
      <c r="G1336" s="198"/>
      <c r="H1336" s="198"/>
      <c r="I1336" s="30"/>
      <c r="J1336" s="32"/>
      <c r="K1336" s="39"/>
      <c r="L1336" s="40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</row>
    <row r="1337" spans="1:26" ht="63" x14ac:dyDescent="0.25">
      <c r="A1337" s="35"/>
      <c r="B1337" s="135" t="s">
        <v>59</v>
      </c>
      <c r="C1337" s="55" t="s">
        <v>1043</v>
      </c>
      <c r="D1337" s="167">
        <v>68</v>
      </c>
      <c r="E1337" s="167" t="s">
        <v>1044</v>
      </c>
      <c r="F1337" s="167" t="s">
        <v>1045</v>
      </c>
      <c r="G1337" s="197">
        <v>44659</v>
      </c>
      <c r="H1337" s="32">
        <v>4546</v>
      </c>
      <c r="I1337" s="218">
        <v>2</v>
      </c>
      <c r="J1337" s="32"/>
      <c r="K1337" s="39"/>
      <c r="L1337" s="40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</row>
    <row r="1338" spans="1:26" ht="31.5" x14ac:dyDescent="0.25">
      <c r="A1338" s="35"/>
      <c r="B1338" s="135" t="s">
        <v>60</v>
      </c>
      <c r="C1338" s="55" t="s">
        <v>1046</v>
      </c>
      <c r="D1338" s="214"/>
      <c r="E1338" s="214"/>
      <c r="F1338" s="214"/>
      <c r="G1338" s="214"/>
      <c r="H1338" s="215"/>
      <c r="J1338" s="32"/>
      <c r="K1338" s="39"/>
      <c r="L1338" s="40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</row>
    <row r="1339" spans="1:26" ht="94.5" x14ac:dyDescent="0.25">
      <c r="A1339" s="35"/>
      <c r="B1339" s="135" t="s">
        <v>61</v>
      </c>
      <c r="C1339" s="55" t="s">
        <v>1047</v>
      </c>
      <c r="D1339" s="196">
        <v>72</v>
      </c>
      <c r="E1339" s="196" t="s">
        <v>70</v>
      </c>
      <c r="F1339" s="196" t="s">
        <v>1048</v>
      </c>
      <c r="G1339" s="196" t="s">
        <v>1049</v>
      </c>
      <c r="H1339" s="17">
        <v>3188</v>
      </c>
      <c r="I1339" s="218">
        <v>1</v>
      </c>
      <c r="J1339" s="32"/>
      <c r="K1339" s="39"/>
      <c r="L1339" s="40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</row>
    <row r="1340" spans="1:26" ht="63" x14ac:dyDescent="0.25">
      <c r="A1340" s="35"/>
      <c r="B1340" s="135" t="s">
        <v>62</v>
      </c>
      <c r="C1340" s="55" t="s">
        <v>1050</v>
      </c>
      <c r="D1340" s="196">
        <v>72</v>
      </c>
      <c r="E1340" s="196" t="s">
        <v>85</v>
      </c>
      <c r="F1340" s="196" t="s">
        <v>1051</v>
      </c>
      <c r="G1340" s="203">
        <v>44659</v>
      </c>
      <c r="H1340" s="17">
        <v>9655</v>
      </c>
      <c r="I1340" s="218">
        <v>3</v>
      </c>
      <c r="J1340" s="32"/>
      <c r="K1340" s="39"/>
      <c r="L1340" s="40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</row>
    <row r="1341" spans="1:26" ht="47.25" x14ac:dyDescent="0.25">
      <c r="A1341" s="35"/>
      <c r="B1341" s="135" t="s">
        <v>63</v>
      </c>
      <c r="C1341" s="55" t="s">
        <v>1052</v>
      </c>
      <c r="D1341" s="216"/>
      <c r="E1341" s="216"/>
      <c r="F1341" s="216"/>
      <c r="G1341" s="216"/>
      <c r="H1341" s="210"/>
      <c r="J1341" s="32"/>
      <c r="K1341" s="39"/>
      <c r="L1341" s="40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</row>
    <row r="1342" spans="1:26" x14ac:dyDescent="0.25">
      <c r="A1342" s="35"/>
      <c r="B1342" s="135" t="s">
        <v>64</v>
      </c>
      <c r="C1342" s="35"/>
      <c r="D1342" s="201"/>
      <c r="E1342" s="201"/>
      <c r="F1342" s="201"/>
      <c r="G1342" s="201"/>
      <c r="H1342" s="201"/>
      <c r="J1342" s="32"/>
      <c r="K1342" s="39"/>
      <c r="L1342" s="40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</row>
    <row r="1343" spans="1:26" ht="78.75" x14ac:dyDescent="0.25">
      <c r="A1343" s="35"/>
      <c r="B1343" s="135" t="s">
        <v>65</v>
      </c>
      <c r="C1343" s="176" t="s">
        <v>1053</v>
      </c>
      <c r="D1343" s="200">
        <v>72</v>
      </c>
      <c r="E1343" s="200" t="s">
        <v>610</v>
      </c>
      <c r="F1343" s="200" t="s">
        <v>1054</v>
      </c>
      <c r="G1343" s="217">
        <v>44659</v>
      </c>
      <c r="H1343" s="32">
        <v>2250</v>
      </c>
      <c r="I1343" s="218">
        <v>1</v>
      </c>
      <c r="J1343" s="32"/>
      <c r="K1343" s="39"/>
      <c r="L1343" s="40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</row>
    <row r="1344" spans="1:26" ht="78.75" x14ac:dyDescent="0.25">
      <c r="A1344" s="35"/>
      <c r="B1344" s="135" t="s">
        <v>66</v>
      </c>
      <c r="C1344" s="55" t="s">
        <v>1055</v>
      </c>
      <c r="D1344" s="167">
        <v>72</v>
      </c>
      <c r="E1344" s="167" t="s">
        <v>70</v>
      </c>
      <c r="F1344" s="167" t="s">
        <v>1056</v>
      </c>
      <c r="G1344" s="197">
        <v>44661</v>
      </c>
      <c r="H1344" s="32">
        <v>6400</v>
      </c>
      <c r="I1344" s="218">
        <v>2</v>
      </c>
      <c r="J1344" s="32"/>
      <c r="K1344" s="39"/>
      <c r="L1344" s="40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</row>
    <row r="1345" spans="1:26" ht="31.5" x14ac:dyDescent="0.25">
      <c r="A1345" s="35"/>
      <c r="B1345" s="135" t="s">
        <v>67</v>
      </c>
      <c r="C1345" s="55" t="s">
        <v>1057</v>
      </c>
      <c r="D1345" s="216"/>
      <c r="E1345" s="216"/>
      <c r="F1345" s="216"/>
      <c r="G1345" s="216"/>
      <c r="H1345" s="216"/>
      <c r="J1345" s="32"/>
      <c r="K1345" s="39"/>
      <c r="L1345" s="40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</row>
    <row r="1346" spans="1:26" x14ac:dyDescent="0.25">
      <c r="A1346" s="35"/>
      <c r="B1346" s="135" t="s">
        <v>68</v>
      </c>
      <c r="C1346" s="35"/>
      <c r="D1346" s="32"/>
      <c r="E1346" s="32"/>
      <c r="F1346" s="32"/>
      <c r="G1346" s="32"/>
      <c r="H1346" s="32"/>
      <c r="I1346" s="30"/>
      <c r="J1346" s="32"/>
      <c r="K1346" s="39"/>
      <c r="L1346" s="40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</row>
    <row r="1347" spans="1:26" x14ac:dyDescent="0.25">
      <c r="A1347" s="35"/>
      <c r="B1347" s="138">
        <v>0.79166666666666663</v>
      </c>
      <c r="C1347" s="35"/>
      <c r="D1347" s="32"/>
      <c r="E1347" s="32"/>
      <c r="F1347" s="32"/>
      <c r="G1347" s="32"/>
      <c r="H1347" s="32"/>
      <c r="I1347" s="30"/>
      <c r="J1347" s="32"/>
      <c r="K1347" s="39"/>
      <c r="L1347" s="40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</row>
    <row r="1348" spans="1:26" x14ac:dyDescent="0.25">
      <c r="A1348" s="35"/>
      <c r="B1348" s="138">
        <v>0.83333333333333337</v>
      </c>
      <c r="C1348" s="35"/>
      <c r="D1348" s="32"/>
      <c r="E1348" s="32"/>
      <c r="F1348" s="32"/>
      <c r="G1348" s="32"/>
      <c r="H1348" s="32"/>
      <c r="I1348" s="30"/>
      <c r="J1348" s="32"/>
      <c r="K1348" s="39"/>
      <c r="L1348" s="40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</row>
    <row r="1349" spans="1:26" x14ac:dyDescent="0.25">
      <c r="A1349" s="35"/>
      <c r="B1349" s="138">
        <v>0.875</v>
      </c>
      <c r="C1349" s="35"/>
      <c r="D1349" s="32"/>
      <c r="E1349" s="32"/>
      <c r="F1349" s="32"/>
      <c r="G1349" s="212"/>
      <c r="H1349" s="32"/>
      <c r="I1349" s="30"/>
      <c r="J1349" s="32"/>
      <c r="K1349" s="39"/>
      <c r="L1349" s="40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</row>
    <row r="1350" spans="1:26" x14ac:dyDescent="0.25">
      <c r="A1350" s="35"/>
      <c r="B1350" s="138">
        <v>0.91666666666666663</v>
      </c>
      <c r="C1350" s="35"/>
      <c r="D1350" s="32"/>
      <c r="E1350" s="32"/>
      <c r="F1350" s="32"/>
      <c r="G1350" s="212"/>
      <c r="H1350" s="32"/>
      <c r="I1350" s="30"/>
      <c r="J1350" s="32"/>
      <c r="K1350" s="39"/>
      <c r="L1350" s="40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</row>
    <row r="1351" spans="1:26" x14ac:dyDescent="0.25">
      <c r="A1351" s="35"/>
      <c r="B1351" s="139">
        <v>0.94791666666666663</v>
      </c>
      <c r="C1351" s="35"/>
      <c r="D1351" s="32"/>
      <c r="E1351" s="32"/>
      <c r="F1351" s="32"/>
      <c r="G1351" s="212"/>
      <c r="H1351" s="32"/>
      <c r="I1351" s="30"/>
      <c r="J1351" s="32"/>
      <c r="K1351" s="39"/>
      <c r="L1351" s="40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</row>
    <row r="1352" spans="1:26" x14ac:dyDescent="0.25">
      <c r="A1352" s="80"/>
      <c r="B1352" s="131"/>
      <c r="C1352" s="132"/>
      <c r="D1352" s="132"/>
      <c r="E1352" s="132"/>
      <c r="F1352" s="132"/>
      <c r="G1352" s="133"/>
      <c r="H1352" s="51">
        <f t="shared" ref="H1352:I1352" si="68">SUM(H1334:H1351)</f>
        <v>26039</v>
      </c>
      <c r="I1352" s="51">
        <f t="shared" si="68"/>
        <v>12</v>
      </c>
      <c r="J1352" s="52"/>
      <c r="K1352" s="51">
        <f>SUM(K1334:K1351)</f>
        <v>0</v>
      </c>
      <c r="L1352" s="40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</row>
    <row r="1353" spans="1:26" ht="47.25" x14ac:dyDescent="0.25">
      <c r="A1353" s="33">
        <f>A1334+3</f>
        <v>44662</v>
      </c>
      <c r="B1353" s="134" t="s">
        <v>54</v>
      </c>
      <c r="C1353" s="142" t="s">
        <v>1058</v>
      </c>
      <c r="D1353" s="205">
        <v>36</v>
      </c>
      <c r="E1353" s="205" t="s">
        <v>1059</v>
      </c>
      <c r="F1353" s="205" t="s">
        <v>1060</v>
      </c>
      <c r="G1353" s="206">
        <v>44662</v>
      </c>
      <c r="H1353" s="32">
        <v>4041</v>
      </c>
      <c r="I1353" s="30">
        <v>3</v>
      </c>
      <c r="J1353" s="32"/>
      <c r="K1353" s="39"/>
      <c r="L1353" s="40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</row>
    <row r="1354" spans="1:26" ht="47.25" x14ac:dyDescent="0.25">
      <c r="A1354" s="41" t="s">
        <v>72</v>
      </c>
      <c r="B1354" s="135" t="s">
        <v>57</v>
      </c>
      <c r="C1354" s="43"/>
      <c r="D1354" s="210"/>
      <c r="E1354" s="210"/>
      <c r="F1354" s="210"/>
      <c r="G1354" s="208" t="s">
        <v>1061</v>
      </c>
      <c r="H1354" s="210"/>
      <c r="I1354" s="30"/>
      <c r="J1354" s="32"/>
      <c r="K1354" s="39"/>
      <c r="L1354" s="40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</row>
    <row r="1355" spans="1:26" ht="63" x14ac:dyDescent="0.25">
      <c r="A1355" s="35"/>
      <c r="B1355" s="135" t="s">
        <v>58</v>
      </c>
      <c r="C1355" s="176" t="s">
        <v>1062</v>
      </c>
      <c r="D1355" s="199">
        <v>36</v>
      </c>
      <c r="E1355" s="200" t="s">
        <v>1063</v>
      </c>
      <c r="F1355" s="200" t="s">
        <v>1064</v>
      </c>
      <c r="G1355" s="217">
        <v>44662</v>
      </c>
      <c r="H1355" s="32">
        <v>4059</v>
      </c>
      <c r="I1355" s="30">
        <v>4</v>
      </c>
      <c r="J1355" s="32"/>
      <c r="K1355" s="39"/>
      <c r="L1355" s="40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</row>
    <row r="1356" spans="1:26" ht="47.25" x14ac:dyDescent="0.25">
      <c r="A1356" s="35"/>
      <c r="B1356" s="135" t="s">
        <v>59</v>
      </c>
      <c r="C1356" s="35"/>
      <c r="D1356" s="201"/>
      <c r="E1356" s="201"/>
      <c r="F1356" s="201"/>
      <c r="G1356" s="202" t="s">
        <v>1065</v>
      </c>
      <c r="H1356" s="210"/>
      <c r="I1356" s="30"/>
      <c r="J1356" s="32"/>
      <c r="K1356" s="39"/>
      <c r="L1356" s="40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</row>
    <row r="1357" spans="1:26" x14ac:dyDescent="0.25">
      <c r="A1357" s="35"/>
      <c r="B1357" s="135" t="s">
        <v>60</v>
      </c>
      <c r="C1357" s="35"/>
      <c r="D1357" s="201"/>
      <c r="E1357" s="201"/>
      <c r="F1357" s="201"/>
      <c r="G1357" s="201"/>
      <c r="H1357" s="201"/>
      <c r="I1357" s="30"/>
      <c r="J1357" s="32"/>
      <c r="K1357" s="39"/>
      <c r="L1357" s="40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</row>
    <row r="1358" spans="1:26" x14ac:dyDescent="0.25">
      <c r="A1358" s="35"/>
      <c r="B1358" s="135" t="s">
        <v>61</v>
      </c>
      <c r="C1358" s="35"/>
      <c r="D1358" s="201"/>
      <c r="E1358" s="201"/>
      <c r="F1358" s="201"/>
      <c r="G1358" s="201"/>
      <c r="H1358" s="201"/>
      <c r="I1358" s="30"/>
      <c r="J1358" s="32"/>
      <c r="K1358" s="39"/>
      <c r="L1358" s="40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</row>
    <row r="1359" spans="1:26" x14ac:dyDescent="0.25">
      <c r="A1359" s="35"/>
      <c r="B1359" s="135" t="s">
        <v>62</v>
      </c>
      <c r="C1359" s="35"/>
      <c r="D1359" s="201"/>
      <c r="E1359" s="201"/>
      <c r="F1359" s="201"/>
      <c r="G1359" s="201"/>
      <c r="H1359" s="201"/>
      <c r="I1359" s="30"/>
      <c r="J1359" s="32"/>
      <c r="K1359" s="39"/>
      <c r="L1359" s="40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</row>
    <row r="1360" spans="1:26" x14ac:dyDescent="0.25">
      <c r="A1360" s="35"/>
      <c r="B1360" s="135" t="s">
        <v>63</v>
      </c>
      <c r="C1360" s="35"/>
      <c r="D1360" s="32"/>
      <c r="E1360" s="32"/>
      <c r="F1360" s="32"/>
      <c r="G1360" s="212"/>
      <c r="H1360" s="32"/>
      <c r="I1360" s="30"/>
      <c r="J1360" s="32"/>
      <c r="K1360" s="39"/>
      <c r="L1360" s="40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</row>
    <row r="1361" spans="1:26" ht="63" x14ac:dyDescent="0.25">
      <c r="A1361" s="35"/>
      <c r="B1361" s="135" t="s">
        <v>64</v>
      </c>
      <c r="C1361" s="55" t="s">
        <v>1066</v>
      </c>
      <c r="D1361" s="196">
        <v>48</v>
      </c>
      <c r="E1361" s="196" t="s">
        <v>70</v>
      </c>
      <c r="F1361" s="196" t="s">
        <v>1067</v>
      </c>
      <c r="G1361" s="203">
        <v>44662</v>
      </c>
      <c r="H1361" s="17">
        <v>2147</v>
      </c>
      <c r="I1361" s="218">
        <v>1</v>
      </c>
      <c r="J1361" s="32"/>
      <c r="K1361" s="39"/>
      <c r="L1361" s="40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</row>
    <row r="1362" spans="1:26" x14ac:dyDescent="0.25">
      <c r="A1362" s="35"/>
      <c r="B1362" s="135" t="s">
        <v>65</v>
      </c>
      <c r="C1362" s="35"/>
      <c r="J1362" s="32"/>
      <c r="K1362" s="39"/>
      <c r="L1362" s="40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</row>
    <row r="1363" spans="1:26" x14ac:dyDescent="0.25">
      <c r="A1363" s="35"/>
      <c r="B1363" s="135" t="s">
        <v>66</v>
      </c>
      <c r="C1363" s="35"/>
      <c r="J1363" s="32"/>
      <c r="K1363" s="39"/>
      <c r="L1363" s="40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</row>
    <row r="1364" spans="1:26" x14ac:dyDescent="0.25">
      <c r="A1364" s="35"/>
      <c r="B1364" s="135" t="s">
        <v>67</v>
      </c>
      <c r="C1364" s="35"/>
      <c r="J1364" s="32"/>
      <c r="K1364" s="39"/>
      <c r="L1364" s="40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</row>
    <row r="1365" spans="1:26" x14ac:dyDescent="0.25">
      <c r="A1365" s="35"/>
      <c r="B1365" s="135" t="s">
        <v>68</v>
      </c>
      <c r="C1365" s="35"/>
      <c r="J1365" s="32"/>
      <c r="K1365" s="39"/>
      <c r="L1365" s="40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</row>
    <row r="1366" spans="1:26" x14ac:dyDescent="0.25">
      <c r="A1366" s="35"/>
      <c r="B1366" s="138">
        <v>0.79166666666666663</v>
      </c>
      <c r="C1366" s="35"/>
      <c r="J1366" s="32"/>
      <c r="K1366" s="39"/>
      <c r="L1366" s="40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</row>
    <row r="1367" spans="1:26" x14ac:dyDescent="0.25">
      <c r="A1367" s="35"/>
      <c r="B1367" s="138">
        <v>0.83333333333333337</v>
      </c>
      <c r="C1367" s="35"/>
      <c r="J1367" s="32"/>
      <c r="K1367" s="39"/>
      <c r="L1367" s="40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</row>
    <row r="1368" spans="1:26" x14ac:dyDescent="0.25">
      <c r="A1368" s="35"/>
      <c r="B1368" s="138">
        <v>0.875</v>
      </c>
      <c r="C1368" s="35"/>
      <c r="D1368" s="32"/>
      <c r="E1368" s="32"/>
      <c r="F1368" s="32"/>
      <c r="G1368" s="212"/>
      <c r="H1368" s="32"/>
      <c r="I1368" s="30"/>
      <c r="J1368" s="32"/>
      <c r="K1368" s="39"/>
      <c r="L1368" s="40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</row>
    <row r="1369" spans="1:26" x14ac:dyDescent="0.25">
      <c r="A1369" s="35"/>
      <c r="B1369" s="138">
        <v>0.91666666666666663</v>
      </c>
      <c r="C1369" s="35"/>
      <c r="D1369" s="32"/>
      <c r="E1369" s="32"/>
      <c r="F1369" s="32"/>
      <c r="G1369" s="212"/>
      <c r="H1369" s="32"/>
      <c r="I1369" s="30"/>
      <c r="J1369" s="32"/>
      <c r="K1369" s="39"/>
      <c r="L1369" s="40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</row>
    <row r="1370" spans="1:26" x14ac:dyDescent="0.25">
      <c r="A1370" s="35"/>
      <c r="B1370" s="139">
        <v>0.94791666666666663</v>
      </c>
      <c r="C1370" s="35"/>
      <c r="D1370" s="32"/>
      <c r="E1370" s="32"/>
      <c r="F1370" s="32"/>
      <c r="G1370" s="212"/>
      <c r="H1370" s="32"/>
      <c r="I1370" s="30"/>
      <c r="J1370" s="32"/>
      <c r="K1370" s="39"/>
      <c r="L1370" s="40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</row>
    <row r="1371" spans="1:26" x14ac:dyDescent="0.25">
      <c r="A1371" s="80"/>
      <c r="B1371" s="132"/>
      <c r="C1371" s="132"/>
      <c r="D1371" s="132"/>
      <c r="E1371" s="132"/>
      <c r="F1371" s="132"/>
      <c r="G1371" s="133"/>
      <c r="H1371" s="51">
        <f t="shared" ref="H1371:I1371" si="69">SUM(H1353:H1370)</f>
        <v>10247</v>
      </c>
      <c r="I1371" s="51">
        <f t="shared" si="69"/>
        <v>8</v>
      </c>
      <c r="J1371" s="52"/>
      <c r="K1371" s="51">
        <f>SUM(K1353:K1370)</f>
        <v>0</v>
      </c>
      <c r="L1371" s="40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</row>
    <row r="1372" spans="1:26" x14ac:dyDescent="0.25">
      <c r="A1372" s="33">
        <f>A1353+1</f>
        <v>44663</v>
      </c>
      <c r="B1372" s="134" t="s">
        <v>54</v>
      </c>
      <c r="C1372" s="35"/>
      <c r="D1372" s="32"/>
      <c r="E1372" s="32"/>
      <c r="F1372" s="32"/>
      <c r="G1372" s="212"/>
      <c r="H1372" s="32"/>
      <c r="I1372" s="30"/>
      <c r="J1372" s="32"/>
      <c r="K1372" s="39"/>
      <c r="L1372" s="40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</row>
    <row r="1373" spans="1:26" x14ac:dyDescent="0.25">
      <c r="A1373" s="41" t="s">
        <v>102</v>
      </c>
      <c r="B1373" s="135" t="s">
        <v>57</v>
      </c>
      <c r="C1373" s="35"/>
      <c r="D1373" s="32"/>
      <c r="E1373" s="32"/>
      <c r="F1373" s="32"/>
      <c r="G1373" s="212"/>
      <c r="H1373" s="32"/>
      <c r="I1373" s="30"/>
      <c r="J1373" s="32"/>
      <c r="K1373" s="39"/>
      <c r="L1373" s="40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</row>
    <row r="1374" spans="1:26" x14ac:dyDescent="0.25">
      <c r="A1374" s="35"/>
      <c r="B1374" s="135" t="s">
        <v>58</v>
      </c>
      <c r="C1374" s="35"/>
      <c r="D1374" s="32"/>
      <c r="E1374" s="32"/>
      <c r="F1374" s="32"/>
      <c r="G1374" s="212"/>
      <c r="H1374" s="32"/>
      <c r="I1374" s="30"/>
      <c r="J1374" s="32"/>
      <c r="K1374" s="39"/>
      <c r="L1374" s="40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</row>
    <row r="1375" spans="1:26" x14ac:dyDescent="0.25">
      <c r="A1375" s="35"/>
      <c r="B1375" s="135" t="s">
        <v>59</v>
      </c>
      <c r="C1375" s="35"/>
      <c r="D1375" s="32"/>
      <c r="E1375" s="32"/>
      <c r="F1375" s="32"/>
      <c r="G1375" s="212"/>
      <c r="H1375" s="32"/>
      <c r="I1375" s="30"/>
      <c r="J1375" s="32"/>
      <c r="K1375" s="39"/>
      <c r="L1375" s="40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</row>
    <row r="1376" spans="1:26" x14ac:dyDescent="0.25">
      <c r="A1376" s="35"/>
      <c r="B1376" s="135" t="s">
        <v>60</v>
      </c>
      <c r="C1376" s="35"/>
      <c r="D1376" s="32"/>
      <c r="E1376" s="32"/>
      <c r="F1376" s="32"/>
      <c r="G1376" s="212"/>
      <c r="H1376" s="32"/>
      <c r="I1376" s="30"/>
      <c r="J1376" s="32"/>
      <c r="K1376" s="39"/>
      <c r="L1376" s="40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</row>
    <row r="1377" spans="1:26" x14ac:dyDescent="0.25">
      <c r="A1377" s="35"/>
      <c r="B1377" s="135" t="s">
        <v>61</v>
      </c>
      <c r="C1377" s="35"/>
      <c r="D1377" s="32"/>
      <c r="E1377" s="32"/>
      <c r="F1377" s="32"/>
      <c r="G1377" s="212"/>
      <c r="H1377" s="32"/>
      <c r="I1377" s="30"/>
      <c r="J1377" s="32"/>
      <c r="K1377" s="39"/>
      <c r="L1377" s="40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</row>
    <row r="1378" spans="1:26" x14ac:dyDescent="0.25">
      <c r="A1378" s="35"/>
      <c r="B1378" s="135" t="s">
        <v>62</v>
      </c>
      <c r="C1378" s="35"/>
      <c r="D1378" s="32"/>
      <c r="E1378" s="32"/>
      <c r="F1378" s="32"/>
      <c r="G1378" s="212"/>
      <c r="H1378" s="32"/>
      <c r="I1378" s="30"/>
      <c r="J1378" s="32"/>
      <c r="K1378" s="39"/>
      <c r="L1378" s="40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</row>
    <row r="1379" spans="1:26" x14ac:dyDescent="0.25">
      <c r="A1379" s="35"/>
      <c r="B1379" s="135" t="s">
        <v>63</v>
      </c>
      <c r="C1379" s="35"/>
      <c r="D1379" s="32"/>
      <c r="E1379" s="32"/>
      <c r="F1379" s="32"/>
      <c r="G1379" s="212"/>
      <c r="H1379" s="32"/>
      <c r="I1379" s="30"/>
      <c r="J1379" s="32"/>
      <c r="K1379" s="39"/>
      <c r="L1379" s="40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</row>
    <row r="1380" spans="1:26" x14ac:dyDescent="0.25">
      <c r="A1380" s="35"/>
      <c r="B1380" s="135" t="s">
        <v>64</v>
      </c>
      <c r="C1380" s="35"/>
      <c r="D1380" s="32"/>
      <c r="E1380" s="32"/>
      <c r="F1380" s="32"/>
      <c r="G1380" s="212"/>
      <c r="H1380" s="32"/>
      <c r="I1380" s="30"/>
      <c r="J1380" s="32"/>
      <c r="K1380" s="39"/>
      <c r="L1380" s="40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</row>
    <row r="1381" spans="1:26" x14ac:dyDescent="0.25">
      <c r="A1381" s="35"/>
      <c r="B1381" s="135" t="s">
        <v>65</v>
      </c>
      <c r="C1381" s="35"/>
      <c r="D1381" s="32"/>
      <c r="E1381" s="32"/>
      <c r="F1381" s="32"/>
      <c r="G1381" s="212"/>
      <c r="H1381" s="32"/>
      <c r="I1381" s="30"/>
      <c r="J1381" s="32"/>
      <c r="K1381" s="39"/>
      <c r="L1381" s="40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</row>
    <row r="1382" spans="1:26" x14ac:dyDescent="0.25">
      <c r="A1382" s="35"/>
      <c r="B1382" s="135" t="s">
        <v>66</v>
      </c>
      <c r="C1382" s="35"/>
      <c r="D1382" s="32"/>
      <c r="E1382" s="32"/>
      <c r="F1382" s="32"/>
      <c r="G1382" s="212"/>
      <c r="H1382" s="32"/>
      <c r="I1382" s="30"/>
      <c r="J1382" s="32"/>
      <c r="K1382" s="39"/>
      <c r="L1382" s="40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</row>
    <row r="1383" spans="1:26" x14ac:dyDescent="0.25">
      <c r="A1383" s="35"/>
      <c r="B1383" s="135" t="s">
        <v>67</v>
      </c>
      <c r="C1383" s="35"/>
      <c r="D1383" s="32"/>
      <c r="E1383" s="32"/>
      <c r="F1383" s="32"/>
      <c r="G1383" s="212"/>
      <c r="H1383" s="32"/>
      <c r="I1383" s="30"/>
      <c r="J1383" s="32"/>
      <c r="K1383" s="39"/>
      <c r="L1383" s="40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</row>
    <row r="1384" spans="1:26" x14ac:dyDescent="0.25">
      <c r="A1384" s="35"/>
      <c r="B1384" s="135" t="s">
        <v>68</v>
      </c>
      <c r="C1384" s="35"/>
      <c r="D1384" s="32"/>
      <c r="E1384" s="32"/>
      <c r="F1384" s="32"/>
      <c r="G1384" s="212"/>
      <c r="H1384" s="32"/>
      <c r="I1384" s="30"/>
      <c r="J1384" s="32"/>
      <c r="K1384" s="39"/>
      <c r="L1384" s="40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</row>
    <row r="1385" spans="1:26" x14ac:dyDescent="0.25">
      <c r="A1385" s="35"/>
      <c r="B1385" s="138">
        <v>0.79166666666666663</v>
      </c>
      <c r="C1385" s="35"/>
      <c r="D1385" s="32"/>
      <c r="E1385" s="32"/>
      <c r="F1385" s="32"/>
      <c r="G1385" s="212"/>
      <c r="H1385" s="32"/>
      <c r="I1385" s="30"/>
      <c r="J1385" s="32"/>
      <c r="K1385" s="39"/>
      <c r="L1385" s="40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</row>
    <row r="1386" spans="1:26" x14ac:dyDescent="0.25">
      <c r="A1386" s="35"/>
      <c r="B1386" s="138">
        <v>0.83333333333333337</v>
      </c>
      <c r="C1386" s="35"/>
      <c r="D1386" s="32"/>
      <c r="E1386" s="32"/>
      <c r="F1386" s="32"/>
      <c r="G1386" s="212"/>
      <c r="H1386" s="32"/>
      <c r="I1386" s="30"/>
      <c r="J1386" s="32"/>
      <c r="K1386" s="39"/>
      <c r="L1386" s="40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</row>
    <row r="1387" spans="1:26" x14ac:dyDescent="0.25">
      <c r="A1387" s="35"/>
      <c r="B1387" s="138">
        <v>0.875</v>
      </c>
      <c r="C1387" s="35"/>
      <c r="D1387" s="32"/>
      <c r="E1387" s="32"/>
      <c r="F1387" s="32"/>
      <c r="G1387" s="212"/>
      <c r="H1387" s="32"/>
      <c r="I1387" s="30"/>
      <c r="J1387" s="32"/>
      <c r="K1387" s="39"/>
      <c r="L1387" s="40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</row>
    <row r="1388" spans="1:26" x14ac:dyDescent="0.25">
      <c r="A1388" s="35"/>
      <c r="B1388" s="138">
        <v>0.91666666666666663</v>
      </c>
      <c r="C1388" s="35"/>
      <c r="D1388" s="32"/>
      <c r="E1388" s="32"/>
      <c r="F1388" s="32"/>
      <c r="G1388" s="212"/>
      <c r="H1388" s="32"/>
      <c r="I1388" s="30"/>
      <c r="J1388" s="32"/>
      <c r="K1388" s="39"/>
      <c r="L1388" s="40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</row>
    <row r="1389" spans="1:26" x14ac:dyDescent="0.25">
      <c r="A1389" s="35"/>
      <c r="B1389" s="139">
        <v>0.94791666666666663</v>
      </c>
      <c r="C1389" s="35"/>
      <c r="D1389" s="32"/>
      <c r="E1389" s="32"/>
      <c r="F1389" s="32"/>
      <c r="G1389" s="212"/>
      <c r="H1389" s="32"/>
      <c r="I1389" s="30"/>
      <c r="J1389" s="32"/>
      <c r="K1389" s="39"/>
      <c r="L1389" s="40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</row>
    <row r="1390" spans="1:26" x14ac:dyDescent="0.25">
      <c r="A1390" s="80"/>
      <c r="B1390" s="132"/>
      <c r="C1390" s="132"/>
      <c r="D1390" s="132"/>
      <c r="E1390" s="132"/>
      <c r="F1390" s="132"/>
      <c r="G1390" s="133"/>
      <c r="H1390" s="51">
        <f t="shared" ref="H1390:I1390" si="70">SUM(H1377:H1389)</f>
        <v>0</v>
      </c>
      <c r="I1390" s="51">
        <f t="shared" si="70"/>
        <v>0</v>
      </c>
      <c r="J1390" s="52"/>
      <c r="K1390" s="51">
        <f>SUM(K1372:K1389)</f>
        <v>0</v>
      </c>
      <c r="L1390" s="40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</row>
    <row r="1391" spans="1:26" x14ac:dyDescent="0.25">
      <c r="A1391" s="33">
        <f>A1372+1</f>
        <v>44664</v>
      </c>
      <c r="B1391" s="134" t="s">
        <v>54</v>
      </c>
      <c r="C1391" s="35"/>
      <c r="D1391" s="32"/>
      <c r="E1391" s="32"/>
      <c r="F1391" s="32"/>
      <c r="G1391" s="212"/>
      <c r="H1391" s="32"/>
      <c r="I1391" s="30"/>
      <c r="J1391" s="32"/>
      <c r="K1391" s="39"/>
      <c r="L1391" s="40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</row>
    <row r="1392" spans="1:26" x14ac:dyDescent="0.25">
      <c r="A1392" s="41" t="s">
        <v>117</v>
      </c>
      <c r="B1392" s="135" t="s">
        <v>57</v>
      </c>
      <c r="C1392" s="35"/>
      <c r="D1392" s="32"/>
      <c r="E1392" s="32"/>
      <c r="F1392" s="32"/>
      <c r="G1392" s="212"/>
      <c r="H1392" s="32"/>
      <c r="I1392" s="30"/>
      <c r="J1392" s="32"/>
      <c r="K1392" s="39"/>
      <c r="L1392" s="40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</row>
    <row r="1393" spans="1:26" x14ac:dyDescent="0.25">
      <c r="A1393" s="35"/>
      <c r="B1393" s="135" t="s">
        <v>58</v>
      </c>
      <c r="C1393" s="35"/>
      <c r="D1393" s="32"/>
      <c r="E1393" s="32"/>
      <c r="F1393" s="32"/>
      <c r="G1393" s="212"/>
      <c r="H1393" s="32"/>
      <c r="I1393" s="30"/>
      <c r="J1393" s="32"/>
      <c r="K1393" s="39"/>
      <c r="L1393" s="40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</row>
    <row r="1394" spans="1:26" x14ac:dyDescent="0.25">
      <c r="A1394" s="35"/>
      <c r="B1394" s="135" t="s">
        <v>59</v>
      </c>
      <c r="C1394" s="35"/>
      <c r="D1394" s="32"/>
      <c r="E1394" s="32"/>
      <c r="F1394" s="32"/>
      <c r="G1394" s="212"/>
      <c r="H1394" s="32"/>
      <c r="I1394" s="30"/>
      <c r="J1394" s="32"/>
      <c r="K1394" s="39"/>
      <c r="L1394" s="40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</row>
    <row r="1395" spans="1:26" x14ac:dyDescent="0.25">
      <c r="A1395" s="35"/>
      <c r="B1395" s="135" t="s">
        <v>60</v>
      </c>
      <c r="C1395" s="35"/>
      <c r="D1395" s="32"/>
      <c r="E1395" s="32"/>
      <c r="F1395" s="32"/>
      <c r="G1395" s="212"/>
      <c r="H1395" s="32"/>
      <c r="I1395" s="30"/>
      <c r="J1395" s="32"/>
      <c r="K1395" s="39"/>
      <c r="L1395" s="40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</row>
    <row r="1396" spans="1:26" x14ac:dyDescent="0.25">
      <c r="A1396" s="35"/>
      <c r="B1396" s="135" t="s">
        <v>61</v>
      </c>
      <c r="C1396" s="35"/>
      <c r="D1396" s="32"/>
      <c r="E1396" s="32"/>
      <c r="F1396" s="32"/>
      <c r="G1396" s="212"/>
      <c r="H1396" s="32"/>
      <c r="I1396" s="30"/>
      <c r="J1396" s="32"/>
      <c r="K1396" s="39"/>
      <c r="L1396" s="40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</row>
    <row r="1397" spans="1:26" x14ac:dyDescent="0.25">
      <c r="A1397" s="35"/>
      <c r="B1397" s="135" t="s">
        <v>62</v>
      </c>
      <c r="C1397" s="35"/>
      <c r="D1397" s="32"/>
      <c r="E1397" s="32"/>
      <c r="F1397" s="32"/>
      <c r="G1397" s="212"/>
      <c r="H1397" s="32"/>
      <c r="I1397" s="30"/>
      <c r="J1397" s="32"/>
      <c r="K1397" s="39"/>
      <c r="L1397" s="40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</row>
    <row r="1398" spans="1:26" x14ac:dyDescent="0.25">
      <c r="A1398" s="35"/>
      <c r="B1398" s="135" t="s">
        <v>63</v>
      </c>
      <c r="C1398" s="35"/>
      <c r="D1398" s="32"/>
      <c r="E1398" s="32"/>
      <c r="F1398" s="32"/>
      <c r="G1398" s="212"/>
      <c r="H1398" s="32"/>
      <c r="I1398" s="30"/>
      <c r="J1398" s="32"/>
      <c r="K1398" s="39"/>
      <c r="L1398" s="40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</row>
    <row r="1399" spans="1:26" x14ac:dyDescent="0.25">
      <c r="A1399" s="35"/>
      <c r="B1399" s="135" t="s">
        <v>64</v>
      </c>
      <c r="C1399" s="35"/>
      <c r="D1399" s="32"/>
      <c r="E1399" s="32"/>
      <c r="F1399" s="32"/>
      <c r="G1399" s="212"/>
      <c r="H1399" s="32"/>
      <c r="I1399" s="30"/>
      <c r="J1399" s="32"/>
      <c r="K1399" s="39"/>
      <c r="L1399" s="40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</row>
    <row r="1400" spans="1:26" x14ac:dyDescent="0.25">
      <c r="A1400" s="35"/>
      <c r="B1400" s="135" t="s">
        <v>65</v>
      </c>
      <c r="C1400" s="35"/>
      <c r="D1400" s="32"/>
      <c r="E1400" s="32"/>
      <c r="F1400" s="32"/>
      <c r="G1400" s="212"/>
      <c r="H1400" s="32"/>
      <c r="I1400" s="30"/>
      <c r="J1400" s="32"/>
      <c r="K1400" s="39"/>
      <c r="L1400" s="40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</row>
    <row r="1401" spans="1:26" x14ac:dyDescent="0.25">
      <c r="A1401" s="35"/>
      <c r="B1401" s="135" t="s">
        <v>66</v>
      </c>
      <c r="C1401" s="35"/>
      <c r="D1401" s="32"/>
      <c r="E1401" s="32"/>
      <c r="F1401" s="32"/>
      <c r="G1401" s="212"/>
      <c r="H1401" s="32"/>
      <c r="I1401" s="30"/>
      <c r="J1401" s="32"/>
      <c r="K1401" s="39"/>
      <c r="L1401" s="40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</row>
    <row r="1402" spans="1:26" x14ac:dyDescent="0.25">
      <c r="A1402" s="41"/>
      <c r="B1402" s="135" t="s">
        <v>67</v>
      </c>
      <c r="C1402" s="35"/>
      <c r="D1402" s="32"/>
      <c r="E1402" s="32"/>
      <c r="F1402" s="32"/>
      <c r="G1402" s="212"/>
      <c r="H1402" s="32"/>
      <c r="I1402" s="30"/>
      <c r="J1402" s="32"/>
      <c r="K1402" s="39"/>
      <c r="L1402" s="40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</row>
    <row r="1403" spans="1:26" x14ac:dyDescent="0.25">
      <c r="A1403" s="35"/>
      <c r="B1403" s="135" t="s">
        <v>68</v>
      </c>
      <c r="C1403" s="35"/>
      <c r="D1403" s="32"/>
      <c r="E1403" s="32"/>
      <c r="F1403" s="32"/>
      <c r="G1403" s="212"/>
      <c r="H1403" s="32"/>
      <c r="I1403" s="30"/>
      <c r="J1403" s="32"/>
      <c r="K1403" s="39"/>
      <c r="L1403" s="40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</row>
    <row r="1404" spans="1:26" x14ac:dyDescent="0.25">
      <c r="A1404" s="35"/>
      <c r="B1404" s="138">
        <v>0.79166666666666663</v>
      </c>
      <c r="C1404" s="35"/>
      <c r="D1404" s="32"/>
      <c r="E1404" s="32"/>
      <c r="F1404" s="32"/>
      <c r="G1404" s="212"/>
      <c r="H1404" s="32"/>
      <c r="I1404" s="30"/>
      <c r="J1404" s="32"/>
      <c r="K1404" s="39"/>
      <c r="L1404" s="40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</row>
    <row r="1405" spans="1:26" x14ac:dyDescent="0.25">
      <c r="A1405" s="35"/>
      <c r="B1405" s="138">
        <v>0.83333333333333337</v>
      </c>
      <c r="C1405" s="35"/>
      <c r="D1405" s="32"/>
      <c r="E1405" s="32"/>
      <c r="F1405" s="32"/>
      <c r="G1405" s="212"/>
      <c r="H1405" s="32"/>
      <c r="I1405" s="30"/>
      <c r="J1405" s="32"/>
      <c r="K1405" s="39"/>
      <c r="L1405" s="40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</row>
    <row r="1406" spans="1:26" x14ac:dyDescent="0.25">
      <c r="A1406" s="35"/>
      <c r="B1406" s="138">
        <v>0.875</v>
      </c>
      <c r="C1406" s="35"/>
      <c r="D1406" s="32"/>
      <c r="E1406" s="32"/>
      <c r="F1406" s="32"/>
      <c r="G1406" s="212"/>
      <c r="H1406" s="32"/>
      <c r="I1406" s="30"/>
      <c r="J1406" s="32"/>
      <c r="K1406" s="39"/>
      <c r="L1406" s="40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</row>
    <row r="1407" spans="1:26" x14ac:dyDescent="0.25">
      <c r="A1407" s="35"/>
      <c r="B1407" s="138">
        <v>0.91666666666666663</v>
      </c>
      <c r="C1407" s="35"/>
      <c r="D1407" s="32"/>
      <c r="E1407" s="32"/>
      <c r="F1407" s="32"/>
      <c r="G1407" s="212"/>
      <c r="H1407" s="32"/>
      <c r="I1407" s="30"/>
      <c r="J1407" s="32"/>
      <c r="K1407" s="39"/>
      <c r="L1407" s="40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</row>
    <row r="1408" spans="1:26" x14ac:dyDescent="0.25">
      <c r="A1408" s="35"/>
      <c r="B1408" s="139">
        <v>0.94791666666666663</v>
      </c>
      <c r="C1408" s="35"/>
      <c r="D1408" s="32"/>
      <c r="E1408" s="32"/>
      <c r="F1408" s="32"/>
      <c r="G1408" s="212"/>
      <c r="H1408" s="32"/>
      <c r="I1408" s="30"/>
      <c r="J1408" s="32"/>
      <c r="K1408" s="39"/>
      <c r="L1408" s="40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</row>
    <row r="1409" spans="1:26" x14ac:dyDescent="0.25">
      <c r="A1409" s="80"/>
      <c r="B1409" s="132"/>
      <c r="C1409" s="132"/>
      <c r="D1409" s="132"/>
      <c r="E1409" s="132"/>
      <c r="F1409" s="132"/>
      <c r="G1409" s="133"/>
      <c r="H1409" s="51">
        <f t="shared" ref="H1409:I1409" si="71">SUM(H1391:H1408)</f>
        <v>0</v>
      </c>
      <c r="I1409" s="51">
        <f t="shared" si="71"/>
        <v>0</v>
      </c>
      <c r="J1409" s="52"/>
      <c r="K1409" s="51">
        <f>SUM(K1391:K1408)</f>
        <v>0</v>
      </c>
      <c r="L1409" s="40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</row>
    <row r="1410" spans="1:26" x14ac:dyDescent="0.25">
      <c r="A1410" s="33">
        <f>A1391+1</f>
        <v>44665</v>
      </c>
      <c r="B1410" s="134" t="s">
        <v>54</v>
      </c>
      <c r="C1410" s="35"/>
      <c r="D1410" s="32"/>
      <c r="E1410" s="32"/>
      <c r="F1410" s="32"/>
      <c r="G1410" s="212"/>
      <c r="H1410" s="32"/>
      <c r="I1410" s="30"/>
      <c r="J1410" s="32"/>
      <c r="K1410" s="39"/>
      <c r="L1410" s="40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</row>
    <row r="1411" spans="1:26" x14ac:dyDescent="0.25">
      <c r="A1411" s="41" t="s">
        <v>137</v>
      </c>
      <c r="B1411" s="135" t="s">
        <v>57</v>
      </c>
      <c r="C1411" s="35"/>
      <c r="D1411" s="32"/>
      <c r="E1411" s="32"/>
      <c r="F1411" s="32"/>
      <c r="G1411" s="212"/>
      <c r="H1411" s="32"/>
      <c r="I1411" s="30"/>
      <c r="J1411" s="32"/>
      <c r="K1411" s="39"/>
      <c r="L1411" s="40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</row>
    <row r="1412" spans="1:26" x14ac:dyDescent="0.25">
      <c r="A1412" s="35"/>
      <c r="B1412" s="135" t="s">
        <v>58</v>
      </c>
      <c r="C1412" s="35"/>
      <c r="D1412" s="32"/>
      <c r="E1412" s="32"/>
      <c r="F1412" s="32"/>
      <c r="G1412" s="212"/>
      <c r="H1412" s="32"/>
      <c r="I1412" s="30"/>
      <c r="J1412" s="32"/>
      <c r="K1412" s="39"/>
      <c r="L1412" s="40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</row>
    <row r="1413" spans="1:26" x14ac:dyDescent="0.25">
      <c r="A1413" s="35"/>
      <c r="B1413" s="135" t="s">
        <v>59</v>
      </c>
      <c r="C1413" s="35"/>
      <c r="D1413" s="32"/>
      <c r="E1413" s="32"/>
      <c r="F1413" s="32"/>
      <c r="G1413" s="212"/>
      <c r="H1413" s="32"/>
      <c r="I1413" s="30"/>
      <c r="J1413" s="32"/>
      <c r="K1413" s="39"/>
      <c r="L1413" s="40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</row>
    <row r="1414" spans="1:26" x14ac:dyDescent="0.25">
      <c r="A1414" s="35"/>
      <c r="B1414" s="135" t="s">
        <v>60</v>
      </c>
      <c r="C1414" s="35"/>
      <c r="D1414" s="32"/>
      <c r="E1414" s="32"/>
      <c r="F1414" s="32"/>
      <c r="G1414" s="212"/>
      <c r="H1414" s="32"/>
      <c r="I1414" s="30"/>
      <c r="J1414" s="32"/>
      <c r="K1414" s="39"/>
      <c r="L1414" s="40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</row>
    <row r="1415" spans="1:26" x14ac:dyDescent="0.25">
      <c r="A1415" s="35"/>
      <c r="B1415" s="135" t="s">
        <v>61</v>
      </c>
      <c r="C1415" s="35"/>
      <c r="D1415" s="32"/>
      <c r="E1415" s="32"/>
      <c r="F1415" s="32"/>
      <c r="G1415" s="212"/>
      <c r="H1415" s="32"/>
      <c r="I1415" s="30"/>
      <c r="J1415" s="32"/>
      <c r="K1415" s="39"/>
      <c r="L1415" s="40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</row>
    <row r="1416" spans="1:26" x14ac:dyDescent="0.25">
      <c r="A1416" s="35"/>
      <c r="B1416" s="135" t="s">
        <v>62</v>
      </c>
      <c r="C1416" s="35"/>
      <c r="D1416" s="32"/>
      <c r="E1416" s="32"/>
      <c r="F1416" s="32"/>
      <c r="G1416" s="212"/>
      <c r="H1416" s="32"/>
      <c r="I1416" s="30"/>
      <c r="J1416" s="32"/>
      <c r="K1416" s="39"/>
      <c r="L1416" s="40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</row>
    <row r="1417" spans="1:26" x14ac:dyDescent="0.25">
      <c r="A1417" s="35"/>
      <c r="B1417" s="135" t="s">
        <v>63</v>
      </c>
      <c r="C1417" s="35"/>
      <c r="D1417" s="32"/>
      <c r="E1417" s="32"/>
      <c r="F1417" s="32"/>
      <c r="G1417" s="212"/>
      <c r="H1417" s="32"/>
      <c r="I1417" s="30"/>
      <c r="J1417" s="32"/>
      <c r="K1417" s="39"/>
      <c r="L1417" s="40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</row>
    <row r="1418" spans="1:26" x14ac:dyDescent="0.25">
      <c r="A1418" s="35"/>
      <c r="B1418" s="135" t="s">
        <v>64</v>
      </c>
      <c r="C1418" s="35"/>
      <c r="D1418" s="32"/>
      <c r="E1418" s="32"/>
      <c r="F1418" s="32"/>
      <c r="G1418" s="212"/>
      <c r="H1418" s="32"/>
      <c r="I1418" s="30"/>
      <c r="J1418" s="32"/>
      <c r="K1418" s="39"/>
      <c r="L1418" s="40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</row>
    <row r="1419" spans="1:26" x14ac:dyDescent="0.25">
      <c r="A1419" s="35"/>
      <c r="B1419" s="135" t="s">
        <v>65</v>
      </c>
      <c r="C1419" s="35"/>
      <c r="D1419" s="32"/>
      <c r="E1419" s="32"/>
      <c r="F1419" s="32"/>
      <c r="G1419" s="212"/>
      <c r="H1419" s="32"/>
      <c r="I1419" s="30"/>
      <c r="J1419" s="32"/>
      <c r="K1419" s="39"/>
      <c r="L1419" s="40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</row>
    <row r="1420" spans="1:26" x14ac:dyDescent="0.25">
      <c r="A1420" s="35"/>
      <c r="B1420" s="135" t="s">
        <v>66</v>
      </c>
      <c r="C1420" s="35"/>
      <c r="D1420" s="32"/>
      <c r="E1420" s="32"/>
      <c r="F1420" s="32"/>
      <c r="G1420" s="212"/>
      <c r="H1420" s="32"/>
      <c r="I1420" s="30"/>
      <c r="J1420" s="32"/>
      <c r="K1420" s="39"/>
      <c r="L1420" s="40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</row>
    <row r="1421" spans="1:26" x14ac:dyDescent="0.25">
      <c r="A1421" s="35"/>
      <c r="B1421" s="135" t="s">
        <v>67</v>
      </c>
      <c r="C1421" s="35"/>
      <c r="D1421" s="32"/>
      <c r="E1421" s="32"/>
      <c r="F1421" s="32"/>
      <c r="G1421" s="212"/>
      <c r="H1421" s="32"/>
      <c r="I1421" s="30"/>
      <c r="J1421" s="32"/>
      <c r="K1421" s="39"/>
      <c r="L1421" s="40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</row>
    <row r="1422" spans="1:26" x14ac:dyDescent="0.25">
      <c r="A1422" s="35"/>
      <c r="B1422" s="135" t="s">
        <v>68</v>
      </c>
      <c r="C1422" s="35"/>
      <c r="D1422" s="32"/>
      <c r="E1422" s="32"/>
      <c r="F1422" s="32"/>
      <c r="G1422" s="212"/>
      <c r="H1422" s="32"/>
      <c r="I1422" s="30"/>
      <c r="J1422" s="32"/>
      <c r="K1422" s="39"/>
      <c r="L1422" s="40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</row>
    <row r="1423" spans="1:26" x14ac:dyDescent="0.25">
      <c r="A1423" s="35"/>
      <c r="B1423" s="138">
        <v>0.79166666666666663</v>
      </c>
      <c r="C1423" s="35"/>
      <c r="D1423" s="32"/>
      <c r="E1423" s="32"/>
      <c r="F1423" s="32"/>
      <c r="G1423" s="212"/>
      <c r="H1423" s="32"/>
      <c r="I1423" s="30"/>
      <c r="J1423" s="32"/>
      <c r="K1423" s="39"/>
      <c r="L1423" s="40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</row>
    <row r="1424" spans="1:26" x14ac:dyDescent="0.25">
      <c r="A1424" s="35"/>
      <c r="B1424" s="138">
        <v>0.83333333333333337</v>
      </c>
      <c r="C1424" s="35"/>
      <c r="D1424" s="32"/>
      <c r="E1424" s="32"/>
      <c r="F1424" s="32"/>
      <c r="G1424" s="212"/>
      <c r="H1424" s="32"/>
      <c r="I1424" s="30"/>
      <c r="J1424" s="32"/>
      <c r="K1424" s="39"/>
      <c r="L1424" s="40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</row>
    <row r="1425" spans="1:26" x14ac:dyDescent="0.25">
      <c r="A1425" s="35"/>
      <c r="B1425" s="138">
        <v>0.875</v>
      </c>
      <c r="C1425" s="35"/>
      <c r="D1425" s="32"/>
      <c r="E1425" s="32"/>
      <c r="F1425" s="32"/>
      <c r="G1425" s="212"/>
      <c r="H1425" s="32"/>
      <c r="I1425" s="30"/>
      <c r="J1425" s="32"/>
      <c r="K1425" s="39"/>
      <c r="L1425" s="40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</row>
    <row r="1426" spans="1:26" x14ac:dyDescent="0.25">
      <c r="A1426" s="35"/>
      <c r="B1426" s="138">
        <v>0.91666666666666663</v>
      </c>
      <c r="C1426" s="35"/>
      <c r="D1426" s="32"/>
      <c r="E1426" s="32"/>
      <c r="F1426" s="32"/>
      <c r="G1426" s="212"/>
      <c r="H1426" s="32"/>
      <c r="I1426" s="30"/>
      <c r="J1426" s="32"/>
      <c r="K1426" s="39"/>
      <c r="L1426" s="40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</row>
    <row r="1427" spans="1:26" x14ac:dyDescent="0.25">
      <c r="A1427" s="35"/>
      <c r="B1427" s="139">
        <v>0.94791666666666663</v>
      </c>
      <c r="C1427" s="35"/>
      <c r="D1427" s="32"/>
      <c r="E1427" s="32"/>
      <c r="F1427" s="32"/>
      <c r="G1427" s="212"/>
      <c r="H1427" s="32"/>
      <c r="I1427" s="30"/>
      <c r="J1427" s="32"/>
      <c r="K1427" s="39"/>
      <c r="L1427" s="40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</row>
    <row r="1428" spans="1:26" x14ac:dyDescent="0.25">
      <c r="A1428" s="80"/>
      <c r="B1428" s="132"/>
      <c r="C1428" s="132"/>
      <c r="D1428" s="132"/>
      <c r="E1428" s="132"/>
      <c r="F1428" s="132"/>
      <c r="G1428" s="133"/>
      <c r="H1428" s="51">
        <f t="shared" ref="H1428:I1428" si="72">SUM(H1410:H1427)</f>
        <v>0</v>
      </c>
      <c r="I1428" s="51">
        <f t="shared" si="72"/>
        <v>0</v>
      </c>
      <c r="J1428" s="52"/>
      <c r="K1428" s="51">
        <f>SUM(K1410:K1427)</f>
        <v>0</v>
      </c>
      <c r="L1428" s="40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</row>
    <row r="1429" spans="1:26" x14ac:dyDescent="0.25">
      <c r="A1429" s="33">
        <f>A1410+1</f>
        <v>44666</v>
      </c>
      <c r="B1429" s="134" t="s">
        <v>54</v>
      </c>
      <c r="C1429" s="35"/>
      <c r="D1429" s="32"/>
      <c r="E1429" s="32"/>
      <c r="F1429" s="32"/>
      <c r="G1429" s="212"/>
      <c r="H1429" s="32"/>
      <c r="I1429" s="30"/>
      <c r="J1429" s="32"/>
      <c r="K1429" s="39"/>
      <c r="L1429" s="40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</row>
    <row r="1430" spans="1:26" x14ac:dyDescent="0.25">
      <c r="A1430" s="41" t="s">
        <v>56</v>
      </c>
      <c r="B1430" s="135" t="s">
        <v>57</v>
      </c>
      <c r="C1430" s="35"/>
      <c r="D1430" s="32"/>
      <c r="E1430" s="32"/>
      <c r="F1430" s="32"/>
      <c r="G1430" s="212"/>
      <c r="H1430" s="32"/>
      <c r="I1430" s="30"/>
      <c r="J1430" s="32"/>
      <c r="K1430" s="39"/>
      <c r="L1430" s="40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</row>
    <row r="1431" spans="1:26" x14ac:dyDescent="0.25">
      <c r="A1431" s="35"/>
      <c r="B1431" s="135" t="s">
        <v>58</v>
      </c>
      <c r="C1431" s="35"/>
      <c r="D1431" s="32"/>
      <c r="E1431" s="32"/>
      <c r="F1431" s="32"/>
      <c r="G1431" s="212"/>
      <c r="H1431" s="32"/>
      <c r="I1431" s="30"/>
      <c r="J1431" s="32"/>
      <c r="K1431" s="39"/>
      <c r="L1431" s="40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</row>
    <row r="1432" spans="1:26" x14ac:dyDescent="0.25">
      <c r="A1432" s="35"/>
      <c r="B1432" s="135" t="s">
        <v>59</v>
      </c>
      <c r="C1432" s="35"/>
      <c r="D1432" s="32"/>
      <c r="E1432" s="32"/>
      <c r="F1432" s="32"/>
      <c r="G1432" s="212"/>
      <c r="H1432" s="32"/>
      <c r="I1432" s="30"/>
      <c r="J1432" s="32"/>
      <c r="K1432" s="39"/>
      <c r="L1432" s="40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</row>
    <row r="1433" spans="1:26" x14ac:dyDescent="0.25">
      <c r="A1433" s="35"/>
      <c r="B1433" s="135" t="s">
        <v>60</v>
      </c>
      <c r="C1433" s="35"/>
      <c r="D1433" s="32"/>
      <c r="E1433" s="32"/>
      <c r="F1433" s="32"/>
      <c r="G1433" s="212"/>
      <c r="H1433" s="32"/>
      <c r="I1433" s="30"/>
      <c r="J1433" s="32"/>
      <c r="K1433" s="39"/>
      <c r="L1433" s="40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</row>
    <row r="1434" spans="1:26" x14ac:dyDescent="0.25">
      <c r="A1434" s="35"/>
      <c r="B1434" s="135" t="s">
        <v>61</v>
      </c>
      <c r="C1434" s="35"/>
      <c r="D1434" s="32"/>
      <c r="E1434" s="32"/>
      <c r="F1434" s="32"/>
      <c r="G1434" s="212"/>
      <c r="H1434" s="32"/>
      <c r="I1434" s="30"/>
      <c r="J1434" s="32"/>
      <c r="K1434" s="39"/>
      <c r="L1434" s="40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</row>
    <row r="1435" spans="1:26" x14ac:dyDescent="0.25">
      <c r="A1435" s="35"/>
      <c r="B1435" s="135" t="s">
        <v>62</v>
      </c>
      <c r="C1435" s="35"/>
      <c r="D1435" s="32"/>
      <c r="E1435" s="32"/>
      <c r="F1435" s="32"/>
      <c r="G1435" s="212"/>
      <c r="H1435" s="32"/>
      <c r="I1435" s="30"/>
      <c r="J1435" s="32"/>
      <c r="K1435" s="39"/>
      <c r="L1435" s="40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</row>
    <row r="1436" spans="1:26" x14ac:dyDescent="0.25">
      <c r="A1436" s="35"/>
      <c r="B1436" s="135" t="s">
        <v>63</v>
      </c>
      <c r="C1436" s="35"/>
      <c r="D1436" s="32"/>
      <c r="E1436" s="32"/>
      <c r="F1436" s="32"/>
      <c r="G1436" s="212"/>
      <c r="H1436" s="32"/>
      <c r="I1436" s="30"/>
      <c r="J1436" s="32"/>
      <c r="K1436" s="39"/>
      <c r="L1436" s="40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</row>
    <row r="1437" spans="1:26" x14ac:dyDescent="0.25">
      <c r="A1437" s="35"/>
      <c r="B1437" s="135" t="s">
        <v>64</v>
      </c>
      <c r="C1437" s="35"/>
      <c r="D1437" s="32"/>
      <c r="E1437" s="32"/>
      <c r="F1437" s="32"/>
      <c r="G1437" s="212"/>
      <c r="H1437" s="32"/>
      <c r="I1437" s="30"/>
      <c r="J1437" s="32"/>
      <c r="K1437" s="39"/>
      <c r="L1437" s="40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</row>
    <row r="1438" spans="1:26" x14ac:dyDescent="0.25">
      <c r="A1438" s="35"/>
      <c r="B1438" s="135" t="s">
        <v>65</v>
      </c>
      <c r="C1438" s="35"/>
      <c r="D1438" s="32"/>
      <c r="E1438" s="32"/>
      <c r="F1438" s="32"/>
      <c r="G1438" s="212"/>
      <c r="H1438" s="32"/>
      <c r="I1438" s="30"/>
      <c r="J1438" s="32"/>
      <c r="K1438" s="39"/>
      <c r="L1438" s="40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</row>
    <row r="1439" spans="1:26" x14ac:dyDescent="0.25">
      <c r="A1439" s="35"/>
      <c r="B1439" s="135" t="s">
        <v>66</v>
      </c>
      <c r="C1439" s="35"/>
      <c r="D1439" s="32"/>
      <c r="E1439" s="32"/>
      <c r="F1439" s="32"/>
      <c r="G1439" s="212"/>
      <c r="H1439" s="32"/>
      <c r="I1439" s="30"/>
      <c r="J1439" s="32"/>
      <c r="K1439" s="39"/>
      <c r="L1439" s="40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</row>
    <row r="1440" spans="1:26" x14ac:dyDescent="0.25">
      <c r="A1440" s="35"/>
      <c r="B1440" s="135" t="s">
        <v>67</v>
      </c>
      <c r="C1440" s="35"/>
      <c r="D1440" s="32"/>
      <c r="E1440" s="32"/>
      <c r="F1440" s="32"/>
      <c r="G1440" s="212"/>
      <c r="H1440" s="32"/>
      <c r="I1440" s="30"/>
      <c r="J1440" s="32"/>
      <c r="K1440" s="39"/>
      <c r="L1440" s="40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</row>
    <row r="1441" spans="1:26" x14ac:dyDescent="0.25">
      <c r="A1441" s="35"/>
      <c r="B1441" s="135" t="s">
        <v>68</v>
      </c>
      <c r="C1441" s="35"/>
      <c r="D1441" s="32"/>
      <c r="E1441" s="32"/>
      <c r="F1441" s="32"/>
      <c r="G1441" s="212"/>
      <c r="H1441" s="32"/>
      <c r="I1441" s="30"/>
      <c r="J1441" s="32"/>
      <c r="K1441" s="39"/>
      <c r="L1441" s="40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</row>
    <row r="1442" spans="1:26" x14ac:dyDescent="0.25">
      <c r="A1442" s="35"/>
      <c r="B1442" s="138">
        <v>0.79166666666666663</v>
      </c>
      <c r="C1442" s="35"/>
      <c r="D1442" s="32"/>
      <c r="E1442" s="32"/>
      <c r="F1442" s="32"/>
      <c r="G1442" s="212"/>
      <c r="H1442" s="32"/>
      <c r="I1442" s="30"/>
      <c r="J1442" s="32"/>
      <c r="K1442" s="39"/>
      <c r="L1442" s="40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</row>
    <row r="1443" spans="1:26" x14ac:dyDescent="0.25">
      <c r="A1443" s="35"/>
      <c r="B1443" s="138">
        <v>0.83333333333333337</v>
      </c>
      <c r="C1443" s="35"/>
      <c r="D1443" s="32"/>
      <c r="E1443" s="32"/>
      <c r="F1443" s="32"/>
      <c r="G1443" s="212"/>
      <c r="H1443" s="32"/>
      <c r="I1443" s="30"/>
      <c r="J1443" s="32"/>
      <c r="K1443" s="39"/>
      <c r="L1443" s="40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</row>
    <row r="1444" spans="1:26" x14ac:dyDescent="0.25">
      <c r="A1444" s="35"/>
      <c r="B1444" s="138">
        <v>0.875</v>
      </c>
      <c r="C1444" s="35"/>
      <c r="D1444" s="32"/>
      <c r="E1444" s="32"/>
      <c r="F1444" s="32"/>
      <c r="G1444" s="212"/>
      <c r="H1444" s="32"/>
      <c r="I1444" s="30"/>
      <c r="J1444" s="32"/>
      <c r="K1444" s="39"/>
      <c r="L1444" s="40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</row>
    <row r="1445" spans="1:26" x14ac:dyDescent="0.25">
      <c r="A1445" s="35"/>
      <c r="B1445" s="138">
        <v>0.91666666666666663</v>
      </c>
      <c r="C1445" s="35"/>
      <c r="D1445" s="32"/>
      <c r="E1445" s="32"/>
      <c r="F1445" s="32"/>
      <c r="G1445" s="212"/>
      <c r="H1445" s="32"/>
      <c r="I1445" s="30"/>
      <c r="J1445" s="32"/>
      <c r="K1445" s="39"/>
      <c r="L1445" s="40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</row>
    <row r="1446" spans="1:26" x14ac:dyDescent="0.25">
      <c r="A1446" s="35"/>
      <c r="B1446" s="139">
        <v>0.94791666666666663</v>
      </c>
      <c r="C1446" s="35"/>
      <c r="D1446" s="32"/>
      <c r="E1446" s="32"/>
      <c r="F1446" s="32"/>
      <c r="G1446" s="212"/>
      <c r="H1446" s="32"/>
      <c r="I1446" s="30"/>
      <c r="J1446" s="32"/>
      <c r="K1446" s="39"/>
      <c r="L1446" s="40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</row>
    <row r="1447" spans="1:26" x14ac:dyDescent="0.25">
      <c r="A1447" s="46"/>
      <c r="B1447" s="132"/>
      <c r="C1447" s="132"/>
      <c r="D1447" s="132"/>
      <c r="E1447" s="132"/>
      <c r="F1447" s="132"/>
      <c r="G1447" s="133"/>
      <c r="H1447" s="51">
        <f t="shared" ref="H1447:I1447" si="73">SUM(H1429:H1446)</f>
        <v>0</v>
      </c>
      <c r="I1447" s="51">
        <f t="shared" si="73"/>
        <v>0</v>
      </c>
      <c r="J1447" s="52"/>
      <c r="K1447" s="51">
        <f>SUM(K1429:K1446)</f>
        <v>0</v>
      </c>
      <c r="L1447" s="40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</row>
  </sheetData>
  <mergeCells count="1">
    <mergeCell ref="D472:I473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R1353"/>
  <sheetViews>
    <sheetView workbookViewId="0">
      <pane ySplit="3" topLeftCell="A4" activePane="bottomLeft" state="frozen"/>
      <selection pane="bottomLeft" activeCell="C4" sqref="C4"/>
    </sheetView>
  </sheetViews>
  <sheetFormatPr defaultColWidth="12.5703125" defaultRowHeight="15.75" customHeight="1" x14ac:dyDescent="0.2"/>
  <cols>
    <col min="1" max="1" width="14.140625" style="234" customWidth="1"/>
    <col min="2" max="2" width="13.7109375" style="234" bestFit="1" customWidth="1"/>
    <col min="3" max="3" width="12.5703125" style="234"/>
    <col min="4" max="6" width="12.7109375" style="234" bestFit="1" customWidth="1"/>
    <col min="7" max="7" width="13.85546875" style="234" bestFit="1" customWidth="1"/>
    <col min="8" max="8" width="25" style="234" customWidth="1"/>
    <col min="9" max="9" width="12.7109375" style="234" bestFit="1" customWidth="1"/>
    <col min="10" max="10" width="12.5703125" style="234"/>
    <col min="11" max="11" width="12.7109375" style="234" bestFit="1" customWidth="1"/>
    <col min="12" max="12" width="13.85546875" style="234" bestFit="1" customWidth="1"/>
    <col min="13" max="13" width="12.7109375" style="234" bestFit="1" customWidth="1"/>
    <col min="14" max="17" width="12.5703125" style="234"/>
    <col min="18" max="18" width="12.7109375" style="234" bestFit="1" customWidth="1"/>
    <col min="19" max="16384" width="12.5703125" style="234"/>
  </cols>
  <sheetData>
    <row r="1" spans="1:18" x14ac:dyDescent="0.25">
      <c r="A1" s="266" t="s">
        <v>28</v>
      </c>
      <c r="B1" s="2" t="s">
        <v>29</v>
      </c>
      <c r="C1" s="262" t="s">
        <v>6</v>
      </c>
      <c r="D1" s="267" t="s">
        <v>20</v>
      </c>
      <c r="E1" s="268" t="s">
        <v>21</v>
      </c>
      <c r="F1" s="268" t="s">
        <v>22</v>
      </c>
      <c r="G1" s="269" t="s">
        <v>5</v>
      </c>
      <c r="H1" s="262" t="s">
        <v>6</v>
      </c>
      <c r="I1" s="268" t="s">
        <v>20</v>
      </c>
      <c r="J1" s="3" t="s">
        <v>7</v>
      </c>
      <c r="K1" s="3" t="s">
        <v>4</v>
      </c>
      <c r="L1" s="3" t="s">
        <v>5</v>
      </c>
      <c r="M1" s="270" t="s">
        <v>1068</v>
      </c>
      <c r="N1" s="271"/>
      <c r="O1" s="32"/>
      <c r="P1" s="32"/>
    </row>
    <row r="2" spans="1:18" ht="75.75" x14ac:dyDescent="0.25">
      <c r="A2" s="270" t="s">
        <v>1068</v>
      </c>
      <c r="B2" s="272"/>
      <c r="C2" s="259" t="s">
        <v>1069</v>
      </c>
      <c r="D2" s="260" t="s">
        <v>1070</v>
      </c>
      <c r="E2" s="261" t="s">
        <v>1071</v>
      </c>
      <c r="F2" s="147" t="s">
        <v>1072</v>
      </c>
      <c r="G2" s="128" t="s">
        <v>1073</v>
      </c>
      <c r="H2" s="262" t="s">
        <v>1074</v>
      </c>
      <c r="I2" s="259" t="s">
        <v>1075</v>
      </c>
      <c r="J2" s="273" t="s">
        <v>1076</v>
      </c>
      <c r="K2" s="263" t="s">
        <v>1077</v>
      </c>
      <c r="L2" s="170" t="s">
        <v>1078</v>
      </c>
      <c r="M2" s="6" t="s">
        <v>33</v>
      </c>
      <c r="N2" s="6" t="s">
        <v>34</v>
      </c>
      <c r="O2" s="32"/>
      <c r="P2" s="32"/>
    </row>
    <row r="3" spans="1:18" x14ac:dyDescent="0.25">
      <c r="A3" s="264" t="s">
        <v>1079</v>
      </c>
      <c r="B3" s="6" t="s">
        <v>34</v>
      </c>
      <c r="C3" s="43"/>
      <c r="D3" s="274" t="s">
        <v>1080</v>
      </c>
      <c r="E3" s="249"/>
      <c r="F3" s="249"/>
      <c r="G3" s="249"/>
      <c r="H3" s="275">
        <v>44652</v>
      </c>
      <c r="I3" s="276"/>
      <c r="J3" s="277" t="s">
        <v>1081</v>
      </c>
      <c r="K3" s="43"/>
      <c r="L3" s="43"/>
      <c r="M3" s="278" t="s">
        <v>1082</v>
      </c>
      <c r="N3" s="279"/>
      <c r="O3" s="280"/>
      <c r="P3" s="280"/>
      <c r="R3" s="32">
        <v>103</v>
      </c>
    </row>
    <row r="4" spans="1:18" x14ac:dyDescent="0.25">
      <c r="A4" s="281">
        <v>44564</v>
      </c>
      <c r="B4" s="282" t="s">
        <v>54</v>
      </c>
      <c r="C4" s="55" t="s">
        <v>1083</v>
      </c>
      <c r="D4" s="65"/>
      <c r="E4" s="65"/>
      <c r="F4" s="65"/>
      <c r="G4" s="65"/>
      <c r="H4" s="55"/>
      <c r="I4" s="65"/>
      <c r="J4" s="65"/>
      <c r="K4" s="65"/>
      <c r="L4" s="65"/>
      <c r="M4" s="283">
        <v>0</v>
      </c>
    </row>
    <row r="5" spans="1:18" x14ac:dyDescent="0.25">
      <c r="A5" s="284">
        <v>4000</v>
      </c>
      <c r="B5" s="285" t="s">
        <v>57</v>
      </c>
      <c r="C5" s="43"/>
      <c r="D5" s="65"/>
      <c r="E5" s="65"/>
      <c r="F5" s="65"/>
      <c r="G5" s="65"/>
      <c r="H5" s="55"/>
      <c r="I5" s="65"/>
      <c r="J5" s="65"/>
      <c r="K5" s="65"/>
      <c r="L5" s="65"/>
      <c r="M5" s="283">
        <v>0</v>
      </c>
    </row>
    <row r="6" spans="1:18" x14ac:dyDescent="0.25">
      <c r="A6" s="284">
        <v>0</v>
      </c>
      <c r="B6" s="285" t="s">
        <v>58</v>
      </c>
      <c r="C6" s="43"/>
      <c r="D6" s="65"/>
      <c r="E6" s="65"/>
      <c r="F6" s="65"/>
      <c r="G6" s="65"/>
      <c r="H6" s="55"/>
      <c r="I6" s="65"/>
      <c r="J6" s="65"/>
      <c r="K6" s="65"/>
      <c r="L6" s="65"/>
      <c r="M6" s="283">
        <v>0</v>
      </c>
    </row>
    <row r="7" spans="1:18" x14ac:dyDescent="0.25">
      <c r="A7" s="284">
        <v>0</v>
      </c>
      <c r="B7" s="285" t="s">
        <v>59</v>
      </c>
      <c r="C7" s="43"/>
      <c r="D7" s="65"/>
      <c r="E7" s="65"/>
      <c r="F7" s="65"/>
      <c r="G7" s="65"/>
      <c r="H7" s="55"/>
      <c r="I7" s="65"/>
      <c r="J7" s="65"/>
      <c r="K7" s="65"/>
      <c r="L7" s="65"/>
      <c r="M7" s="283">
        <v>0</v>
      </c>
    </row>
    <row r="8" spans="1:18" x14ac:dyDescent="0.25">
      <c r="A8" s="284">
        <v>0</v>
      </c>
      <c r="B8" s="285" t="s">
        <v>60</v>
      </c>
      <c r="C8" s="43"/>
      <c r="D8" s="65"/>
      <c r="E8" s="65"/>
      <c r="F8" s="65"/>
      <c r="G8" s="65"/>
      <c r="H8" s="55"/>
      <c r="I8" s="65"/>
      <c r="J8" s="65"/>
      <c r="K8" s="65"/>
      <c r="L8" s="65"/>
      <c r="M8" s="283">
        <v>0</v>
      </c>
    </row>
    <row r="9" spans="1:18" x14ac:dyDescent="0.25">
      <c r="A9" s="284">
        <v>0</v>
      </c>
      <c r="B9" s="285" t="s">
        <v>61</v>
      </c>
      <c r="C9" s="43"/>
      <c r="D9" s="65"/>
      <c r="E9" s="65"/>
      <c r="F9" s="65"/>
      <c r="G9" s="65"/>
      <c r="H9" s="55"/>
      <c r="I9" s="65"/>
      <c r="J9" s="65"/>
      <c r="K9" s="65"/>
      <c r="L9" s="65"/>
      <c r="M9" s="283">
        <v>0</v>
      </c>
    </row>
    <row r="10" spans="1:18" ht="173.25" x14ac:dyDescent="0.25">
      <c r="A10" s="284">
        <v>2957</v>
      </c>
      <c r="B10" s="285" t="s">
        <v>62</v>
      </c>
      <c r="C10" s="55" t="s">
        <v>1084</v>
      </c>
      <c r="D10" s="56">
        <v>36</v>
      </c>
      <c r="E10" s="57" t="s">
        <v>1085</v>
      </c>
      <c r="F10" s="57" t="s">
        <v>1086</v>
      </c>
      <c r="G10" s="79">
        <v>44559</v>
      </c>
      <c r="H10" s="55"/>
      <c r="I10" s="65"/>
      <c r="J10" s="65"/>
      <c r="K10" s="65"/>
      <c r="L10" s="65"/>
      <c r="M10" s="283">
        <v>0</v>
      </c>
    </row>
    <row r="11" spans="1:18" x14ac:dyDescent="0.25">
      <c r="A11" s="284">
        <v>0</v>
      </c>
      <c r="B11" s="285" t="s">
        <v>63</v>
      </c>
      <c r="C11" s="43"/>
      <c r="D11" s="65"/>
      <c r="E11" s="65"/>
      <c r="F11" s="65" t="s">
        <v>1087</v>
      </c>
      <c r="G11" s="65" t="s">
        <v>1088</v>
      </c>
      <c r="H11" s="55"/>
      <c r="I11" s="65"/>
      <c r="J11" s="65"/>
      <c r="K11" s="65"/>
      <c r="L11" s="65"/>
      <c r="M11" s="283">
        <v>0</v>
      </c>
    </row>
    <row r="12" spans="1:18" x14ac:dyDescent="0.25">
      <c r="A12" s="284">
        <v>0</v>
      </c>
      <c r="B12" s="285" t="s">
        <v>64</v>
      </c>
      <c r="C12" s="43"/>
      <c r="D12" s="65"/>
      <c r="E12" s="65"/>
      <c r="F12" s="65"/>
      <c r="G12" s="65"/>
      <c r="H12" s="55"/>
      <c r="I12" s="65"/>
      <c r="J12" s="65"/>
      <c r="K12" s="65"/>
      <c r="L12" s="65"/>
      <c r="M12" s="283">
        <v>0</v>
      </c>
    </row>
    <row r="13" spans="1:18" ht="78.75" x14ac:dyDescent="0.25">
      <c r="A13" s="284">
        <v>8063</v>
      </c>
      <c r="B13" s="285" t="s">
        <v>65</v>
      </c>
      <c r="C13" s="55" t="s">
        <v>1089</v>
      </c>
      <c r="D13" s="56">
        <v>50</v>
      </c>
      <c r="E13" s="57" t="s">
        <v>1090</v>
      </c>
      <c r="F13" s="57" t="s">
        <v>1091</v>
      </c>
      <c r="G13" s="286">
        <v>44557</v>
      </c>
      <c r="H13" s="55"/>
      <c r="I13" s="287"/>
      <c r="J13" s="287"/>
      <c r="K13" s="287"/>
      <c r="L13" s="288"/>
      <c r="M13" s="8">
        <f>SUM(M4:M12)</f>
        <v>0</v>
      </c>
    </row>
    <row r="14" spans="1:18" ht="63" x14ac:dyDescent="0.25">
      <c r="A14" s="284">
        <v>0</v>
      </c>
      <c r="B14" s="285" t="s">
        <v>66</v>
      </c>
      <c r="C14" s="55" t="s">
        <v>1092</v>
      </c>
      <c r="D14" s="65"/>
      <c r="E14" s="65"/>
      <c r="F14" s="59">
        <v>2</v>
      </c>
      <c r="G14" s="289" t="s">
        <v>1093</v>
      </c>
      <c r="H14" s="55"/>
      <c r="I14" s="287"/>
      <c r="J14" s="287"/>
      <c r="K14" s="287"/>
      <c r="L14" s="288"/>
      <c r="M14" s="43"/>
    </row>
    <row r="15" spans="1:18" x14ac:dyDescent="0.25">
      <c r="A15" s="284">
        <v>0</v>
      </c>
      <c r="B15" s="285" t="s">
        <v>67</v>
      </c>
      <c r="C15" s="43"/>
      <c r="D15" s="65"/>
      <c r="E15" s="65"/>
      <c r="F15" s="59">
        <v>3</v>
      </c>
      <c r="G15" s="65"/>
      <c r="H15" s="55"/>
      <c r="I15" s="287"/>
      <c r="J15" s="287"/>
      <c r="K15" s="287"/>
      <c r="L15" s="288"/>
      <c r="M15" s="43"/>
    </row>
    <row r="16" spans="1:18" x14ac:dyDescent="0.25">
      <c r="A16" s="284">
        <v>0</v>
      </c>
      <c r="B16" s="285" t="s">
        <v>68</v>
      </c>
      <c r="C16" s="43"/>
      <c r="D16" s="65"/>
      <c r="E16" s="65"/>
      <c r="F16" s="190">
        <v>4</v>
      </c>
      <c r="G16" s="290"/>
      <c r="H16" s="55"/>
      <c r="I16" s="287"/>
      <c r="J16" s="287"/>
      <c r="K16" s="287"/>
      <c r="L16" s="288"/>
      <c r="M16" s="43"/>
    </row>
    <row r="17" spans="1:13" x14ac:dyDescent="0.25">
      <c r="A17" s="284">
        <v>0</v>
      </c>
      <c r="B17" s="291">
        <v>0.79166666666666663</v>
      </c>
      <c r="C17" s="43"/>
      <c r="D17" s="65"/>
      <c r="E17" s="65"/>
      <c r="F17" s="190">
        <v>5</v>
      </c>
      <c r="G17" s="290"/>
      <c r="H17" s="55"/>
      <c r="I17" s="287"/>
      <c r="J17" s="287"/>
      <c r="K17" s="287"/>
      <c r="L17" s="288"/>
      <c r="M17" s="43"/>
    </row>
    <row r="18" spans="1:13" x14ac:dyDescent="0.25">
      <c r="A18" s="284">
        <v>0</v>
      </c>
      <c r="B18" s="291">
        <v>0.83333333333333337</v>
      </c>
      <c r="C18" s="43"/>
      <c r="D18" s="65"/>
      <c r="E18" s="65"/>
      <c r="F18" s="65"/>
      <c r="G18" s="65"/>
      <c r="H18" s="55"/>
      <c r="I18" s="287"/>
      <c r="J18" s="287"/>
      <c r="K18" s="287"/>
      <c r="L18" s="288"/>
      <c r="M18" s="43"/>
    </row>
    <row r="19" spans="1:13" x14ac:dyDescent="0.25">
      <c r="A19" s="284">
        <v>0</v>
      </c>
      <c r="B19" s="291">
        <v>0.875</v>
      </c>
      <c r="C19" s="55"/>
      <c r="D19" s="287"/>
      <c r="E19" s="287"/>
      <c r="F19" s="287"/>
      <c r="G19" s="287"/>
      <c r="H19" s="55"/>
      <c r="I19" s="287"/>
      <c r="J19" s="287"/>
      <c r="K19" s="287"/>
      <c r="L19" s="288"/>
      <c r="M19" s="43"/>
    </row>
    <row r="20" spans="1:13" x14ac:dyDescent="0.25">
      <c r="A20" s="284">
        <v>0</v>
      </c>
      <c r="B20" s="291">
        <v>0.91666666666666663</v>
      </c>
      <c r="C20" s="55"/>
      <c r="D20" s="287"/>
      <c r="E20" s="287"/>
      <c r="F20" s="287"/>
      <c r="G20" s="287"/>
      <c r="H20" s="55"/>
      <c r="I20" s="287"/>
      <c r="J20" s="287"/>
      <c r="K20" s="287"/>
      <c r="L20" s="288"/>
      <c r="M20" s="43"/>
    </row>
    <row r="21" spans="1:13" x14ac:dyDescent="0.25">
      <c r="A21" s="265">
        <f>SUM(A5:A20)</f>
        <v>15020</v>
      </c>
      <c r="B21" s="292">
        <v>0.94791666666666663</v>
      </c>
      <c r="C21" s="43"/>
      <c r="D21" s="287"/>
      <c r="E21" s="287"/>
      <c r="F21" s="287"/>
      <c r="G21" s="287"/>
      <c r="H21" s="55"/>
      <c r="I21" s="287"/>
      <c r="J21" s="287"/>
      <c r="K21" s="287"/>
      <c r="L21" s="288"/>
      <c r="M21" s="43"/>
    </row>
    <row r="22" spans="1:13" ht="31.5" x14ac:dyDescent="0.25">
      <c r="A22" s="281">
        <f>A4+1</f>
        <v>44565</v>
      </c>
      <c r="B22" s="282" t="s">
        <v>54</v>
      </c>
      <c r="C22" s="87" t="s">
        <v>1094</v>
      </c>
      <c r="D22" s="65"/>
      <c r="E22" s="65"/>
      <c r="F22" s="65"/>
      <c r="G22" s="65"/>
      <c r="H22" s="55" t="s">
        <v>1095</v>
      </c>
      <c r="I22" s="56">
        <v>36</v>
      </c>
      <c r="J22" s="57" t="s">
        <v>291</v>
      </c>
      <c r="K22" s="57" t="s">
        <v>1096</v>
      </c>
      <c r="L22" s="286">
        <v>44199</v>
      </c>
      <c r="M22" s="283">
        <v>0</v>
      </c>
    </row>
    <row r="23" spans="1:13" x14ac:dyDescent="0.25">
      <c r="A23" s="284">
        <v>3000</v>
      </c>
      <c r="B23" s="285" t="s">
        <v>57</v>
      </c>
      <c r="C23" s="43"/>
      <c r="D23" s="65"/>
      <c r="E23" s="65"/>
      <c r="F23" s="65"/>
      <c r="G23" s="65"/>
      <c r="H23" s="55" t="s">
        <v>1097</v>
      </c>
      <c r="I23" s="57"/>
      <c r="J23" s="57"/>
      <c r="K23" s="57"/>
      <c r="L23" s="78"/>
      <c r="M23" s="283">
        <v>0</v>
      </c>
    </row>
    <row r="24" spans="1:13" x14ac:dyDescent="0.25">
      <c r="A24" s="284">
        <v>0</v>
      </c>
      <c r="B24" s="285" t="s">
        <v>58</v>
      </c>
      <c r="C24" s="43"/>
      <c r="D24" s="65"/>
      <c r="E24" s="65"/>
      <c r="F24" s="65"/>
      <c r="G24" s="65"/>
      <c r="H24" s="55"/>
      <c r="I24" s="57"/>
      <c r="J24" s="57"/>
      <c r="K24" s="57"/>
      <c r="L24" s="78"/>
      <c r="M24" s="283">
        <v>0</v>
      </c>
    </row>
    <row r="25" spans="1:13" ht="78.75" x14ac:dyDescent="0.25">
      <c r="A25" s="284">
        <v>13125</v>
      </c>
      <c r="B25" s="285" t="s">
        <v>59</v>
      </c>
      <c r="C25" s="55" t="s">
        <v>1098</v>
      </c>
      <c r="D25" s="56">
        <v>50</v>
      </c>
      <c r="E25" s="57" t="s">
        <v>1099</v>
      </c>
      <c r="F25" s="57" t="s">
        <v>1100</v>
      </c>
      <c r="G25" s="286">
        <v>44199</v>
      </c>
      <c r="H25" s="55"/>
      <c r="I25" s="57"/>
      <c r="J25" s="57"/>
      <c r="K25" s="57"/>
      <c r="L25" s="57"/>
      <c r="M25" s="283">
        <v>0</v>
      </c>
    </row>
    <row r="26" spans="1:13" ht="78.75" x14ac:dyDescent="0.25">
      <c r="A26" s="284">
        <v>0</v>
      </c>
      <c r="B26" s="285" t="s">
        <v>60</v>
      </c>
      <c r="C26" s="55" t="s">
        <v>1101</v>
      </c>
      <c r="D26" s="57"/>
      <c r="E26" s="57"/>
      <c r="F26" s="56">
        <v>2</v>
      </c>
      <c r="G26" s="191" t="s">
        <v>1102</v>
      </c>
      <c r="H26" s="55"/>
      <c r="I26" s="57"/>
      <c r="J26" s="57"/>
      <c r="K26" s="57"/>
      <c r="L26" s="57"/>
      <c r="M26" s="283">
        <v>0</v>
      </c>
    </row>
    <row r="27" spans="1:13" x14ac:dyDescent="0.25">
      <c r="A27" s="284">
        <v>0</v>
      </c>
      <c r="B27" s="285" t="s">
        <v>61</v>
      </c>
      <c r="C27" s="55"/>
      <c r="D27" s="57"/>
      <c r="E27" s="57"/>
      <c r="F27" s="56">
        <v>3</v>
      </c>
      <c r="G27" s="293"/>
      <c r="H27" s="55"/>
      <c r="I27" s="57"/>
      <c r="J27" s="57"/>
      <c r="K27" s="57"/>
      <c r="L27" s="57"/>
      <c r="M27" s="283">
        <v>0</v>
      </c>
    </row>
    <row r="28" spans="1:13" x14ac:dyDescent="0.25">
      <c r="A28" s="284">
        <v>0</v>
      </c>
      <c r="B28" s="285" t="s">
        <v>62</v>
      </c>
      <c r="C28" s="55"/>
      <c r="D28" s="57"/>
      <c r="E28" s="57"/>
      <c r="F28" s="56">
        <v>4</v>
      </c>
      <c r="G28" s="293"/>
      <c r="H28" s="55"/>
      <c r="I28" s="57"/>
      <c r="J28" s="57"/>
      <c r="K28" s="57"/>
      <c r="L28" s="57"/>
      <c r="M28" s="283">
        <v>0</v>
      </c>
    </row>
    <row r="29" spans="1:13" x14ac:dyDescent="0.25">
      <c r="A29" s="284">
        <v>0</v>
      </c>
      <c r="B29" s="285" t="s">
        <v>63</v>
      </c>
      <c r="C29" s="55"/>
      <c r="D29" s="57"/>
      <c r="E29" s="57"/>
      <c r="F29" s="56">
        <v>5</v>
      </c>
      <c r="G29" s="293"/>
      <c r="H29" s="55"/>
      <c r="I29" s="57"/>
      <c r="J29" s="57"/>
      <c r="K29" s="57"/>
      <c r="L29" s="57"/>
      <c r="M29" s="283">
        <v>0</v>
      </c>
    </row>
    <row r="30" spans="1:13" x14ac:dyDescent="0.25">
      <c r="A30" s="284">
        <v>0</v>
      </c>
      <c r="B30" s="285" t="s">
        <v>64</v>
      </c>
      <c r="C30" s="55"/>
      <c r="D30" s="57"/>
      <c r="E30" s="57"/>
      <c r="F30" s="56">
        <v>6</v>
      </c>
      <c r="G30" s="293"/>
      <c r="H30" s="55"/>
      <c r="I30" s="57"/>
      <c r="J30" s="57"/>
      <c r="K30" s="57"/>
      <c r="L30" s="57"/>
      <c r="M30" s="283">
        <v>0</v>
      </c>
    </row>
    <row r="31" spans="1:13" x14ac:dyDescent="0.25">
      <c r="A31" s="284">
        <v>0</v>
      </c>
      <c r="B31" s="285" t="s">
        <v>65</v>
      </c>
      <c r="C31" s="55"/>
      <c r="D31" s="57"/>
      <c r="E31" s="57"/>
      <c r="F31" s="56">
        <v>7</v>
      </c>
      <c r="G31" s="293"/>
      <c r="H31" s="55"/>
      <c r="I31" s="57"/>
      <c r="J31" s="57"/>
      <c r="K31" s="57"/>
      <c r="L31" s="57"/>
      <c r="M31" s="8">
        <f>SUM(M22:M30)</f>
        <v>0</v>
      </c>
    </row>
    <row r="32" spans="1:13" x14ac:dyDescent="0.25">
      <c r="A32" s="284">
        <v>0</v>
      </c>
      <c r="B32" s="285" t="s">
        <v>66</v>
      </c>
      <c r="C32" s="55"/>
      <c r="D32" s="57"/>
      <c r="E32" s="57"/>
      <c r="F32" s="56">
        <v>8</v>
      </c>
      <c r="G32" s="293"/>
      <c r="H32" s="55"/>
      <c r="I32" s="57"/>
      <c r="J32" s="57"/>
      <c r="K32" s="57"/>
      <c r="L32" s="57"/>
      <c r="M32" s="43"/>
    </row>
    <row r="33" spans="1:13" ht="78.75" x14ac:dyDescent="0.25">
      <c r="A33" s="284">
        <v>5490</v>
      </c>
      <c r="B33" s="285" t="s">
        <v>67</v>
      </c>
      <c r="C33" s="55" t="s">
        <v>1103</v>
      </c>
      <c r="D33" s="56">
        <v>60</v>
      </c>
      <c r="E33" s="57" t="s">
        <v>1104</v>
      </c>
      <c r="F33" s="57" t="s">
        <v>1105</v>
      </c>
      <c r="G33" s="294">
        <v>44200</v>
      </c>
      <c r="H33" s="55"/>
      <c r="I33" s="57"/>
      <c r="J33" s="57"/>
      <c r="K33" s="57"/>
      <c r="L33" s="293"/>
      <c r="M33" s="43"/>
    </row>
    <row r="34" spans="1:13" ht="47.25" x14ac:dyDescent="0.25">
      <c r="A34" s="284">
        <v>0</v>
      </c>
      <c r="B34" s="285" t="s">
        <v>68</v>
      </c>
      <c r="C34" s="55" t="s">
        <v>1106</v>
      </c>
      <c r="D34" s="65"/>
      <c r="E34" s="65"/>
      <c r="F34" s="56">
        <v>2</v>
      </c>
      <c r="G34" s="191" t="s">
        <v>89</v>
      </c>
      <c r="H34" s="55"/>
      <c r="I34" s="57"/>
      <c r="J34" s="57"/>
      <c r="K34" s="57"/>
      <c r="L34" s="293"/>
      <c r="M34" s="43"/>
    </row>
    <row r="35" spans="1:13" x14ac:dyDescent="0.25">
      <c r="A35" s="284">
        <v>0</v>
      </c>
      <c r="B35" s="291">
        <v>0.79166666666666663</v>
      </c>
      <c r="C35" s="43"/>
      <c r="D35" s="65"/>
      <c r="E35" s="65"/>
      <c r="F35" s="59">
        <v>3</v>
      </c>
      <c r="G35" s="82"/>
      <c r="H35" s="55"/>
      <c r="I35" s="57"/>
      <c r="J35" s="57"/>
      <c r="K35" s="57"/>
      <c r="L35" s="293"/>
      <c r="M35" s="43"/>
    </row>
    <row r="36" spans="1:13" x14ac:dyDescent="0.25">
      <c r="A36" s="284">
        <v>0</v>
      </c>
      <c r="B36" s="291">
        <v>0.83333333333333337</v>
      </c>
      <c r="C36" s="43"/>
      <c r="D36" s="65"/>
      <c r="E36" s="65"/>
      <c r="F36" s="59">
        <v>4</v>
      </c>
      <c r="G36" s="65"/>
      <c r="H36" s="55"/>
      <c r="I36" s="57"/>
      <c r="J36" s="57"/>
      <c r="K36" s="57"/>
      <c r="L36" s="293"/>
      <c r="M36" s="43"/>
    </row>
    <row r="37" spans="1:13" x14ac:dyDescent="0.25">
      <c r="A37" s="284">
        <v>0</v>
      </c>
      <c r="B37" s="291">
        <v>0.875</v>
      </c>
      <c r="C37" s="43"/>
      <c r="D37" s="57"/>
      <c r="E37" s="57"/>
      <c r="F37" s="57"/>
      <c r="G37" s="57"/>
      <c r="H37" s="55"/>
      <c r="I37" s="57"/>
      <c r="J37" s="57"/>
      <c r="K37" s="57"/>
      <c r="L37" s="293"/>
      <c r="M37" s="43"/>
    </row>
    <row r="38" spans="1:13" x14ac:dyDescent="0.25">
      <c r="A38" s="284">
        <v>0</v>
      </c>
      <c r="B38" s="291">
        <v>0.91666666666666663</v>
      </c>
      <c r="C38" s="43"/>
      <c r="D38" s="57"/>
      <c r="E38" s="57"/>
      <c r="F38" s="57"/>
      <c r="G38" s="57"/>
      <c r="H38" s="55"/>
      <c r="I38" s="57"/>
      <c r="J38" s="57"/>
      <c r="K38" s="57"/>
      <c r="L38" s="293"/>
      <c r="M38" s="43"/>
    </row>
    <row r="39" spans="1:13" x14ac:dyDescent="0.25">
      <c r="A39" s="265">
        <f>SUM(A23:A38)</f>
        <v>21615</v>
      </c>
      <c r="B39" s="292">
        <v>0.94791666666666663</v>
      </c>
      <c r="C39" s="55"/>
      <c r="D39" s="57"/>
      <c r="E39" s="57"/>
      <c r="F39" s="57"/>
      <c r="G39" s="57"/>
      <c r="H39" s="55"/>
      <c r="I39" s="57"/>
      <c r="J39" s="57"/>
      <c r="K39" s="57"/>
      <c r="L39" s="293"/>
      <c r="M39" s="43"/>
    </row>
    <row r="40" spans="1:13" ht="141.75" x14ac:dyDescent="0.25">
      <c r="A40" s="281">
        <f>A22+1</f>
        <v>44566</v>
      </c>
      <c r="B40" s="282" t="s">
        <v>54</v>
      </c>
      <c r="C40" s="55" t="s">
        <v>1107</v>
      </c>
      <c r="D40" s="56">
        <v>60</v>
      </c>
      <c r="E40" s="57" t="s">
        <v>1108</v>
      </c>
      <c r="F40" s="57" t="s">
        <v>1109</v>
      </c>
      <c r="G40" s="79">
        <v>44199</v>
      </c>
      <c r="H40" s="55"/>
      <c r="I40" s="57"/>
      <c r="J40" s="57"/>
      <c r="K40" s="57"/>
      <c r="L40" s="293"/>
      <c r="M40" s="283">
        <v>5333</v>
      </c>
    </row>
    <row r="41" spans="1:13" ht="94.5" x14ac:dyDescent="0.25">
      <c r="A41" s="284">
        <v>4137</v>
      </c>
      <c r="B41" s="285" t="s">
        <v>57</v>
      </c>
      <c r="C41" s="55" t="s">
        <v>1110</v>
      </c>
      <c r="D41" s="57"/>
      <c r="E41" s="57"/>
      <c r="F41" s="56">
        <v>2</v>
      </c>
      <c r="G41" s="57" t="s">
        <v>89</v>
      </c>
      <c r="H41" s="55"/>
      <c r="I41" s="57"/>
      <c r="J41" s="57"/>
      <c r="K41" s="57"/>
      <c r="L41" s="293"/>
      <c r="M41" s="283">
        <v>0</v>
      </c>
    </row>
    <row r="42" spans="1:13" x14ac:dyDescent="0.25">
      <c r="A42" s="284">
        <v>0</v>
      </c>
      <c r="B42" s="285" t="s">
        <v>58</v>
      </c>
      <c r="C42" s="55"/>
      <c r="D42" s="57"/>
      <c r="E42" s="57"/>
      <c r="F42" s="56">
        <v>3</v>
      </c>
      <c r="G42" s="293"/>
      <c r="H42" s="55"/>
      <c r="I42" s="57"/>
      <c r="J42" s="57"/>
      <c r="K42" s="57"/>
      <c r="L42" s="293"/>
      <c r="M42" s="283">
        <v>0</v>
      </c>
    </row>
    <row r="43" spans="1:13" x14ac:dyDescent="0.25">
      <c r="A43" s="284">
        <v>0</v>
      </c>
      <c r="B43" s="285" t="s">
        <v>59</v>
      </c>
      <c r="C43" s="55"/>
      <c r="D43" s="57"/>
      <c r="E43" s="57"/>
      <c r="F43" s="56">
        <v>4</v>
      </c>
      <c r="G43" s="293"/>
      <c r="H43" s="55"/>
      <c r="I43" s="57"/>
      <c r="J43" s="57"/>
      <c r="K43" s="57"/>
      <c r="L43" s="293"/>
      <c r="M43" s="283">
        <v>0</v>
      </c>
    </row>
    <row r="44" spans="1:13" x14ac:dyDescent="0.25">
      <c r="A44" s="284">
        <v>0</v>
      </c>
      <c r="B44" s="285" t="s">
        <v>60</v>
      </c>
      <c r="C44" s="55"/>
      <c r="D44" s="57"/>
      <c r="E44" s="57"/>
      <c r="F44" s="57"/>
      <c r="G44" s="57"/>
      <c r="H44" s="55"/>
      <c r="I44" s="57"/>
      <c r="J44" s="57"/>
      <c r="K44" s="57"/>
      <c r="L44" s="293"/>
      <c r="M44" s="283">
        <v>0</v>
      </c>
    </row>
    <row r="45" spans="1:13" x14ac:dyDescent="0.25">
      <c r="A45" s="284">
        <v>0</v>
      </c>
      <c r="B45" s="285" t="s">
        <v>61</v>
      </c>
      <c r="C45" s="55"/>
      <c r="D45" s="57"/>
      <c r="E45" s="57"/>
      <c r="F45" s="57"/>
      <c r="G45" s="57"/>
      <c r="H45" s="55"/>
      <c r="I45" s="57"/>
      <c r="J45" s="57"/>
      <c r="K45" s="57"/>
      <c r="L45" s="293"/>
      <c r="M45" s="283">
        <v>0</v>
      </c>
    </row>
    <row r="46" spans="1:13" x14ac:dyDescent="0.25">
      <c r="A46" s="284">
        <v>0</v>
      </c>
      <c r="B46" s="285" t="s">
        <v>62</v>
      </c>
      <c r="C46" s="55"/>
      <c r="D46" s="57"/>
      <c r="E46" s="57"/>
      <c r="F46" s="57"/>
      <c r="G46" s="57"/>
      <c r="H46" s="55"/>
      <c r="I46" s="57"/>
      <c r="J46" s="57"/>
      <c r="K46" s="57"/>
      <c r="L46" s="293"/>
      <c r="M46" s="283">
        <v>0</v>
      </c>
    </row>
    <row r="47" spans="1:13" x14ac:dyDescent="0.25">
      <c r="A47" s="284">
        <v>0</v>
      </c>
      <c r="B47" s="285" t="s">
        <v>63</v>
      </c>
      <c r="C47" s="55"/>
      <c r="D47" s="57"/>
      <c r="E47" s="57"/>
      <c r="F47" s="57"/>
      <c r="G47" s="57"/>
      <c r="H47" s="55"/>
      <c r="I47" s="57"/>
      <c r="J47" s="57"/>
      <c r="K47" s="57"/>
      <c r="L47" s="293"/>
      <c r="M47" s="283">
        <v>0</v>
      </c>
    </row>
    <row r="48" spans="1:13" ht="173.25" x14ac:dyDescent="0.25">
      <c r="A48" s="284">
        <v>2323</v>
      </c>
      <c r="B48" s="285" t="s">
        <v>64</v>
      </c>
      <c r="C48" s="55" t="s">
        <v>1111</v>
      </c>
      <c r="D48" s="57">
        <v>36</v>
      </c>
      <c r="E48" s="57" t="s">
        <v>1112</v>
      </c>
      <c r="F48" s="57" t="s">
        <v>1113</v>
      </c>
      <c r="G48" s="125">
        <v>44567</v>
      </c>
      <c r="H48" s="55"/>
      <c r="I48" s="57"/>
      <c r="J48" s="57"/>
      <c r="K48" s="57"/>
      <c r="L48" s="293"/>
      <c r="M48" s="283">
        <v>0</v>
      </c>
    </row>
    <row r="49" spans="1:13" ht="31.5" x14ac:dyDescent="0.25">
      <c r="A49" s="284">
        <v>0</v>
      </c>
      <c r="B49" s="285" t="s">
        <v>65</v>
      </c>
      <c r="C49" s="55" t="s">
        <v>1114</v>
      </c>
      <c r="D49" s="57"/>
      <c r="E49" s="57"/>
      <c r="F49" s="57"/>
      <c r="G49" s="57"/>
      <c r="H49" s="55"/>
      <c r="I49" s="57"/>
      <c r="J49" s="57"/>
      <c r="K49" s="57"/>
      <c r="L49" s="293"/>
      <c r="M49" s="8">
        <f>SUM(M40:M48)</f>
        <v>5333</v>
      </c>
    </row>
    <row r="50" spans="1:13" ht="31.5" x14ac:dyDescent="0.25">
      <c r="A50" s="284">
        <v>0</v>
      </c>
      <c r="B50" s="285" t="s">
        <v>66</v>
      </c>
      <c r="C50" s="55" t="s">
        <v>1115</v>
      </c>
      <c r="D50" s="57"/>
      <c r="E50" s="57"/>
      <c r="F50" s="57"/>
      <c r="G50" s="57"/>
      <c r="H50" s="55"/>
      <c r="I50" s="57"/>
      <c r="J50" s="57"/>
      <c r="K50" s="57"/>
      <c r="L50" s="293"/>
      <c r="M50" s="43"/>
    </row>
    <row r="51" spans="1:13" x14ac:dyDescent="0.25">
      <c r="A51" s="284">
        <v>0</v>
      </c>
      <c r="B51" s="285" t="s">
        <v>67</v>
      </c>
      <c r="C51" s="55"/>
      <c r="D51" s="57"/>
      <c r="E51" s="57"/>
      <c r="F51" s="57"/>
      <c r="G51" s="57"/>
      <c r="H51" s="55"/>
      <c r="I51" s="57"/>
      <c r="J51" s="57"/>
      <c r="K51" s="57"/>
      <c r="L51" s="293"/>
      <c r="M51" s="43"/>
    </row>
    <row r="52" spans="1:13" ht="78.75" x14ac:dyDescent="0.25">
      <c r="A52" s="284">
        <v>1100</v>
      </c>
      <c r="B52" s="285" t="s">
        <v>68</v>
      </c>
      <c r="C52" s="55" t="s">
        <v>1116</v>
      </c>
      <c r="D52" s="57">
        <v>36</v>
      </c>
      <c r="E52" s="57" t="s">
        <v>91</v>
      </c>
      <c r="F52" s="57" t="s">
        <v>1117</v>
      </c>
      <c r="G52" s="295">
        <v>44201</v>
      </c>
      <c r="H52" s="55"/>
      <c r="I52" s="57"/>
      <c r="J52" s="57"/>
      <c r="K52" s="57"/>
      <c r="L52" s="293"/>
      <c r="M52" s="43"/>
    </row>
    <row r="53" spans="1:13" ht="31.5" x14ac:dyDescent="0.25">
      <c r="A53" s="284">
        <v>0</v>
      </c>
      <c r="B53" s="291">
        <v>0.79166666666666663</v>
      </c>
      <c r="C53" s="55" t="s">
        <v>1118</v>
      </c>
      <c r="D53" s="57"/>
      <c r="E53" s="57"/>
      <c r="F53" s="57"/>
      <c r="G53" s="293" t="s">
        <v>1119</v>
      </c>
      <c r="H53" s="55"/>
      <c r="I53" s="57"/>
      <c r="J53" s="57"/>
      <c r="K53" s="57"/>
      <c r="L53" s="293"/>
      <c r="M53" s="43"/>
    </row>
    <row r="54" spans="1:13" x14ac:dyDescent="0.25">
      <c r="A54" s="284">
        <v>0</v>
      </c>
      <c r="B54" s="291">
        <v>0.83333333333333337</v>
      </c>
      <c r="C54" s="55"/>
      <c r="D54" s="57"/>
      <c r="E54" s="57"/>
      <c r="F54" s="57"/>
      <c r="G54" s="78"/>
      <c r="H54" s="55"/>
      <c r="I54" s="57"/>
      <c r="J54" s="57"/>
      <c r="K54" s="57"/>
      <c r="L54" s="293"/>
      <c r="M54" s="43"/>
    </row>
    <row r="55" spans="1:13" x14ac:dyDescent="0.25">
      <c r="A55" s="284">
        <v>0</v>
      </c>
      <c r="B55" s="291">
        <v>0.875</v>
      </c>
      <c r="C55" s="55"/>
      <c r="D55" s="65"/>
      <c r="E55" s="65"/>
      <c r="F55" s="65"/>
      <c r="G55" s="65"/>
      <c r="H55" s="55"/>
      <c r="I55" s="57"/>
      <c r="J55" s="57"/>
      <c r="K55" s="57"/>
      <c r="L55" s="293"/>
      <c r="M55" s="43"/>
    </row>
    <row r="56" spans="1:13" x14ac:dyDescent="0.25">
      <c r="A56" s="284">
        <v>0</v>
      </c>
      <c r="B56" s="291">
        <v>0.91666666666666663</v>
      </c>
      <c r="C56" s="55"/>
      <c r="D56" s="57"/>
      <c r="E56" s="57"/>
      <c r="F56" s="57"/>
      <c r="G56" s="57"/>
      <c r="H56" s="55"/>
      <c r="I56" s="57"/>
      <c r="J56" s="57"/>
      <c r="K56" s="57"/>
      <c r="L56" s="293"/>
      <c r="M56" s="43"/>
    </row>
    <row r="57" spans="1:13" x14ac:dyDescent="0.25">
      <c r="A57" s="265">
        <f>SUM(A41:A56)</f>
        <v>7560</v>
      </c>
      <c r="B57" s="292">
        <v>0.94791666666666663</v>
      </c>
      <c r="C57" s="55"/>
      <c r="D57" s="57"/>
      <c r="E57" s="57"/>
      <c r="F57" s="57"/>
      <c r="G57" s="57"/>
      <c r="H57" s="55"/>
      <c r="I57" s="57"/>
      <c r="J57" s="57"/>
      <c r="K57" s="57"/>
      <c r="L57" s="293"/>
      <c r="M57" s="43"/>
    </row>
    <row r="58" spans="1:13" ht="78.75" x14ac:dyDescent="0.25">
      <c r="A58" s="281">
        <f>A40+1</f>
        <v>44567</v>
      </c>
      <c r="B58" s="296" t="s">
        <v>54</v>
      </c>
      <c r="C58" s="55" t="s">
        <v>1120</v>
      </c>
      <c r="D58" s="56">
        <v>48</v>
      </c>
      <c r="E58" s="57" t="s">
        <v>70</v>
      </c>
      <c r="F58" s="57" t="s">
        <v>1121</v>
      </c>
      <c r="G58" s="79">
        <v>44200</v>
      </c>
      <c r="H58" s="55"/>
      <c r="I58" s="57"/>
      <c r="J58" s="57"/>
      <c r="K58" s="57"/>
      <c r="L58" s="293"/>
      <c r="M58" s="283">
        <v>2948</v>
      </c>
    </row>
    <row r="59" spans="1:13" ht="63" x14ac:dyDescent="0.25">
      <c r="A59" s="284">
        <v>5333</v>
      </c>
      <c r="B59" s="297" t="s">
        <v>57</v>
      </c>
      <c r="C59" s="55" t="s">
        <v>1122</v>
      </c>
      <c r="D59" s="57"/>
      <c r="E59" s="57"/>
      <c r="F59" s="56">
        <v>2</v>
      </c>
      <c r="G59" s="191" t="s">
        <v>104</v>
      </c>
      <c r="H59" s="55"/>
      <c r="I59" s="57"/>
      <c r="J59" s="57"/>
      <c r="K59" s="57"/>
      <c r="L59" s="293"/>
      <c r="M59" s="283">
        <v>0</v>
      </c>
    </row>
    <row r="60" spans="1:13" x14ac:dyDescent="0.25">
      <c r="A60" s="284">
        <v>0</v>
      </c>
      <c r="B60" s="297" t="s">
        <v>58</v>
      </c>
      <c r="C60" s="55"/>
      <c r="D60" s="57"/>
      <c r="E60" s="57"/>
      <c r="F60" s="56">
        <v>3</v>
      </c>
      <c r="G60" s="293"/>
      <c r="H60" s="55"/>
      <c r="I60" s="57"/>
      <c r="J60" s="57"/>
      <c r="K60" s="57"/>
      <c r="L60" s="293"/>
      <c r="M60" s="283">
        <v>0</v>
      </c>
    </row>
    <row r="61" spans="1:13" x14ac:dyDescent="0.25">
      <c r="A61" s="284">
        <v>0</v>
      </c>
      <c r="B61" s="297" t="s">
        <v>59</v>
      </c>
      <c r="C61" s="55"/>
      <c r="D61" s="57"/>
      <c r="E61" s="57"/>
      <c r="F61" s="56">
        <v>4</v>
      </c>
      <c r="G61" s="293"/>
      <c r="H61" s="55"/>
      <c r="I61" s="57"/>
      <c r="J61" s="57"/>
      <c r="K61" s="57"/>
      <c r="L61" s="293"/>
      <c r="M61" s="283">
        <v>0</v>
      </c>
    </row>
    <row r="62" spans="1:13" x14ac:dyDescent="0.25">
      <c r="A62" s="284">
        <v>0</v>
      </c>
      <c r="B62" s="297" t="s">
        <v>60</v>
      </c>
      <c r="C62" s="55"/>
      <c r="D62" s="57"/>
      <c r="E62" s="57"/>
      <c r="F62" s="56">
        <v>5</v>
      </c>
      <c r="G62" s="293"/>
      <c r="H62" s="55"/>
      <c r="I62" s="57"/>
      <c r="J62" s="57"/>
      <c r="K62" s="57"/>
      <c r="L62" s="293"/>
      <c r="M62" s="283">
        <v>0</v>
      </c>
    </row>
    <row r="63" spans="1:13" x14ac:dyDescent="0.25">
      <c r="A63" s="284">
        <v>0</v>
      </c>
      <c r="B63" s="297" t="s">
        <v>61</v>
      </c>
      <c r="C63" s="55"/>
      <c r="D63" s="57"/>
      <c r="E63" s="57"/>
      <c r="F63" s="57"/>
      <c r="G63" s="57"/>
      <c r="H63" s="55"/>
      <c r="I63" s="57"/>
      <c r="J63" s="57"/>
      <c r="K63" s="57"/>
      <c r="L63" s="293"/>
      <c r="M63" s="283">
        <v>0</v>
      </c>
    </row>
    <row r="64" spans="1:13" x14ac:dyDescent="0.25">
      <c r="A64" s="284">
        <v>0</v>
      </c>
      <c r="B64" s="297" t="s">
        <v>62</v>
      </c>
      <c r="C64" s="55"/>
      <c r="D64" s="57"/>
      <c r="E64" s="57"/>
      <c r="F64" s="57"/>
      <c r="G64" s="57"/>
      <c r="H64" s="55"/>
      <c r="I64" s="57"/>
      <c r="J64" s="57"/>
      <c r="K64" s="57"/>
      <c r="L64" s="293"/>
      <c r="M64" s="283">
        <v>0</v>
      </c>
    </row>
    <row r="65" spans="1:13" x14ac:dyDescent="0.25">
      <c r="A65" s="284">
        <v>0</v>
      </c>
      <c r="B65" s="297" t="s">
        <v>63</v>
      </c>
      <c r="C65" s="55"/>
      <c r="D65" s="57"/>
      <c r="E65" s="57"/>
      <c r="F65" s="57"/>
      <c r="G65" s="57"/>
      <c r="H65" s="55"/>
      <c r="I65" s="57"/>
      <c r="J65" s="57"/>
      <c r="K65" s="57"/>
      <c r="L65" s="293"/>
      <c r="M65" s="283">
        <v>0</v>
      </c>
    </row>
    <row r="66" spans="1:13" ht="126" x14ac:dyDescent="0.25">
      <c r="A66" s="284">
        <v>6263</v>
      </c>
      <c r="B66" s="297" t="s">
        <v>64</v>
      </c>
      <c r="C66" s="55" t="s">
        <v>1123</v>
      </c>
      <c r="D66" s="56">
        <v>54</v>
      </c>
      <c r="E66" s="57" t="s">
        <v>1124</v>
      </c>
      <c r="F66" s="57" t="s">
        <v>1125</v>
      </c>
      <c r="G66" s="79">
        <v>44540</v>
      </c>
      <c r="H66" s="55"/>
      <c r="I66" s="57"/>
      <c r="J66" s="57"/>
      <c r="K66" s="57"/>
      <c r="L66" s="293"/>
      <c r="M66" s="283">
        <v>0</v>
      </c>
    </row>
    <row r="67" spans="1:13" x14ac:dyDescent="0.25">
      <c r="A67" s="284">
        <v>0</v>
      </c>
      <c r="B67" s="297" t="s">
        <v>65</v>
      </c>
      <c r="C67" s="55"/>
      <c r="D67" s="57"/>
      <c r="E67" s="57"/>
      <c r="F67" s="56">
        <v>2</v>
      </c>
      <c r="G67" s="293"/>
      <c r="H67" s="55"/>
      <c r="I67" s="57"/>
      <c r="J67" s="57"/>
      <c r="K67" s="57"/>
      <c r="L67" s="293"/>
      <c r="M67" s="8">
        <f>SUM(M58:M66)</f>
        <v>2948</v>
      </c>
    </row>
    <row r="68" spans="1:13" x14ac:dyDescent="0.25">
      <c r="A68" s="284">
        <v>0</v>
      </c>
      <c r="B68" s="297" t="s">
        <v>66</v>
      </c>
      <c r="C68" s="55"/>
      <c r="D68" s="57"/>
      <c r="E68" s="57"/>
      <c r="F68" s="56">
        <v>3</v>
      </c>
      <c r="G68" s="293"/>
      <c r="H68" s="55"/>
      <c r="I68" s="57"/>
      <c r="J68" s="57"/>
      <c r="K68" s="57"/>
      <c r="L68" s="57"/>
      <c r="M68" s="43"/>
    </row>
    <row r="69" spans="1:13" x14ac:dyDescent="0.25">
      <c r="A69" s="284">
        <v>0</v>
      </c>
      <c r="B69" s="297" t="s">
        <v>67</v>
      </c>
      <c r="C69" s="55"/>
      <c r="D69" s="57"/>
      <c r="E69" s="57"/>
      <c r="F69" s="56">
        <v>4</v>
      </c>
      <c r="G69" s="293"/>
      <c r="H69" s="55"/>
      <c r="I69" s="57"/>
      <c r="J69" s="57"/>
      <c r="K69" s="57"/>
      <c r="L69" s="57"/>
      <c r="M69" s="43"/>
    </row>
    <row r="70" spans="1:13" x14ac:dyDescent="0.25">
      <c r="A70" s="284">
        <v>0</v>
      </c>
      <c r="B70" s="297" t="s">
        <v>68</v>
      </c>
      <c r="C70" s="55"/>
      <c r="D70" s="57"/>
      <c r="E70" s="57"/>
      <c r="F70" s="57">
        <v>5</v>
      </c>
      <c r="G70" s="57"/>
      <c r="H70" s="55"/>
      <c r="I70" s="57"/>
      <c r="J70" s="57"/>
      <c r="K70" s="57"/>
      <c r="L70" s="57"/>
      <c r="M70" s="43"/>
    </row>
    <row r="71" spans="1:13" x14ac:dyDescent="0.25">
      <c r="A71" s="284">
        <v>0</v>
      </c>
      <c r="B71" s="298">
        <v>0.79166666666666663</v>
      </c>
      <c r="C71" s="55"/>
      <c r="D71" s="57"/>
      <c r="E71" s="57"/>
      <c r="F71" s="57"/>
      <c r="G71" s="57"/>
      <c r="H71" s="55"/>
      <c r="I71" s="57"/>
      <c r="J71" s="57"/>
      <c r="K71" s="57"/>
      <c r="L71" s="57"/>
      <c r="M71" s="43"/>
    </row>
    <row r="72" spans="1:13" x14ac:dyDescent="0.25">
      <c r="A72" s="284">
        <v>0</v>
      </c>
      <c r="B72" s="298">
        <v>0.83333333333333337</v>
      </c>
      <c r="C72" s="55"/>
      <c r="D72" s="57"/>
      <c r="E72" s="57"/>
      <c r="F72" s="57"/>
      <c r="G72" s="57"/>
      <c r="H72" s="55"/>
      <c r="I72" s="57"/>
      <c r="J72" s="57"/>
      <c r="K72" s="57"/>
      <c r="L72" s="57"/>
      <c r="M72" s="43"/>
    </row>
    <row r="73" spans="1:13" x14ac:dyDescent="0.25">
      <c r="A73" s="284">
        <v>0</v>
      </c>
      <c r="B73" s="298">
        <v>0.875</v>
      </c>
      <c r="C73" s="55"/>
      <c r="D73" s="57"/>
      <c r="E73" s="57"/>
      <c r="F73" s="57"/>
      <c r="G73" s="57"/>
      <c r="H73" s="55"/>
      <c r="I73" s="57"/>
      <c r="J73" s="57"/>
      <c r="K73" s="57"/>
      <c r="L73" s="57"/>
      <c r="M73" s="43"/>
    </row>
    <row r="74" spans="1:13" x14ac:dyDescent="0.25">
      <c r="A74" s="284">
        <v>0</v>
      </c>
      <c r="B74" s="298">
        <v>0.91666666666666663</v>
      </c>
      <c r="C74" s="55"/>
      <c r="D74" s="57"/>
      <c r="E74" s="57"/>
      <c r="F74" s="57"/>
      <c r="G74" s="57"/>
      <c r="H74" s="55"/>
      <c r="I74" s="57"/>
      <c r="J74" s="57"/>
      <c r="K74" s="57"/>
      <c r="L74" s="57"/>
      <c r="M74" s="43"/>
    </row>
    <row r="75" spans="1:13" x14ac:dyDescent="0.25">
      <c r="A75" s="265">
        <f>SUM(A59:A74)</f>
        <v>11596</v>
      </c>
      <c r="B75" s="299">
        <v>0.94791666666666663</v>
      </c>
      <c r="C75" s="43"/>
      <c r="D75" s="194"/>
      <c r="E75" s="194"/>
      <c r="F75" s="194"/>
      <c r="G75" s="194"/>
      <c r="H75" s="55"/>
      <c r="I75" s="57"/>
      <c r="J75" s="57"/>
      <c r="K75" s="57"/>
      <c r="L75" s="57"/>
      <c r="M75" s="43"/>
    </row>
    <row r="76" spans="1:13" x14ac:dyDescent="0.25">
      <c r="A76" s="281">
        <f>A58+1</f>
        <v>44568</v>
      </c>
      <c r="B76" s="296" t="s">
        <v>54</v>
      </c>
      <c r="C76" s="43"/>
      <c r="D76" s="300" t="s">
        <v>1126</v>
      </c>
      <c r="E76" s="300"/>
      <c r="F76" s="300"/>
      <c r="G76" s="300"/>
      <c r="H76" s="55"/>
      <c r="I76" s="57"/>
      <c r="J76" s="57"/>
      <c r="K76" s="57"/>
      <c r="L76" s="57"/>
      <c r="M76" s="283">
        <v>0</v>
      </c>
    </row>
    <row r="77" spans="1:13" x14ac:dyDescent="0.25">
      <c r="A77" s="284">
        <v>0</v>
      </c>
      <c r="B77" s="297" t="s">
        <v>57</v>
      </c>
      <c r="C77" s="43"/>
      <c r="D77" s="300" t="s">
        <v>1127</v>
      </c>
      <c r="E77" s="300"/>
      <c r="F77" s="300"/>
      <c r="G77" s="300"/>
      <c r="H77" s="55"/>
      <c r="I77" s="57"/>
      <c r="J77" s="57"/>
      <c r="K77" s="57"/>
      <c r="L77" s="57"/>
      <c r="M77" s="283">
        <v>0</v>
      </c>
    </row>
    <row r="78" spans="1:13" x14ac:dyDescent="0.25">
      <c r="A78" s="284">
        <v>0</v>
      </c>
      <c r="B78" s="297" t="s">
        <v>58</v>
      </c>
      <c r="C78" s="43"/>
      <c r="D78" s="300" t="s">
        <v>1128</v>
      </c>
      <c r="E78" s="300"/>
      <c r="F78" s="300"/>
      <c r="G78" s="300"/>
      <c r="H78" s="55"/>
      <c r="I78" s="57"/>
      <c r="J78" s="57"/>
      <c r="K78" s="57"/>
      <c r="L78" s="57"/>
      <c r="M78" s="283">
        <v>0</v>
      </c>
    </row>
    <row r="79" spans="1:13" x14ac:dyDescent="0.25">
      <c r="A79" s="284">
        <v>0</v>
      </c>
      <c r="B79" s="297" t="s">
        <v>59</v>
      </c>
      <c r="C79" s="43"/>
      <c r="D79" s="300"/>
      <c r="E79" s="300"/>
      <c r="F79" s="300"/>
      <c r="G79" s="300"/>
      <c r="H79" s="55"/>
      <c r="I79" s="57"/>
      <c r="J79" s="57"/>
      <c r="K79" s="57"/>
      <c r="L79" s="57"/>
      <c r="M79" s="283">
        <v>0</v>
      </c>
    </row>
    <row r="80" spans="1:13" x14ac:dyDescent="0.25">
      <c r="A80" s="284">
        <v>0</v>
      </c>
      <c r="B80" s="297" t="s">
        <v>60</v>
      </c>
      <c r="C80" s="43"/>
      <c r="D80" s="300" t="s">
        <v>1129</v>
      </c>
      <c r="E80" s="300"/>
      <c r="F80" s="300"/>
      <c r="G80" s="300"/>
      <c r="H80" s="55"/>
      <c r="I80" s="57"/>
      <c r="J80" s="57"/>
      <c r="K80" s="57"/>
      <c r="L80" s="57"/>
      <c r="M80" s="283">
        <v>0</v>
      </c>
    </row>
    <row r="81" spans="1:13" x14ac:dyDescent="0.25">
      <c r="A81" s="284">
        <v>0</v>
      </c>
      <c r="B81" s="297" t="s">
        <v>61</v>
      </c>
      <c r="C81" s="43"/>
      <c r="D81" s="300"/>
      <c r="E81" s="300"/>
      <c r="F81" s="300"/>
      <c r="G81" s="300"/>
      <c r="H81" s="55"/>
      <c r="I81" s="57"/>
      <c r="J81" s="57"/>
      <c r="K81" s="57"/>
      <c r="L81" s="57"/>
      <c r="M81" s="283">
        <v>0</v>
      </c>
    </row>
    <row r="82" spans="1:13" x14ac:dyDescent="0.25">
      <c r="A82" s="284">
        <v>0</v>
      </c>
      <c r="B82" s="297" t="s">
        <v>62</v>
      </c>
      <c r="C82" s="43"/>
      <c r="D82" s="300"/>
      <c r="E82" s="300"/>
      <c r="F82" s="300"/>
      <c r="G82" s="300"/>
      <c r="H82" s="55"/>
      <c r="I82" s="57"/>
      <c r="J82" s="57"/>
      <c r="K82" s="57"/>
      <c r="L82" s="57"/>
      <c r="M82" s="283">
        <v>0</v>
      </c>
    </row>
    <row r="83" spans="1:13" x14ac:dyDescent="0.25">
      <c r="A83" s="284">
        <v>0</v>
      </c>
      <c r="B83" s="297" t="s">
        <v>63</v>
      </c>
      <c r="C83" s="43"/>
      <c r="D83" s="300"/>
      <c r="E83" s="300"/>
      <c r="F83" s="300"/>
      <c r="G83" s="300"/>
      <c r="H83" s="55"/>
      <c r="I83" s="57"/>
      <c r="J83" s="57"/>
      <c r="K83" s="57"/>
      <c r="L83" s="57"/>
      <c r="M83" s="283">
        <v>0</v>
      </c>
    </row>
    <row r="84" spans="1:13" x14ac:dyDescent="0.25">
      <c r="A84" s="284">
        <v>0</v>
      </c>
      <c r="B84" s="297" t="s">
        <v>64</v>
      </c>
      <c r="C84" s="43"/>
      <c r="D84" s="300"/>
      <c r="E84" s="300"/>
      <c r="F84" s="300"/>
      <c r="G84" s="300"/>
      <c r="H84" s="55"/>
      <c r="I84" s="194"/>
      <c r="J84" s="194"/>
      <c r="K84" s="194"/>
      <c r="L84" s="194"/>
      <c r="M84" s="283">
        <v>0</v>
      </c>
    </row>
    <row r="85" spans="1:13" ht="78.75" x14ac:dyDescent="0.25">
      <c r="A85" s="284">
        <v>7000</v>
      </c>
      <c r="B85" s="297" t="s">
        <v>65</v>
      </c>
      <c r="C85" s="55" t="s">
        <v>1130</v>
      </c>
      <c r="D85" s="56">
        <v>56</v>
      </c>
      <c r="E85" s="57" t="s">
        <v>1131</v>
      </c>
      <c r="F85" s="57" t="s">
        <v>1132</v>
      </c>
      <c r="G85" s="79">
        <v>44201</v>
      </c>
      <c r="H85" s="55"/>
      <c r="I85" s="287"/>
      <c r="J85" s="287"/>
      <c r="K85" s="287"/>
      <c r="L85" s="288"/>
      <c r="M85" s="8">
        <f>SUM(M76:M84)</f>
        <v>0</v>
      </c>
    </row>
    <row r="86" spans="1:13" ht="63" x14ac:dyDescent="0.25">
      <c r="A86" s="284">
        <v>0</v>
      </c>
      <c r="B86" s="297" t="s">
        <v>66</v>
      </c>
      <c r="C86" s="55" t="s">
        <v>1133</v>
      </c>
      <c r="D86" s="57"/>
      <c r="E86" s="57"/>
      <c r="F86" s="56">
        <v>2</v>
      </c>
      <c r="G86" s="293"/>
      <c r="H86" s="55"/>
      <c r="I86" s="287"/>
      <c r="J86" s="287"/>
      <c r="K86" s="287"/>
      <c r="L86" s="288"/>
      <c r="M86" s="43"/>
    </row>
    <row r="87" spans="1:13" x14ac:dyDescent="0.25">
      <c r="A87" s="284">
        <v>0</v>
      </c>
      <c r="B87" s="297" t="s">
        <v>67</v>
      </c>
      <c r="C87" s="55"/>
      <c r="D87" s="57"/>
      <c r="E87" s="57"/>
      <c r="F87" s="56">
        <v>3</v>
      </c>
      <c r="G87" s="293"/>
      <c r="H87" s="55"/>
      <c r="I87" s="287"/>
      <c r="J87" s="287"/>
      <c r="K87" s="287"/>
      <c r="L87" s="288"/>
      <c r="M87" s="43"/>
    </row>
    <row r="88" spans="1:13" x14ac:dyDescent="0.25">
      <c r="A88" s="284">
        <v>0</v>
      </c>
      <c r="B88" s="297" t="s">
        <v>68</v>
      </c>
      <c r="C88" s="55"/>
      <c r="D88" s="57"/>
      <c r="E88" s="57"/>
      <c r="F88" s="56">
        <v>4</v>
      </c>
      <c r="G88" s="293"/>
      <c r="H88" s="55"/>
      <c r="I88" s="287"/>
      <c r="J88" s="287"/>
      <c r="K88" s="287"/>
      <c r="L88" s="288"/>
      <c r="M88" s="43"/>
    </row>
    <row r="89" spans="1:13" x14ac:dyDescent="0.25">
      <c r="A89" s="284">
        <v>0</v>
      </c>
      <c r="B89" s="298">
        <v>0.79166666666666663</v>
      </c>
      <c r="C89" s="55"/>
      <c r="D89" s="57"/>
      <c r="E89" s="57"/>
      <c r="F89" s="190">
        <v>5</v>
      </c>
      <c r="G89" s="78"/>
      <c r="H89" s="55"/>
      <c r="I89" s="287"/>
      <c r="J89" s="287"/>
      <c r="K89" s="287"/>
      <c r="L89" s="288"/>
      <c r="M89" s="43"/>
    </row>
    <row r="90" spans="1:13" x14ac:dyDescent="0.25">
      <c r="A90" s="284">
        <v>0</v>
      </c>
      <c r="B90" s="298">
        <v>0.83333333333333337</v>
      </c>
      <c r="C90" s="55"/>
      <c r="D90" s="57"/>
      <c r="E90" s="57"/>
      <c r="F90" s="190">
        <v>6</v>
      </c>
      <c r="G90" s="78"/>
      <c r="H90" s="55"/>
      <c r="I90" s="287"/>
      <c r="J90" s="287"/>
      <c r="K90" s="287"/>
      <c r="L90" s="288"/>
      <c r="M90" s="43"/>
    </row>
    <row r="91" spans="1:13" x14ac:dyDescent="0.25">
      <c r="A91" s="284">
        <v>0</v>
      </c>
      <c r="B91" s="298">
        <v>0.875</v>
      </c>
      <c r="C91" s="55"/>
      <c r="D91" s="57"/>
      <c r="E91" s="57"/>
      <c r="F91" s="57">
        <v>7</v>
      </c>
      <c r="G91" s="57"/>
      <c r="H91" s="55"/>
      <c r="I91" s="287"/>
      <c r="J91" s="287"/>
      <c r="K91" s="287"/>
      <c r="L91" s="288"/>
      <c r="M91" s="43"/>
    </row>
    <row r="92" spans="1:13" x14ac:dyDescent="0.25">
      <c r="A92" s="284">
        <v>0</v>
      </c>
      <c r="B92" s="298">
        <v>0.91666666666666663</v>
      </c>
      <c r="C92" s="43"/>
      <c r="D92" s="194"/>
      <c r="E92" s="194"/>
      <c r="F92" s="194"/>
      <c r="G92" s="194"/>
      <c r="H92" s="55"/>
      <c r="I92" s="287"/>
      <c r="J92" s="287"/>
      <c r="K92" s="287"/>
      <c r="L92" s="288"/>
      <c r="M92" s="43"/>
    </row>
    <row r="93" spans="1:13" x14ac:dyDescent="0.25">
      <c r="A93" s="265">
        <f>SUM(A77:A92)</f>
        <v>7000</v>
      </c>
      <c r="B93" s="299">
        <v>0.94791666666666663</v>
      </c>
      <c r="C93" s="43"/>
      <c r="D93" s="194"/>
      <c r="E93" s="194"/>
      <c r="F93" s="194"/>
      <c r="G93" s="194"/>
      <c r="H93" s="55"/>
      <c r="I93" s="287"/>
      <c r="J93" s="287"/>
      <c r="K93" s="287"/>
      <c r="L93" s="288"/>
      <c r="M93" s="43"/>
    </row>
    <row r="94" spans="1:13" ht="47.25" x14ac:dyDescent="0.25">
      <c r="A94" s="281">
        <f>A76+3</f>
        <v>44571</v>
      </c>
      <c r="B94" s="296" t="s">
        <v>54</v>
      </c>
      <c r="C94" s="43" t="s">
        <v>1134</v>
      </c>
      <c r="D94" s="57"/>
      <c r="E94" s="57"/>
      <c r="F94" s="57">
        <v>8</v>
      </c>
      <c r="G94" s="57"/>
      <c r="H94" s="55" t="s">
        <v>1135</v>
      </c>
      <c r="I94" s="56">
        <v>60</v>
      </c>
      <c r="J94" s="57" t="s">
        <v>151</v>
      </c>
      <c r="K94" s="57" t="s">
        <v>1136</v>
      </c>
      <c r="L94" s="286">
        <v>44199</v>
      </c>
      <c r="M94" s="283">
        <v>4617</v>
      </c>
    </row>
    <row r="95" spans="1:13" ht="31.5" x14ac:dyDescent="0.25">
      <c r="A95" s="284">
        <v>4000</v>
      </c>
      <c r="B95" s="297" t="s">
        <v>57</v>
      </c>
      <c r="C95" s="43"/>
      <c r="D95" s="57"/>
      <c r="E95" s="57"/>
      <c r="F95" s="57">
        <v>9</v>
      </c>
      <c r="G95" s="57"/>
      <c r="H95" s="55" t="s">
        <v>1137</v>
      </c>
      <c r="I95" s="57"/>
      <c r="J95" s="57"/>
      <c r="K95" s="57"/>
      <c r="L95" s="293" t="s">
        <v>1138</v>
      </c>
      <c r="M95" s="283">
        <v>0</v>
      </c>
    </row>
    <row r="96" spans="1:13" x14ac:dyDescent="0.25">
      <c r="A96" s="284">
        <v>0</v>
      </c>
      <c r="B96" s="297" t="s">
        <v>58</v>
      </c>
      <c r="C96" s="43"/>
      <c r="D96" s="57"/>
      <c r="E96" s="57"/>
      <c r="F96" s="57">
        <v>10</v>
      </c>
      <c r="G96" s="57"/>
      <c r="H96" s="55"/>
      <c r="I96" s="57"/>
      <c r="J96" s="57"/>
      <c r="K96" s="57"/>
      <c r="L96" s="78"/>
      <c r="M96" s="283">
        <v>0</v>
      </c>
    </row>
    <row r="97" spans="1:13" ht="126" x14ac:dyDescent="0.25">
      <c r="A97" s="284">
        <v>2867</v>
      </c>
      <c r="B97" s="297" t="s">
        <v>59</v>
      </c>
      <c r="C97" s="55" t="s">
        <v>1139</v>
      </c>
      <c r="D97" s="57">
        <v>48</v>
      </c>
      <c r="E97" s="301" t="s">
        <v>1140</v>
      </c>
      <c r="F97" s="57" t="s">
        <v>1141</v>
      </c>
      <c r="G97" s="125">
        <v>44571</v>
      </c>
      <c r="H97" s="55"/>
      <c r="I97" s="57"/>
      <c r="J97" s="57"/>
      <c r="K97" s="57"/>
      <c r="L97" s="57"/>
      <c r="M97" s="283">
        <v>0</v>
      </c>
    </row>
    <row r="98" spans="1:13" ht="63" x14ac:dyDescent="0.25">
      <c r="A98" s="284">
        <v>0</v>
      </c>
      <c r="B98" s="297" t="s">
        <v>60</v>
      </c>
      <c r="C98" s="55" t="s">
        <v>1142</v>
      </c>
      <c r="D98" s="65"/>
      <c r="E98" s="65"/>
      <c r="F98" s="65">
        <v>2</v>
      </c>
      <c r="G98" s="57" t="s">
        <v>1143</v>
      </c>
      <c r="H98" s="55"/>
      <c r="I98" s="57"/>
      <c r="J98" s="57"/>
      <c r="K98" s="57"/>
      <c r="L98" s="57"/>
      <c r="M98" s="283">
        <v>0</v>
      </c>
    </row>
    <row r="99" spans="1:13" ht="63" x14ac:dyDescent="0.25">
      <c r="A99" s="284">
        <v>0</v>
      </c>
      <c r="B99" s="297" t="s">
        <v>61</v>
      </c>
      <c r="C99" s="43"/>
      <c r="D99" s="65"/>
      <c r="E99" s="65"/>
      <c r="F99" s="65">
        <v>3</v>
      </c>
      <c r="G99" s="65"/>
      <c r="H99" s="55" t="s">
        <v>1144</v>
      </c>
      <c r="I99" s="57">
        <v>36</v>
      </c>
      <c r="J99" s="57" t="s">
        <v>1145</v>
      </c>
      <c r="K99" s="57" t="s">
        <v>1146</v>
      </c>
      <c r="L99" s="78">
        <v>44202</v>
      </c>
      <c r="M99" s="283">
        <v>1356</v>
      </c>
    </row>
    <row r="100" spans="1:13" ht="126" x14ac:dyDescent="0.25">
      <c r="A100" s="284">
        <v>12000</v>
      </c>
      <c r="B100" s="297" t="s">
        <v>62</v>
      </c>
      <c r="C100" s="55" t="s">
        <v>1147</v>
      </c>
      <c r="D100" s="84">
        <v>60</v>
      </c>
      <c r="E100" s="84" t="s">
        <v>1148</v>
      </c>
      <c r="F100" s="84" t="s">
        <v>1149</v>
      </c>
      <c r="G100" s="136">
        <v>44568</v>
      </c>
      <c r="H100" s="55" t="s">
        <v>1150</v>
      </c>
      <c r="I100" s="57"/>
      <c r="J100" s="57"/>
      <c r="K100" s="57">
        <v>2</v>
      </c>
      <c r="L100" s="302" t="s">
        <v>1088</v>
      </c>
      <c r="M100" s="283">
        <v>0</v>
      </c>
    </row>
    <row r="101" spans="1:13" x14ac:dyDescent="0.25">
      <c r="A101" s="284">
        <v>0</v>
      </c>
      <c r="B101" s="297" t="s">
        <v>63</v>
      </c>
      <c r="C101" s="43"/>
      <c r="D101" s="86"/>
      <c r="E101" s="86"/>
      <c r="F101" s="86">
        <v>5</v>
      </c>
      <c r="G101" s="86"/>
      <c r="H101" s="55"/>
      <c r="I101" s="57"/>
      <c r="J101" s="57"/>
      <c r="K101" s="57">
        <v>3</v>
      </c>
      <c r="L101" s="57"/>
      <c r="M101" s="283">
        <v>0</v>
      </c>
    </row>
    <row r="102" spans="1:13" x14ac:dyDescent="0.25">
      <c r="A102" s="284">
        <v>0</v>
      </c>
      <c r="B102" s="297" t="s">
        <v>64</v>
      </c>
      <c r="C102" s="43"/>
      <c r="D102" s="86"/>
      <c r="E102" s="86"/>
      <c r="F102" s="86">
        <v>6</v>
      </c>
      <c r="G102" s="86"/>
      <c r="H102" s="55"/>
      <c r="I102" s="194"/>
      <c r="J102" s="194"/>
      <c r="K102" s="194"/>
      <c r="L102" s="194"/>
      <c r="M102" s="283">
        <v>0</v>
      </c>
    </row>
    <row r="103" spans="1:13" x14ac:dyDescent="0.25">
      <c r="A103" s="284">
        <v>0</v>
      </c>
      <c r="B103" s="297" t="s">
        <v>65</v>
      </c>
      <c r="C103" s="43"/>
      <c r="D103" s="86"/>
      <c r="E103" s="86"/>
      <c r="F103" s="86">
        <v>7</v>
      </c>
      <c r="G103" s="86"/>
      <c r="H103" s="55"/>
      <c r="I103" s="194"/>
      <c r="J103" s="194"/>
      <c r="K103" s="194"/>
      <c r="L103" s="303"/>
      <c r="M103" s="8">
        <f>SUM(M94:M102)</f>
        <v>5973</v>
      </c>
    </row>
    <row r="104" spans="1:13" x14ac:dyDescent="0.25">
      <c r="A104" s="284">
        <v>0</v>
      </c>
      <c r="B104" s="297" t="s">
        <v>66</v>
      </c>
      <c r="C104" s="43"/>
      <c r="D104" s="86"/>
      <c r="E104" s="86"/>
      <c r="F104" s="86">
        <v>8</v>
      </c>
      <c r="G104" s="86"/>
      <c r="H104" s="43"/>
      <c r="I104" s="194"/>
      <c r="J104" s="194"/>
      <c r="K104" s="194"/>
      <c r="L104" s="303"/>
      <c r="M104" s="43"/>
    </row>
    <row r="105" spans="1:13" x14ac:dyDescent="0.25">
      <c r="A105" s="284">
        <v>0</v>
      </c>
      <c r="B105" s="297" t="s">
        <v>67</v>
      </c>
      <c r="C105" s="43"/>
      <c r="D105" s="86"/>
      <c r="E105" s="86"/>
      <c r="F105" s="86"/>
      <c r="G105" s="86"/>
      <c r="H105" s="43"/>
      <c r="I105" s="194"/>
      <c r="J105" s="194"/>
      <c r="K105" s="194"/>
      <c r="L105" s="303"/>
      <c r="M105" s="43"/>
    </row>
    <row r="106" spans="1:13" x14ac:dyDescent="0.25">
      <c r="A106" s="284">
        <v>0</v>
      </c>
      <c r="B106" s="297" t="s">
        <v>68</v>
      </c>
      <c r="C106" s="43"/>
      <c r="D106" s="86"/>
      <c r="E106" s="86"/>
      <c r="F106" s="86"/>
      <c r="G106" s="86"/>
      <c r="H106" s="43"/>
      <c r="I106" s="194"/>
      <c r="J106" s="194"/>
      <c r="K106" s="194"/>
      <c r="L106" s="303"/>
      <c r="M106" s="43"/>
    </row>
    <row r="107" spans="1:13" x14ac:dyDescent="0.25">
      <c r="A107" s="284">
        <v>0</v>
      </c>
      <c r="B107" s="298">
        <v>0.79166666666666663</v>
      </c>
      <c r="C107" s="43"/>
      <c r="D107" s="86"/>
      <c r="E107" s="86"/>
      <c r="F107" s="86"/>
      <c r="G107" s="86"/>
      <c r="H107" s="43"/>
      <c r="I107" s="194"/>
      <c r="J107" s="194"/>
      <c r="K107" s="194"/>
      <c r="L107" s="303"/>
      <c r="M107" s="43"/>
    </row>
    <row r="108" spans="1:13" x14ac:dyDescent="0.25">
      <c r="A108" s="284">
        <v>0</v>
      </c>
      <c r="B108" s="298">
        <v>0.83333333333333337</v>
      </c>
      <c r="C108" s="43"/>
      <c r="D108" s="86"/>
      <c r="E108" s="86"/>
      <c r="F108" s="86"/>
      <c r="G108" s="86"/>
      <c r="H108" s="43"/>
      <c r="I108" s="194"/>
      <c r="J108" s="194"/>
      <c r="K108" s="194"/>
      <c r="L108" s="303"/>
      <c r="M108" s="43"/>
    </row>
    <row r="109" spans="1:13" x14ac:dyDescent="0.25">
      <c r="A109" s="284">
        <v>0</v>
      </c>
      <c r="B109" s="298">
        <v>0.875</v>
      </c>
      <c r="C109" s="43"/>
      <c r="D109" s="86"/>
      <c r="E109" s="86"/>
      <c r="F109" s="86"/>
      <c r="G109" s="86"/>
      <c r="H109" s="43"/>
      <c r="I109" s="194"/>
      <c r="J109" s="194"/>
      <c r="K109" s="194"/>
      <c r="L109" s="303"/>
      <c r="M109" s="43"/>
    </row>
    <row r="110" spans="1:13" x14ac:dyDescent="0.25">
      <c r="A110" s="284">
        <v>0</v>
      </c>
      <c r="B110" s="298">
        <v>0.91666666666666663</v>
      </c>
      <c r="C110" s="43"/>
      <c r="D110" s="86"/>
      <c r="E110" s="86"/>
      <c r="F110" s="86"/>
      <c r="G110" s="86"/>
      <c r="H110" s="43"/>
      <c r="I110" s="194"/>
      <c r="J110" s="194"/>
      <c r="K110" s="194"/>
      <c r="L110" s="303"/>
      <c r="M110" s="43"/>
    </row>
    <row r="111" spans="1:13" x14ac:dyDescent="0.25">
      <c r="A111" s="265">
        <f>SUM(A95:A110)</f>
        <v>18867</v>
      </c>
      <c r="B111" s="299">
        <v>0.94791666666666663</v>
      </c>
      <c r="C111" s="43"/>
      <c r="D111" s="86"/>
      <c r="E111" s="86"/>
      <c r="F111" s="86"/>
      <c r="G111" s="86"/>
      <c r="H111" s="43"/>
      <c r="I111" s="194"/>
      <c r="J111" s="194"/>
      <c r="K111" s="194"/>
      <c r="L111" s="194"/>
      <c r="M111" s="43"/>
    </row>
    <row r="112" spans="1:13" ht="63" x14ac:dyDescent="0.25">
      <c r="A112" s="281">
        <f>A94+1</f>
        <v>44572</v>
      </c>
      <c r="B112" s="296" t="s">
        <v>54</v>
      </c>
      <c r="C112" s="87" t="s">
        <v>1151</v>
      </c>
      <c r="D112" s="86"/>
      <c r="E112" s="86"/>
      <c r="F112" s="86">
        <v>9</v>
      </c>
      <c r="G112" s="86"/>
      <c r="H112" s="55" t="s">
        <v>1152</v>
      </c>
      <c r="I112" s="103">
        <v>30</v>
      </c>
      <c r="J112" s="84" t="s">
        <v>1153</v>
      </c>
      <c r="K112" s="84" t="s">
        <v>1154</v>
      </c>
      <c r="L112" s="84" t="s">
        <v>1155</v>
      </c>
      <c r="M112" s="283">
        <v>2000</v>
      </c>
    </row>
    <row r="113" spans="1:13" ht="31.5" x14ac:dyDescent="0.25">
      <c r="A113" s="284">
        <v>12000</v>
      </c>
      <c r="B113" s="297" t="s">
        <v>57</v>
      </c>
      <c r="C113" s="43"/>
      <c r="D113" s="86"/>
      <c r="E113" s="86"/>
      <c r="F113" s="86">
        <v>10</v>
      </c>
      <c r="G113" s="86"/>
      <c r="H113" s="55" t="s">
        <v>1156</v>
      </c>
      <c r="I113" s="84"/>
      <c r="J113" s="84"/>
      <c r="K113" s="84">
        <v>2</v>
      </c>
      <c r="L113" s="84"/>
      <c r="M113" s="283">
        <v>0</v>
      </c>
    </row>
    <row r="114" spans="1:13" x14ac:dyDescent="0.25">
      <c r="A114" s="284">
        <v>0</v>
      </c>
      <c r="B114" s="297" t="s">
        <v>58</v>
      </c>
      <c r="C114" s="43"/>
      <c r="D114" s="86"/>
      <c r="E114" s="86"/>
      <c r="F114" s="86">
        <v>11</v>
      </c>
      <c r="G114" s="86"/>
      <c r="H114" s="55"/>
      <c r="I114" s="86"/>
      <c r="J114" s="86"/>
      <c r="K114" s="86">
        <v>3</v>
      </c>
      <c r="L114" s="86"/>
      <c r="M114" s="283">
        <v>0</v>
      </c>
    </row>
    <row r="115" spans="1:13" x14ac:dyDescent="0.25">
      <c r="A115" s="284">
        <v>0</v>
      </c>
      <c r="B115" s="297" t="s">
        <v>59</v>
      </c>
      <c r="C115" s="43"/>
      <c r="D115" s="86"/>
      <c r="E115" s="86"/>
      <c r="F115" s="86">
        <v>12</v>
      </c>
      <c r="G115" s="86"/>
      <c r="H115" s="55"/>
      <c r="I115" s="86"/>
      <c r="J115" s="86"/>
      <c r="K115" s="86"/>
      <c r="L115" s="86"/>
      <c r="M115" s="283">
        <v>0</v>
      </c>
    </row>
    <row r="116" spans="1:13" x14ac:dyDescent="0.25">
      <c r="A116" s="284">
        <v>0</v>
      </c>
      <c r="B116" s="297" t="s">
        <v>60</v>
      </c>
      <c r="C116" s="43"/>
      <c r="D116" s="86"/>
      <c r="E116" s="86"/>
      <c r="F116" s="86">
        <v>13</v>
      </c>
      <c r="G116" s="86"/>
      <c r="H116" s="55"/>
      <c r="I116" s="86"/>
      <c r="J116" s="86"/>
      <c r="K116" s="86"/>
      <c r="L116" s="86"/>
      <c r="M116" s="283">
        <v>2100</v>
      </c>
    </row>
    <row r="117" spans="1:13" x14ac:dyDescent="0.25">
      <c r="A117" s="284">
        <v>0</v>
      </c>
      <c r="B117" s="297" t="s">
        <v>61</v>
      </c>
      <c r="C117" s="43"/>
      <c r="D117" s="86"/>
      <c r="E117" s="86"/>
      <c r="F117" s="86">
        <v>14</v>
      </c>
      <c r="G117" s="86"/>
      <c r="H117" s="55"/>
      <c r="I117" s="86"/>
      <c r="J117" s="86"/>
      <c r="K117" s="86"/>
      <c r="L117" s="86"/>
      <c r="M117" s="283">
        <v>0</v>
      </c>
    </row>
    <row r="118" spans="1:13" x14ac:dyDescent="0.25">
      <c r="A118" s="284">
        <v>0</v>
      </c>
      <c r="B118" s="297" t="s">
        <v>62</v>
      </c>
      <c r="C118" s="43"/>
      <c r="D118" s="86"/>
      <c r="E118" s="86"/>
      <c r="F118" s="86">
        <v>15</v>
      </c>
      <c r="G118" s="86"/>
      <c r="H118" s="55"/>
      <c r="I118" s="86"/>
      <c r="J118" s="86"/>
      <c r="K118" s="86"/>
      <c r="L118" s="86"/>
      <c r="M118" s="283">
        <v>0</v>
      </c>
    </row>
    <row r="119" spans="1:13" x14ac:dyDescent="0.25">
      <c r="A119" s="284">
        <v>0</v>
      </c>
      <c r="B119" s="297" t="s">
        <v>63</v>
      </c>
      <c r="C119" s="43"/>
      <c r="D119" s="86"/>
      <c r="E119" s="86"/>
      <c r="F119" s="86">
        <v>16</v>
      </c>
      <c r="G119" s="86"/>
      <c r="H119" s="55"/>
      <c r="I119" s="86"/>
      <c r="J119" s="86"/>
      <c r="K119" s="86"/>
      <c r="L119" s="86"/>
      <c r="M119" s="283">
        <v>0</v>
      </c>
    </row>
    <row r="120" spans="1:13" x14ac:dyDescent="0.25">
      <c r="A120" s="284">
        <v>0</v>
      </c>
      <c r="B120" s="297" t="s">
        <v>64</v>
      </c>
      <c r="C120" s="43"/>
      <c r="D120" s="86"/>
      <c r="E120" s="86"/>
      <c r="F120" s="86">
        <v>17</v>
      </c>
      <c r="G120" s="86"/>
      <c r="H120" s="55"/>
      <c r="I120" s="194"/>
      <c r="J120" s="194"/>
      <c r="K120" s="194"/>
      <c r="L120" s="194"/>
      <c r="M120" s="283">
        <v>0</v>
      </c>
    </row>
    <row r="121" spans="1:13" x14ac:dyDescent="0.25">
      <c r="A121" s="284">
        <v>0</v>
      </c>
      <c r="B121" s="297" t="s">
        <v>65</v>
      </c>
      <c r="C121" s="43"/>
      <c r="D121" s="86"/>
      <c r="E121" s="86"/>
      <c r="F121" s="86">
        <v>18</v>
      </c>
      <c r="G121" s="86"/>
      <c r="H121" s="43"/>
      <c r="I121" s="194"/>
      <c r="J121" s="194"/>
      <c r="K121" s="194"/>
      <c r="L121" s="303"/>
      <c r="M121" s="8">
        <f>SUM(M112:M120)</f>
        <v>4100</v>
      </c>
    </row>
    <row r="122" spans="1:13" x14ac:dyDescent="0.25">
      <c r="A122" s="284">
        <v>0</v>
      </c>
      <c r="B122" s="297" t="s">
        <v>66</v>
      </c>
      <c r="C122" s="43"/>
      <c r="D122" s="86"/>
      <c r="E122" s="86"/>
      <c r="F122" s="86">
        <v>19</v>
      </c>
      <c r="G122" s="86"/>
      <c r="H122" s="43"/>
      <c r="I122" s="194"/>
      <c r="J122" s="194"/>
      <c r="K122" s="194"/>
      <c r="L122" s="303"/>
      <c r="M122" s="43"/>
    </row>
    <row r="123" spans="1:13" ht="63" x14ac:dyDescent="0.25">
      <c r="A123" s="284">
        <v>5217</v>
      </c>
      <c r="B123" s="297" t="s">
        <v>67</v>
      </c>
      <c r="C123" s="55" t="s">
        <v>1157</v>
      </c>
      <c r="D123" s="57">
        <v>60</v>
      </c>
      <c r="E123" s="57" t="s">
        <v>1158</v>
      </c>
      <c r="F123" s="57" t="s">
        <v>1159</v>
      </c>
      <c r="G123" s="293">
        <v>44202</v>
      </c>
      <c r="H123" s="43"/>
      <c r="I123" s="194"/>
      <c r="J123" s="194"/>
      <c r="K123" s="194"/>
      <c r="L123" s="303"/>
      <c r="M123" s="43"/>
    </row>
    <row r="124" spans="1:13" ht="63" x14ac:dyDescent="0.25">
      <c r="A124" s="284">
        <v>0</v>
      </c>
      <c r="B124" s="297" t="s">
        <v>68</v>
      </c>
      <c r="C124" s="55" t="s">
        <v>1160</v>
      </c>
      <c r="D124" s="57"/>
      <c r="E124" s="57"/>
      <c r="F124" s="57">
        <v>2</v>
      </c>
      <c r="G124" s="57" t="s">
        <v>1161</v>
      </c>
      <c r="H124" s="43"/>
      <c r="I124" s="194"/>
      <c r="J124" s="194"/>
      <c r="K124" s="194"/>
      <c r="L124" s="303"/>
      <c r="M124" s="43"/>
    </row>
    <row r="125" spans="1:13" x14ac:dyDescent="0.25">
      <c r="A125" s="284">
        <v>0</v>
      </c>
      <c r="B125" s="298">
        <v>0.79166666666666663</v>
      </c>
      <c r="C125" s="43"/>
      <c r="D125" s="65"/>
      <c r="E125" s="65"/>
      <c r="F125" s="65">
        <v>3</v>
      </c>
      <c r="G125" s="82"/>
      <c r="H125" s="43"/>
      <c r="I125" s="194"/>
      <c r="J125" s="194"/>
      <c r="K125" s="194"/>
      <c r="L125" s="303"/>
      <c r="M125" s="43"/>
    </row>
    <row r="126" spans="1:13" x14ac:dyDescent="0.25">
      <c r="A126" s="284">
        <v>0</v>
      </c>
      <c r="B126" s="298">
        <v>0.83333333333333337</v>
      </c>
      <c r="C126" s="43"/>
      <c r="D126" s="65"/>
      <c r="E126" s="65"/>
      <c r="F126" s="65">
        <v>4</v>
      </c>
      <c r="G126" s="82"/>
      <c r="H126" s="43"/>
      <c r="I126" s="194"/>
      <c r="J126" s="194"/>
      <c r="K126" s="194"/>
      <c r="L126" s="303"/>
      <c r="M126" s="43"/>
    </row>
    <row r="127" spans="1:13" x14ac:dyDescent="0.25">
      <c r="A127" s="284">
        <v>0</v>
      </c>
      <c r="B127" s="298">
        <v>0.875</v>
      </c>
      <c r="C127" s="43"/>
      <c r="D127" s="65"/>
      <c r="E127" s="65"/>
      <c r="F127" s="65"/>
      <c r="G127" s="82"/>
      <c r="H127" s="43"/>
      <c r="I127" s="194"/>
      <c r="J127" s="194"/>
      <c r="K127" s="194"/>
      <c r="L127" s="303"/>
      <c r="M127" s="43"/>
    </row>
    <row r="128" spans="1:13" x14ac:dyDescent="0.25">
      <c r="A128" s="284">
        <v>0</v>
      </c>
      <c r="B128" s="298">
        <v>0.91666666666666663</v>
      </c>
      <c r="C128" s="43"/>
      <c r="D128" s="194"/>
      <c r="E128" s="194"/>
      <c r="F128" s="194"/>
      <c r="G128" s="194"/>
      <c r="H128" s="43"/>
      <c r="I128" s="194"/>
      <c r="J128" s="194"/>
      <c r="K128" s="194"/>
      <c r="L128" s="303"/>
      <c r="M128" s="43"/>
    </row>
    <row r="129" spans="1:13" x14ac:dyDescent="0.25">
      <c r="A129" s="265">
        <f>SUM(A113:A128)</f>
        <v>17217</v>
      </c>
      <c r="B129" s="299">
        <v>0.94791666666666663</v>
      </c>
      <c r="C129" s="43"/>
      <c r="D129" s="194"/>
      <c r="E129" s="194"/>
      <c r="F129" s="194"/>
      <c r="G129" s="194"/>
      <c r="H129" s="43"/>
      <c r="I129" s="194"/>
      <c r="J129" s="194"/>
      <c r="K129" s="194"/>
      <c r="L129" s="303"/>
      <c r="M129" s="43"/>
    </row>
    <row r="130" spans="1:13" x14ac:dyDescent="0.25">
      <c r="A130" s="281">
        <f>A112+1</f>
        <v>44573</v>
      </c>
      <c r="B130" s="296" t="s">
        <v>54</v>
      </c>
      <c r="C130" s="43"/>
      <c r="D130" s="65"/>
      <c r="E130" s="65"/>
      <c r="F130" s="65"/>
      <c r="G130" s="65"/>
      <c r="H130" s="43"/>
      <c r="I130" s="37" t="s">
        <v>1162</v>
      </c>
      <c r="J130" s="37"/>
      <c r="K130" s="37"/>
      <c r="L130" s="37"/>
      <c r="M130" s="283">
        <v>2100</v>
      </c>
    </row>
    <row r="131" spans="1:13" x14ac:dyDescent="0.25">
      <c r="A131" s="284">
        <v>0</v>
      </c>
      <c r="B131" s="297" t="s">
        <v>57</v>
      </c>
      <c r="C131" s="43"/>
      <c r="D131" s="65"/>
      <c r="E131" s="65"/>
      <c r="F131" s="65"/>
      <c r="G131" s="65"/>
      <c r="H131" s="43"/>
      <c r="I131" s="37"/>
      <c r="J131" s="37"/>
      <c r="K131" s="37"/>
      <c r="L131" s="37"/>
      <c r="M131" s="283">
        <v>0</v>
      </c>
    </row>
    <row r="132" spans="1:13" x14ac:dyDescent="0.25">
      <c r="A132" s="284">
        <v>0</v>
      </c>
      <c r="B132" s="297" t="s">
        <v>58</v>
      </c>
      <c r="C132" s="43"/>
      <c r="D132" s="65"/>
      <c r="E132" s="65"/>
      <c r="F132" s="65"/>
      <c r="G132" s="65"/>
      <c r="H132" s="43"/>
      <c r="I132" s="37"/>
      <c r="J132" s="37"/>
      <c r="K132" s="37"/>
      <c r="L132" s="37"/>
      <c r="M132" s="283">
        <v>0</v>
      </c>
    </row>
    <row r="133" spans="1:13" x14ac:dyDescent="0.25">
      <c r="A133" s="284">
        <v>0</v>
      </c>
      <c r="B133" s="297" t="s">
        <v>59</v>
      </c>
      <c r="C133" s="43"/>
      <c r="D133" s="65"/>
      <c r="E133" s="65"/>
      <c r="F133" s="65"/>
      <c r="G133" s="65"/>
      <c r="H133" s="43"/>
      <c r="I133" s="37"/>
      <c r="J133" s="37"/>
      <c r="K133" s="37"/>
      <c r="L133" s="37"/>
      <c r="M133" s="283">
        <v>0</v>
      </c>
    </row>
    <row r="134" spans="1:13" ht="126" x14ac:dyDescent="0.25">
      <c r="A134" s="284">
        <v>5962</v>
      </c>
      <c r="B134" s="297" t="s">
        <v>60</v>
      </c>
      <c r="C134" s="55" t="s">
        <v>1163</v>
      </c>
      <c r="D134" s="56">
        <v>60</v>
      </c>
      <c r="E134" s="57" t="s">
        <v>100</v>
      </c>
      <c r="F134" s="57" t="s">
        <v>1164</v>
      </c>
      <c r="G134" s="79">
        <v>44572</v>
      </c>
      <c r="H134" s="43"/>
      <c r="I134" s="37"/>
      <c r="J134" s="37"/>
      <c r="K134" s="37"/>
      <c r="L134" s="37"/>
      <c r="M134" s="283">
        <v>3000</v>
      </c>
    </row>
    <row r="135" spans="1:13" ht="78.75" x14ac:dyDescent="0.25">
      <c r="A135" s="284">
        <v>0</v>
      </c>
      <c r="B135" s="297" t="s">
        <v>61</v>
      </c>
      <c r="C135" s="55" t="s">
        <v>1165</v>
      </c>
      <c r="D135" s="57"/>
      <c r="E135" s="57"/>
      <c r="F135" s="56">
        <v>2</v>
      </c>
      <c r="G135" s="78"/>
      <c r="H135" s="43"/>
      <c r="I135" s="37"/>
      <c r="J135" s="37"/>
      <c r="K135" s="37"/>
      <c r="L135" s="37"/>
      <c r="M135" s="283">
        <v>0</v>
      </c>
    </row>
    <row r="136" spans="1:13" x14ac:dyDescent="0.25">
      <c r="A136" s="284">
        <v>0</v>
      </c>
      <c r="B136" s="297" t="s">
        <v>62</v>
      </c>
      <c r="C136" s="55"/>
      <c r="D136" s="57"/>
      <c r="E136" s="57"/>
      <c r="F136" s="190">
        <v>3</v>
      </c>
      <c r="G136" s="78"/>
      <c r="H136" s="43"/>
      <c r="I136" s="37"/>
      <c r="J136" s="37"/>
      <c r="K136" s="37"/>
      <c r="L136" s="37"/>
      <c r="M136" s="283">
        <v>0</v>
      </c>
    </row>
    <row r="137" spans="1:13" x14ac:dyDescent="0.25">
      <c r="A137" s="284">
        <v>0</v>
      </c>
      <c r="B137" s="297" t="s">
        <v>63</v>
      </c>
      <c r="C137" s="55"/>
      <c r="D137" s="57"/>
      <c r="E137" s="57"/>
      <c r="F137" s="57">
        <v>4</v>
      </c>
      <c r="G137" s="57"/>
      <c r="H137" s="43"/>
      <c r="I137" s="37"/>
      <c r="J137" s="37"/>
      <c r="K137" s="37"/>
      <c r="L137" s="37"/>
      <c r="M137" s="283">
        <v>0</v>
      </c>
    </row>
    <row r="138" spans="1:13" ht="204.75" x14ac:dyDescent="0.25">
      <c r="A138" s="284">
        <v>9441</v>
      </c>
      <c r="B138" s="297" t="s">
        <v>64</v>
      </c>
      <c r="C138" s="55" t="s">
        <v>1166</v>
      </c>
      <c r="D138" s="57">
        <v>60</v>
      </c>
      <c r="E138" s="57" t="s">
        <v>1167</v>
      </c>
      <c r="F138" s="57" t="s">
        <v>1168</v>
      </c>
      <c r="G138" s="293">
        <v>44202</v>
      </c>
      <c r="H138" s="43"/>
      <c r="I138" s="65"/>
      <c r="J138" s="65"/>
      <c r="K138" s="65"/>
      <c r="L138" s="65"/>
      <c r="M138" s="283">
        <v>0</v>
      </c>
    </row>
    <row r="139" spans="1:13" ht="110.25" x14ac:dyDescent="0.25">
      <c r="A139" s="284">
        <v>0</v>
      </c>
      <c r="B139" s="297" t="s">
        <v>65</v>
      </c>
      <c r="C139" s="55" t="s">
        <v>1169</v>
      </c>
      <c r="D139" s="57"/>
      <c r="E139" s="57"/>
      <c r="F139" s="57">
        <v>2</v>
      </c>
      <c r="G139" s="57" t="s">
        <v>104</v>
      </c>
      <c r="H139" s="43"/>
      <c r="I139" s="65"/>
      <c r="J139" s="65"/>
      <c r="K139" s="65"/>
      <c r="L139" s="82"/>
      <c r="M139" s="8">
        <f>SUM(M130:M138)</f>
        <v>5100</v>
      </c>
    </row>
    <row r="140" spans="1:13" x14ac:dyDescent="0.25">
      <c r="A140" s="284">
        <v>0</v>
      </c>
      <c r="B140" s="297" t="s">
        <v>66</v>
      </c>
      <c r="C140" s="43"/>
      <c r="D140" s="86"/>
      <c r="E140" s="86"/>
      <c r="F140" s="86">
        <v>3</v>
      </c>
      <c r="G140" s="304"/>
      <c r="H140" s="43"/>
      <c r="I140" s="65"/>
      <c r="J140" s="65"/>
      <c r="K140" s="65"/>
      <c r="L140" s="82"/>
      <c r="M140" s="43"/>
    </row>
    <row r="141" spans="1:13" x14ac:dyDescent="0.25">
      <c r="A141" s="284">
        <v>0</v>
      </c>
      <c r="B141" s="297" t="s">
        <v>67</v>
      </c>
      <c r="C141" s="43"/>
      <c r="D141" s="86"/>
      <c r="E141" s="86"/>
      <c r="F141" s="86">
        <v>4</v>
      </c>
      <c r="G141" s="304"/>
      <c r="H141" s="43"/>
      <c r="I141" s="65"/>
      <c r="J141" s="65"/>
      <c r="K141" s="65"/>
      <c r="L141" s="82"/>
      <c r="M141" s="43"/>
    </row>
    <row r="142" spans="1:13" x14ac:dyDescent="0.25">
      <c r="A142" s="284">
        <v>0</v>
      </c>
      <c r="B142" s="297" t="s">
        <v>68</v>
      </c>
      <c r="C142" s="43"/>
      <c r="D142" s="86"/>
      <c r="E142" s="86"/>
      <c r="F142" s="86">
        <v>5</v>
      </c>
      <c r="G142" s="304"/>
      <c r="H142" s="43"/>
      <c r="I142" s="65"/>
      <c r="J142" s="65"/>
      <c r="K142" s="65"/>
      <c r="L142" s="82"/>
      <c r="M142" s="43"/>
    </row>
    <row r="143" spans="1:13" x14ac:dyDescent="0.25">
      <c r="A143" s="284">
        <v>0</v>
      </c>
      <c r="B143" s="298">
        <v>0.79166666666666663</v>
      </c>
      <c r="C143" s="43"/>
      <c r="D143" s="86"/>
      <c r="E143" s="86"/>
      <c r="F143" s="86">
        <v>6</v>
      </c>
      <c r="G143" s="86"/>
      <c r="H143" s="43"/>
      <c r="I143" s="65"/>
      <c r="J143" s="65"/>
      <c r="K143" s="65"/>
      <c r="L143" s="82"/>
      <c r="M143" s="43"/>
    </row>
    <row r="144" spans="1:13" x14ac:dyDescent="0.25">
      <c r="A144" s="284">
        <v>0</v>
      </c>
      <c r="B144" s="298">
        <v>0.83333333333333337</v>
      </c>
      <c r="C144" s="43"/>
      <c r="D144" s="86"/>
      <c r="E144" s="86"/>
      <c r="F144" s="86"/>
      <c r="G144" s="86"/>
      <c r="H144" s="43"/>
      <c r="I144" s="65"/>
      <c r="J144" s="65"/>
      <c r="K144" s="65"/>
      <c r="L144" s="82"/>
      <c r="M144" s="43"/>
    </row>
    <row r="145" spans="1:13" x14ac:dyDescent="0.25">
      <c r="A145" s="284">
        <v>0</v>
      </c>
      <c r="B145" s="298">
        <v>0.875</v>
      </c>
      <c r="C145" s="43"/>
      <c r="D145" s="86"/>
      <c r="E145" s="86"/>
      <c r="F145" s="86"/>
      <c r="G145" s="86"/>
      <c r="H145" s="43"/>
      <c r="I145" s="65"/>
      <c r="J145" s="65"/>
      <c r="K145" s="65"/>
      <c r="L145" s="82"/>
      <c r="M145" s="43"/>
    </row>
    <row r="146" spans="1:13" x14ac:dyDescent="0.25">
      <c r="A146" s="284">
        <v>0</v>
      </c>
      <c r="B146" s="298">
        <v>0.91666666666666663</v>
      </c>
      <c r="C146" s="43"/>
      <c r="D146" s="86"/>
      <c r="E146" s="86"/>
      <c r="F146" s="86"/>
      <c r="G146" s="86"/>
      <c r="H146" s="43"/>
      <c r="I146" s="65"/>
      <c r="J146" s="65"/>
      <c r="K146" s="65"/>
      <c r="L146" s="82"/>
      <c r="M146" s="43"/>
    </row>
    <row r="147" spans="1:13" x14ac:dyDescent="0.25">
      <c r="A147" s="265">
        <f>SUM(A131:A146)</f>
        <v>15403</v>
      </c>
      <c r="B147" s="299">
        <v>0.94791666666666663</v>
      </c>
      <c r="C147" s="43"/>
      <c r="D147" s="86"/>
      <c r="E147" s="86"/>
      <c r="F147" s="86"/>
      <c r="G147" s="86"/>
      <c r="H147" s="43"/>
      <c r="I147" s="65"/>
      <c r="J147" s="65"/>
      <c r="K147" s="65"/>
      <c r="L147" s="82"/>
      <c r="M147" s="43"/>
    </row>
    <row r="148" spans="1:13" ht="63" x14ac:dyDescent="0.25">
      <c r="A148" s="281">
        <f>A130+1</f>
        <v>44574</v>
      </c>
      <c r="B148" s="296" t="s">
        <v>54</v>
      </c>
      <c r="C148" s="87" t="s">
        <v>1170</v>
      </c>
      <c r="D148" s="65"/>
      <c r="E148" s="65"/>
      <c r="F148" s="65">
        <v>7</v>
      </c>
      <c r="G148" s="65"/>
      <c r="H148" s="55" t="s">
        <v>1171</v>
      </c>
      <c r="I148" s="56">
        <v>36</v>
      </c>
      <c r="J148" s="57" t="s">
        <v>1172</v>
      </c>
      <c r="K148" s="57" t="s">
        <v>1173</v>
      </c>
      <c r="L148" s="57" t="s">
        <v>1174</v>
      </c>
      <c r="M148" s="283">
        <v>4000</v>
      </c>
    </row>
    <row r="149" spans="1:13" ht="31.5" x14ac:dyDescent="0.25">
      <c r="A149" s="284">
        <v>6000</v>
      </c>
      <c r="B149" s="297" t="s">
        <v>57</v>
      </c>
      <c r="C149" s="43"/>
      <c r="D149" s="65"/>
      <c r="E149" s="65"/>
      <c r="F149" s="65">
        <v>8</v>
      </c>
      <c r="G149" s="65"/>
      <c r="H149" s="55" t="s">
        <v>1175</v>
      </c>
      <c r="I149" s="57"/>
      <c r="J149" s="57"/>
      <c r="K149" s="57">
        <v>2</v>
      </c>
      <c r="L149" s="57"/>
      <c r="M149" s="283">
        <v>0</v>
      </c>
    </row>
    <row r="150" spans="1:13" x14ac:dyDescent="0.25">
      <c r="A150" s="284">
        <v>0</v>
      </c>
      <c r="B150" s="297" t="s">
        <v>58</v>
      </c>
      <c r="C150" s="43"/>
      <c r="D150" s="65"/>
      <c r="E150" s="65"/>
      <c r="F150" s="65">
        <v>9</v>
      </c>
      <c r="G150" s="65"/>
      <c r="H150" s="43"/>
      <c r="I150" s="65"/>
      <c r="J150" s="65"/>
      <c r="K150" s="65">
        <v>3</v>
      </c>
      <c r="L150" s="82"/>
      <c r="M150" s="283">
        <v>0</v>
      </c>
    </row>
    <row r="151" spans="1:13" x14ac:dyDescent="0.25">
      <c r="A151" s="284">
        <v>0</v>
      </c>
      <c r="B151" s="297" t="s">
        <v>59</v>
      </c>
      <c r="C151" s="43"/>
      <c r="D151" s="65"/>
      <c r="E151" s="65"/>
      <c r="F151" s="65">
        <v>10</v>
      </c>
      <c r="G151" s="65"/>
      <c r="H151" s="43"/>
      <c r="I151" s="65"/>
      <c r="J151" s="65"/>
      <c r="K151" s="65">
        <v>4</v>
      </c>
      <c r="L151" s="82"/>
      <c r="M151" s="283">
        <v>0</v>
      </c>
    </row>
    <row r="152" spans="1:13" x14ac:dyDescent="0.25">
      <c r="A152" s="284">
        <v>0</v>
      </c>
      <c r="B152" s="297" t="s">
        <v>60</v>
      </c>
      <c r="C152" s="43"/>
      <c r="D152" s="65"/>
      <c r="E152" s="65"/>
      <c r="F152" s="65"/>
      <c r="G152" s="65"/>
      <c r="H152" s="43"/>
      <c r="I152" s="65"/>
      <c r="J152" s="65"/>
      <c r="K152" s="65"/>
      <c r="L152" s="65"/>
      <c r="M152" s="283">
        <v>0</v>
      </c>
    </row>
    <row r="153" spans="1:13" x14ac:dyDescent="0.25">
      <c r="A153" s="284">
        <v>0</v>
      </c>
      <c r="B153" s="297" t="s">
        <v>61</v>
      </c>
      <c r="C153" s="43"/>
      <c r="D153" s="65"/>
      <c r="E153" s="65"/>
      <c r="F153" s="65"/>
      <c r="G153" s="65"/>
      <c r="H153" s="43"/>
      <c r="I153" s="65"/>
      <c r="J153" s="65"/>
      <c r="K153" s="65"/>
      <c r="L153" s="65"/>
      <c r="M153" s="283">
        <v>0</v>
      </c>
    </row>
    <row r="154" spans="1:13" x14ac:dyDescent="0.25">
      <c r="A154" s="284">
        <v>0</v>
      </c>
      <c r="B154" s="297" t="s">
        <v>62</v>
      </c>
      <c r="C154" s="43"/>
      <c r="D154" s="65"/>
      <c r="E154" s="65"/>
      <c r="F154" s="65"/>
      <c r="G154" s="65"/>
      <c r="H154" s="43"/>
      <c r="I154" s="65"/>
      <c r="J154" s="65"/>
      <c r="K154" s="65"/>
      <c r="L154" s="65"/>
      <c r="M154" s="283">
        <v>0</v>
      </c>
    </row>
    <row r="155" spans="1:13" x14ac:dyDescent="0.25">
      <c r="A155" s="284">
        <v>0</v>
      </c>
      <c r="B155" s="297" t="s">
        <v>63</v>
      </c>
      <c r="C155" s="43"/>
      <c r="D155" s="65"/>
      <c r="E155" s="65"/>
      <c r="F155" s="65"/>
      <c r="G155" s="65"/>
      <c r="H155" s="43"/>
      <c r="I155" s="65"/>
      <c r="J155" s="65"/>
      <c r="K155" s="65"/>
      <c r="L155" s="65"/>
      <c r="M155" s="283">
        <v>0</v>
      </c>
    </row>
    <row r="156" spans="1:13" ht="63" x14ac:dyDescent="0.25">
      <c r="A156" s="284">
        <v>5215</v>
      </c>
      <c r="B156" s="297" t="s">
        <v>64</v>
      </c>
      <c r="C156" s="55" t="s">
        <v>1176</v>
      </c>
      <c r="D156" s="57">
        <v>60</v>
      </c>
      <c r="E156" s="57" t="s">
        <v>1177</v>
      </c>
      <c r="F156" s="57" t="s">
        <v>1178</v>
      </c>
      <c r="G156" s="125">
        <v>44572</v>
      </c>
      <c r="H156" s="43"/>
      <c r="I156" s="65"/>
      <c r="J156" s="65"/>
      <c r="K156" s="65"/>
      <c r="L156" s="65"/>
      <c r="M156" s="283">
        <v>0</v>
      </c>
    </row>
    <row r="157" spans="1:13" ht="63" x14ac:dyDescent="0.25">
      <c r="A157" s="284">
        <v>0</v>
      </c>
      <c r="B157" s="297" t="s">
        <v>65</v>
      </c>
      <c r="C157" s="55" t="s">
        <v>1179</v>
      </c>
      <c r="D157" s="65"/>
      <c r="E157" s="65"/>
      <c r="F157" s="65">
        <v>2</v>
      </c>
      <c r="G157" s="57"/>
      <c r="H157" s="43"/>
      <c r="I157" s="65"/>
      <c r="J157" s="65"/>
      <c r="K157" s="65"/>
      <c r="L157" s="65"/>
      <c r="M157" s="8">
        <f>SUM(M148:M156)</f>
        <v>4000</v>
      </c>
    </row>
    <row r="158" spans="1:13" x14ac:dyDescent="0.25">
      <c r="A158" s="284">
        <v>0</v>
      </c>
      <c r="B158" s="297" t="s">
        <v>66</v>
      </c>
      <c r="C158" s="43"/>
      <c r="D158" s="305"/>
      <c r="E158" s="305"/>
      <c r="F158" s="305">
        <v>3</v>
      </c>
      <c r="G158" s="306"/>
      <c r="H158" s="43"/>
      <c r="I158" s="194"/>
      <c r="J158" s="194"/>
      <c r="K158" s="194"/>
      <c r="L158" s="303"/>
      <c r="M158" s="43"/>
    </row>
    <row r="159" spans="1:13" x14ac:dyDescent="0.25">
      <c r="A159" s="284">
        <v>0</v>
      </c>
      <c r="B159" s="297" t="s">
        <v>67</v>
      </c>
      <c r="C159" s="43"/>
      <c r="D159" s="305"/>
      <c r="E159" s="305"/>
      <c r="F159" s="305">
        <v>4</v>
      </c>
      <c r="G159" s="305"/>
      <c r="H159" s="43"/>
      <c r="I159" s="194"/>
      <c r="J159" s="194"/>
      <c r="K159" s="194"/>
      <c r="L159" s="303"/>
      <c r="M159" s="43"/>
    </row>
    <row r="160" spans="1:13" x14ac:dyDescent="0.25">
      <c r="A160" s="284">
        <v>0</v>
      </c>
      <c r="B160" s="297" t="s">
        <v>68</v>
      </c>
      <c r="C160" s="43"/>
      <c r="D160" s="305"/>
      <c r="E160" s="305"/>
      <c r="F160" s="305"/>
      <c r="G160" s="305"/>
      <c r="H160" s="43"/>
      <c r="I160" s="194"/>
      <c r="J160" s="194"/>
      <c r="K160" s="194"/>
      <c r="L160" s="303"/>
      <c r="M160" s="43"/>
    </row>
    <row r="161" spans="1:13" x14ac:dyDescent="0.25">
      <c r="A161" s="284">
        <v>0</v>
      </c>
      <c r="B161" s="298">
        <v>0.79166666666666663</v>
      </c>
      <c r="C161" s="43"/>
      <c r="D161" s="305"/>
      <c r="E161" s="305"/>
      <c r="F161" s="305"/>
      <c r="G161" s="305"/>
      <c r="H161" s="43"/>
      <c r="I161" s="194"/>
      <c r="J161" s="194"/>
      <c r="K161" s="194"/>
      <c r="L161" s="303"/>
      <c r="M161" s="43"/>
    </row>
    <row r="162" spans="1:13" x14ac:dyDescent="0.25">
      <c r="A162" s="284">
        <v>0</v>
      </c>
      <c r="B162" s="298">
        <v>0.83333333333333337</v>
      </c>
      <c r="C162" s="43"/>
      <c r="D162" s="305"/>
      <c r="E162" s="305"/>
      <c r="F162" s="305"/>
      <c r="G162" s="305"/>
      <c r="H162" s="43"/>
      <c r="I162" s="194"/>
      <c r="J162" s="194"/>
      <c r="K162" s="194"/>
      <c r="L162" s="303"/>
      <c r="M162" s="43"/>
    </row>
    <row r="163" spans="1:13" x14ac:dyDescent="0.25">
      <c r="A163" s="284">
        <v>0</v>
      </c>
      <c r="B163" s="298">
        <v>0.875</v>
      </c>
      <c r="C163" s="43"/>
      <c r="D163" s="194"/>
      <c r="E163" s="194"/>
      <c r="F163" s="194"/>
      <c r="G163" s="194"/>
      <c r="H163" s="43"/>
      <c r="I163" s="194"/>
      <c r="J163" s="194"/>
      <c r="K163" s="194"/>
      <c r="L163" s="194"/>
      <c r="M163" s="43"/>
    </row>
    <row r="164" spans="1:13" x14ac:dyDescent="0.25">
      <c r="A164" s="284">
        <v>0</v>
      </c>
      <c r="B164" s="298">
        <v>0.91666666666666663</v>
      </c>
      <c r="C164" s="43"/>
      <c r="D164" s="194"/>
      <c r="E164" s="194"/>
      <c r="F164" s="194"/>
      <c r="G164" s="194"/>
      <c r="H164" s="43"/>
      <c r="I164" s="194"/>
      <c r="J164" s="194"/>
      <c r="K164" s="194"/>
      <c r="L164" s="194"/>
      <c r="M164" s="43"/>
    </row>
    <row r="165" spans="1:13" x14ac:dyDescent="0.25">
      <c r="A165" s="265">
        <f>SUM(A149:A164)</f>
        <v>11215</v>
      </c>
      <c r="B165" s="299">
        <v>0.94791666666666663</v>
      </c>
      <c r="C165" s="43"/>
      <c r="D165" s="194"/>
      <c r="E165" s="194"/>
      <c r="F165" s="194"/>
      <c r="G165" s="194"/>
      <c r="H165" s="43"/>
      <c r="I165" s="194"/>
      <c r="J165" s="194"/>
      <c r="K165" s="194"/>
      <c r="L165" s="194"/>
      <c r="M165" s="43"/>
    </row>
    <row r="166" spans="1:13" ht="110.25" x14ac:dyDescent="0.25">
      <c r="A166" s="281">
        <f>A148+1</f>
        <v>44575</v>
      </c>
      <c r="B166" s="296" t="s">
        <v>54</v>
      </c>
      <c r="C166" s="55" t="s">
        <v>1180</v>
      </c>
      <c r="D166" s="57">
        <v>28.125</v>
      </c>
      <c r="E166" s="57" t="s">
        <v>1181</v>
      </c>
      <c r="F166" s="57" t="s">
        <v>1182</v>
      </c>
      <c r="G166" s="125">
        <v>44574</v>
      </c>
      <c r="H166" s="55" t="s">
        <v>1183</v>
      </c>
      <c r="I166" s="57">
        <v>48</v>
      </c>
      <c r="J166" s="57" t="s">
        <v>280</v>
      </c>
      <c r="K166" s="57" t="s">
        <v>1184</v>
      </c>
      <c r="L166" s="125">
        <v>44579</v>
      </c>
      <c r="M166" s="283">
        <v>0</v>
      </c>
    </row>
    <row r="167" spans="1:13" ht="47.25" x14ac:dyDescent="0.25">
      <c r="A167" s="284">
        <v>2734</v>
      </c>
      <c r="B167" s="297" t="s">
        <v>57</v>
      </c>
      <c r="C167" s="55" t="s">
        <v>1185</v>
      </c>
      <c r="D167" s="57"/>
      <c r="E167" s="57"/>
      <c r="F167" s="57">
        <v>2</v>
      </c>
      <c r="G167" s="191" t="s">
        <v>178</v>
      </c>
      <c r="H167" s="55" t="s">
        <v>1186</v>
      </c>
      <c r="I167" s="57"/>
      <c r="J167" s="57"/>
      <c r="K167" s="57"/>
      <c r="L167" s="191" t="s">
        <v>1187</v>
      </c>
      <c r="M167" s="283">
        <v>0</v>
      </c>
    </row>
    <row r="168" spans="1:13" x14ac:dyDescent="0.25">
      <c r="A168" s="284">
        <v>0</v>
      </c>
      <c r="B168" s="297" t="s">
        <v>58</v>
      </c>
      <c r="C168" s="43"/>
      <c r="D168" s="65"/>
      <c r="E168" s="65"/>
      <c r="F168" s="65">
        <v>3</v>
      </c>
      <c r="G168" s="65"/>
      <c r="H168" s="43"/>
      <c r="I168" s="65"/>
      <c r="J168" s="65"/>
      <c r="K168" s="65"/>
      <c r="L168" s="65"/>
      <c r="M168" s="283">
        <v>0</v>
      </c>
    </row>
    <row r="169" spans="1:13" x14ac:dyDescent="0.25">
      <c r="A169" s="284">
        <v>0</v>
      </c>
      <c r="B169" s="297" t="s">
        <v>59</v>
      </c>
      <c r="C169" s="43"/>
      <c r="D169" s="65"/>
      <c r="E169" s="65"/>
      <c r="F169" s="65">
        <v>4</v>
      </c>
      <c r="G169" s="65"/>
      <c r="H169" s="43"/>
      <c r="I169" s="65"/>
      <c r="J169" s="65"/>
      <c r="K169" s="65"/>
      <c r="L169" s="65"/>
      <c r="M169" s="283">
        <v>0</v>
      </c>
    </row>
    <row r="170" spans="1:13" x14ac:dyDescent="0.25">
      <c r="A170" s="284">
        <v>0</v>
      </c>
      <c r="B170" s="297" t="s">
        <v>60</v>
      </c>
      <c r="C170" s="43"/>
      <c r="D170" s="65"/>
      <c r="E170" s="65"/>
      <c r="F170" s="65"/>
      <c r="G170" s="65"/>
      <c r="H170" s="43"/>
      <c r="I170" s="65"/>
      <c r="J170" s="65"/>
      <c r="K170" s="65"/>
      <c r="L170" s="65"/>
      <c r="M170" s="283">
        <v>0</v>
      </c>
    </row>
    <row r="171" spans="1:13" ht="47.25" x14ac:dyDescent="0.25">
      <c r="A171" s="284">
        <v>0</v>
      </c>
      <c r="B171" s="297" t="s">
        <v>61</v>
      </c>
      <c r="C171" s="43"/>
      <c r="D171" s="65"/>
      <c r="E171" s="65"/>
      <c r="F171" s="65"/>
      <c r="G171" s="65" t="s">
        <v>2876</v>
      </c>
      <c r="H171" s="55" t="s">
        <v>1188</v>
      </c>
      <c r="I171" s="103">
        <v>48</v>
      </c>
      <c r="J171" s="84" t="s">
        <v>1189</v>
      </c>
      <c r="K171" s="84" t="s">
        <v>1190</v>
      </c>
      <c r="L171" s="84" t="s">
        <v>1191</v>
      </c>
      <c r="M171" s="283">
        <v>0</v>
      </c>
    </row>
    <row r="172" spans="1:13" ht="63" x14ac:dyDescent="0.25">
      <c r="A172" s="284">
        <v>1292</v>
      </c>
      <c r="B172" s="297" t="s">
        <v>62</v>
      </c>
      <c r="C172" s="55" t="s">
        <v>1192</v>
      </c>
      <c r="D172" s="57">
        <v>36</v>
      </c>
      <c r="E172" s="57" t="s">
        <v>248</v>
      </c>
      <c r="F172" s="57" t="s">
        <v>1193</v>
      </c>
      <c r="G172" s="125">
        <v>44573</v>
      </c>
      <c r="H172" s="55" t="s">
        <v>1194</v>
      </c>
      <c r="I172" s="86"/>
      <c r="J172" s="86"/>
      <c r="K172" s="86"/>
      <c r="L172" s="304"/>
      <c r="M172" s="283">
        <v>0</v>
      </c>
    </row>
    <row r="173" spans="1:13" ht="63" x14ac:dyDescent="0.25">
      <c r="A173" s="284">
        <v>0</v>
      </c>
      <c r="B173" s="297" t="s">
        <v>63</v>
      </c>
      <c r="C173" s="55" t="s">
        <v>1195</v>
      </c>
      <c r="D173" s="65"/>
      <c r="E173" s="65"/>
      <c r="F173" s="65"/>
      <c r="G173" s="65"/>
      <c r="H173" s="43"/>
      <c r="I173" s="86"/>
      <c r="J173" s="86"/>
      <c r="K173" s="86"/>
      <c r="L173" s="304"/>
      <c r="M173" s="283">
        <v>0</v>
      </c>
    </row>
    <row r="174" spans="1:13" x14ac:dyDescent="0.25">
      <c r="A174" s="284">
        <v>0</v>
      </c>
      <c r="B174" s="297" t="s">
        <v>64</v>
      </c>
      <c r="C174" s="43"/>
      <c r="D174" s="65"/>
      <c r="E174" s="65"/>
      <c r="F174" s="65"/>
      <c r="G174" s="65"/>
      <c r="H174" s="43"/>
      <c r="I174" s="86"/>
      <c r="J174" s="86"/>
      <c r="K174" s="86"/>
      <c r="L174" s="86"/>
      <c r="M174" s="283">
        <v>0</v>
      </c>
    </row>
    <row r="175" spans="1:13" x14ac:dyDescent="0.25">
      <c r="A175" s="284">
        <v>0</v>
      </c>
      <c r="B175" s="297" t="s">
        <v>65</v>
      </c>
      <c r="C175" s="43"/>
      <c r="D175" s="65"/>
      <c r="E175" s="65"/>
      <c r="F175" s="65"/>
      <c r="G175" s="65"/>
      <c r="H175" s="43"/>
      <c r="I175" s="86"/>
      <c r="J175" s="86"/>
      <c r="K175" s="86"/>
      <c r="L175" s="86"/>
      <c r="M175" s="8">
        <f>SUM(M166:M174)</f>
        <v>0</v>
      </c>
    </row>
    <row r="176" spans="1:13" ht="189" x14ac:dyDescent="0.25">
      <c r="A176" s="284">
        <v>4844</v>
      </c>
      <c r="B176" s="297" t="s">
        <v>66</v>
      </c>
      <c r="C176" s="55" t="s">
        <v>1196</v>
      </c>
      <c r="D176" s="57">
        <v>40</v>
      </c>
      <c r="E176" s="57" t="s">
        <v>1197</v>
      </c>
      <c r="F176" s="57" t="s">
        <v>1198</v>
      </c>
      <c r="G176" s="125">
        <v>44578</v>
      </c>
      <c r="H176" s="43"/>
      <c r="I176" s="86"/>
      <c r="J176" s="86"/>
      <c r="K176" s="86"/>
      <c r="L176" s="304"/>
      <c r="M176" s="43"/>
    </row>
    <row r="177" spans="1:13" ht="94.5" x14ac:dyDescent="0.25">
      <c r="A177" s="284">
        <v>0</v>
      </c>
      <c r="B177" s="297" t="s">
        <v>67</v>
      </c>
      <c r="C177" s="55" t="s">
        <v>1199</v>
      </c>
      <c r="D177" s="57"/>
      <c r="E177" s="57"/>
      <c r="F177" s="57">
        <v>2</v>
      </c>
      <c r="G177" s="178" t="s">
        <v>1200</v>
      </c>
      <c r="H177" s="43"/>
      <c r="I177" s="86"/>
      <c r="J177" s="86"/>
      <c r="K177" s="86"/>
      <c r="L177" s="304"/>
      <c r="M177" s="43"/>
    </row>
    <row r="178" spans="1:13" x14ac:dyDescent="0.25">
      <c r="A178" s="284">
        <v>0</v>
      </c>
      <c r="B178" s="297" t="s">
        <v>68</v>
      </c>
      <c r="C178" s="43"/>
      <c r="D178" s="65"/>
      <c r="E178" s="65"/>
      <c r="F178" s="65">
        <v>3</v>
      </c>
      <c r="G178" s="65"/>
      <c r="H178" s="43"/>
      <c r="I178" s="86"/>
      <c r="J178" s="86"/>
      <c r="K178" s="86"/>
      <c r="L178" s="304"/>
      <c r="M178" s="43"/>
    </row>
    <row r="179" spans="1:13" x14ac:dyDescent="0.25">
      <c r="A179" s="284">
        <v>0</v>
      </c>
      <c r="B179" s="298">
        <v>0.79166666666666663</v>
      </c>
      <c r="C179" s="43"/>
      <c r="D179" s="65"/>
      <c r="E179" s="65"/>
      <c r="F179" s="65">
        <v>4</v>
      </c>
      <c r="G179" s="65"/>
      <c r="H179" s="43"/>
      <c r="I179" s="86"/>
      <c r="J179" s="86"/>
      <c r="K179" s="86"/>
      <c r="L179" s="304"/>
      <c r="M179" s="43"/>
    </row>
    <row r="180" spans="1:13" x14ac:dyDescent="0.25">
      <c r="A180" s="284">
        <v>0</v>
      </c>
      <c r="B180" s="298">
        <v>0.83333333333333337</v>
      </c>
      <c r="C180" s="43"/>
      <c r="D180" s="65"/>
      <c r="E180" s="65"/>
      <c r="F180" s="65"/>
      <c r="G180" s="82"/>
      <c r="H180" s="43"/>
      <c r="I180" s="86"/>
      <c r="J180" s="86"/>
      <c r="K180" s="86"/>
      <c r="L180" s="304"/>
      <c r="M180" s="43"/>
    </row>
    <row r="181" spans="1:13" x14ac:dyDescent="0.25">
      <c r="A181" s="284">
        <v>0</v>
      </c>
      <c r="B181" s="298">
        <v>0.875</v>
      </c>
      <c r="C181" s="43"/>
      <c r="D181" s="65"/>
      <c r="E181" s="65"/>
      <c r="F181" s="65"/>
      <c r="G181" s="82"/>
      <c r="H181" s="43"/>
      <c r="I181" s="86"/>
      <c r="J181" s="86"/>
      <c r="K181" s="86"/>
      <c r="L181" s="304"/>
      <c r="M181" s="43"/>
    </row>
    <row r="182" spans="1:13" x14ac:dyDescent="0.25">
      <c r="A182" s="284">
        <v>0</v>
      </c>
      <c r="B182" s="298">
        <v>0.91666666666666663</v>
      </c>
      <c r="C182" s="43"/>
      <c r="D182" s="65"/>
      <c r="E182" s="65"/>
      <c r="F182" s="65"/>
      <c r="G182" s="82"/>
      <c r="H182" s="43"/>
      <c r="I182" s="86"/>
      <c r="J182" s="86"/>
      <c r="K182" s="86"/>
      <c r="L182" s="304"/>
      <c r="M182" s="43"/>
    </row>
    <row r="183" spans="1:13" x14ac:dyDescent="0.25">
      <c r="A183" s="265">
        <f>SUM(A167:A182)</f>
        <v>8870</v>
      </c>
      <c r="B183" s="299">
        <v>0.94791666666666663</v>
      </c>
      <c r="C183" s="43"/>
      <c r="D183" s="65"/>
      <c r="E183" s="65"/>
      <c r="F183" s="65"/>
      <c r="G183" s="82"/>
      <c r="H183" s="43"/>
      <c r="I183" s="86"/>
      <c r="J183" s="86"/>
      <c r="K183" s="86"/>
      <c r="L183" s="304"/>
      <c r="M183" s="43"/>
    </row>
    <row r="184" spans="1:13" ht="94.5" x14ac:dyDescent="0.25">
      <c r="A184" s="281">
        <f>A166+3</f>
        <v>44578</v>
      </c>
      <c r="B184" s="296" t="s">
        <v>54</v>
      </c>
      <c r="C184" s="55" t="s">
        <v>1201</v>
      </c>
      <c r="D184" s="56">
        <v>58</v>
      </c>
      <c r="E184" s="57" t="s">
        <v>1202</v>
      </c>
      <c r="F184" s="57" t="s">
        <v>1203</v>
      </c>
      <c r="G184" s="125">
        <v>44578</v>
      </c>
      <c r="H184" s="43"/>
      <c r="I184" s="65"/>
      <c r="J184" s="65"/>
      <c r="K184" s="65"/>
      <c r="L184" s="65"/>
      <c r="M184" s="283">
        <v>0</v>
      </c>
    </row>
    <row r="185" spans="1:13" ht="126" x14ac:dyDescent="0.25">
      <c r="A185" s="284">
        <v>18000</v>
      </c>
      <c r="B185" s="297" t="s">
        <v>57</v>
      </c>
      <c r="C185" s="55" t="s">
        <v>1204</v>
      </c>
      <c r="D185" s="57"/>
      <c r="E185" s="57"/>
      <c r="F185" s="57">
        <v>1</v>
      </c>
      <c r="G185" s="57" t="s">
        <v>221</v>
      </c>
      <c r="H185" s="43"/>
      <c r="I185" s="65"/>
      <c r="J185" s="65"/>
      <c r="K185" s="65"/>
      <c r="L185" s="65"/>
      <c r="M185" s="283">
        <v>0</v>
      </c>
    </row>
    <row r="186" spans="1:13" ht="94.5" x14ac:dyDescent="0.25">
      <c r="A186" s="284">
        <v>0</v>
      </c>
      <c r="B186" s="297" t="s">
        <v>58</v>
      </c>
      <c r="C186" s="55" t="s">
        <v>1205</v>
      </c>
      <c r="D186" s="57"/>
      <c r="E186" s="57"/>
      <c r="F186" s="57">
        <v>2</v>
      </c>
      <c r="G186" s="293"/>
      <c r="H186" s="43"/>
      <c r="I186" s="65"/>
      <c r="J186" s="65"/>
      <c r="K186" s="65"/>
      <c r="L186" s="65"/>
      <c r="M186" s="283">
        <v>0</v>
      </c>
    </row>
    <row r="187" spans="1:13" x14ac:dyDescent="0.25">
      <c r="A187" s="284">
        <v>0</v>
      </c>
      <c r="B187" s="297" t="s">
        <v>59</v>
      </c>
      <c r="C187" s="43"/>
      <c r="D187" s="65"/>
      <c r="E187" s="65"/>
      <c r="F187" s="65">
        <v>3</v>
      </c>
      <c r="G187" s="82"/>
      <c r="H187" s="43"/>
      <c r="I187" s="65"/>
      <c r="J187" s="65"/>
      <c r="K187" s="65"/>
      <c r="L187" s="65"/>
      <c r="M187" s="283">
        <v>0</v>
      </c>
    </row>
    <row r="188" spans="1:13" x14ac:dyDescent="0.25">
      <c r="A188" s="284">
        <v>0</v>
      </c>
      <c r="B188" s="297" t="s">
        <v>60</v>
      </c>
      <c r="C188" s="43"/>
      <c r="D188" s="65"/>
      <c r="E188" s="65"/>
      <c r="F188" s="65">
        <v>4</v>
      </c>
      <c r="G188" s="82"/>
      <c r="H188" s="43"/>
      <c r="I188" s="65"/>
      <c r="J188" s="65"/>
      <c r="K188" s="65"/>
      <c r="L188" s="65"/>
      <c r="M188" s="283">
        <v>0</v>
      </c>
    </row>
    <row r="189" spans="1:13" x14ac:dyDescent="0.25">
      <c r="A189" s="284">
        <v>0</v>
      </c>
      <c r="B189" s="297" t="s">
        <v>61</v>
      </c>
      <c r="C189" s="43"/>
      <c r="D189" s="65"/>
      <c r="E189" s="65"/>
      <c r="F189" s="65">
        <v>5</v>
      </c>
      <c r="G189" s="82"/>
      <c r="H189" s="43"/>
      <c r="I189" s="65"/>
      <c r="J189" s="65"/>
      <c r="K189" s="65"/>
      <c r="L189" s="65"/>
      <c r="M189" s="283">
        <v>0</v>
      </c>
    </row>
    <row r="190" spans="1:13" x14ac:dyDescent="0.25">
      <c r="A190" s="284">
        <v>0</v>
      </c>
      <c r="B190" s="297" t="s">
        <v>62</v>
      </c>
      <c r="C190" s="43"/>
      <c r="D190" s="65"/>
      <c r="E190" s="65"/>
      <c r="F190" s="65">
        <v>6</v>
      </c>
      <c r="G190" s="82"/>
      <c r="H190" s="43"/>
      <c r="I190" s="65"/>
      <c r="J190" s="65"/>
      <c r="K190" s="65"/>
      <c r="L190" s="65"/>
      <c r="M190" s="283">
        <v>0</v>
      </c>
    </row>
    <row r="191" spans="1:13" x14ac:dyDescent="0.25">
      <c r="A191" s="284">
        <v>0</v>
      </c>
      <c r="B191" s="297" t="s">
        <v>63</v>
      </c>
      <c r="C191" s="43"/>
      <c r="D191" s="65"/>
      <c r="E191" s="65"/>
      <c r="F191" s="65">
        <v>7</v>
      </c>
      <c r="G191" s="82"/>
      <c r="H191" s="43"/>
      <c r="I191" s="65"/>
      <c r="J191" s="65"/>
      <c r="K191" s="65"/>
      <c r="L191" s="65"/>
      <c r="M191" s="283">
        <v>0</v>
      </c>
    </row>
    <row r="192" spans="1:13" x14ac:dyDescent="0.25">
      <c r="A192" s="284">
        <v>0</v>
      </c>
      <c r="B192" s="297" t="s">
        <v>64</v>
      </c>
      <c r="C192" s="43"/>
      <c r="D192" s="65"/>
      <c r="E192" s="65"/>
      <c r="F192" s="65">
        <v>8</v>
      </c>
      <c r="G192" s="82"/>
      <c r="H192" s="43"/>
      <c r="I192" s="65"/>
      <c r="J192" s="65"/>
      <c r="K192" s="65"/>
      <c r="L192" s="65"/>
      <c r="M192" s="283">
        <v>0</v>
      </c>
    </row>
    <row r="193" spans="1:13" x14ac:dyDescent="0.25">
      <c r="A193" s="284">
        <v>0</v>
      </c>
      <c r="B193" s="297" t="s">
        <v>65</v>
      </c>
      <c r="C193" s="43"/>
      <c r="D193" s="65"/>
      <c r="E193" s="65"/>
      <c r="F193" s="65">
        <v>9</v>
      </c>
      <c r="G193" s="65"/>
      <c r="H193" s="43"/>
      <c r="I193" s="65"/>
      <c r="J193" s="65"/>
      <c r="K193" s="65"/>
      <c r="L193" s="82"/>
      <c r="M193" s="8">
        <f>SUM(M184:M192)</f>
        <v>0</v>
      </c>
    </row>
    <row r="194" spans="1:13" x14ac:dyDescent="0.25">
      <c r="A194" s="284">
        <v>0</v>
      </c>
      <c r="B194" s="297" t="s">
        <v>66</v>
      </c>
      <c r="C194" s="43"/>
      <c r="D194" s="65"/>
      <c r="E194" s="65"/>
      <c r="F194" s="65">
        <v>10</v>
      </c>
      <c r="G194" s="65"/>
      <c r="H194" s="43"/>
      <c r="I194" s="65"/>
      <c r="J194" s="65"/>
      <c r="K194" s="65"/>
      <c r="L194" s="82"/>
      <c r="M194" s="43"/>
    </row>
    <row r="195" spans="1:13" x14ac:dyDescent="0.25">
      <c r="A195" s="284">
        <v>0</v>
      </c>
      <c r="B195" s="297" t="s">
        <v>67</v>
      </c>
      <c r="C195" s="43"/>
      <c r="D195" s="65"/>
      <c r="E195" s="65"/>
      <c r="F195" s="65">
        <v>12</v>
      </c>
      <c r="G195" s="65"/>
      <c r="H195" s="43"/>
      <c r="I195" s="65"/>
      <c r="J195" s="65"/>
      <c r="K195" s="65"/>
      <c r="L195" s="82"/>
      <c r="M195" s="43"/>
    </row>
    <row r="196" spans="1:13" x14ac:dyDescent="0.25">
      <c r="A196" s="284">
        <v>0</v>
      </c>
      <c r="B196" s="297" t="s">
        <v>68</v>
      </c>
      <c r="C196" s="43"/>
      <c r="D196" s="65"/>
      <c r="E196" s="65"/>
      <c r="F196" s="65">
        <v>13</v>
      </c>
      <c r="G196" s="65"/>
      <c r="H196" s="43"/>
      <c r="I196" s="65"/>
      <c r="J196" s="65"/>
      <c r="K196" s="65"/>
      <c r="L196" s="82"/>
      <c r="M196" s="43"/>
    </row>
    <row r="197" spans="1:13" x14ac:dyDescent="0.25">
      <c r="A197" s="284">
        <v>0</v>
      </c>
      <c r="B197" s="298">
        <v>0.79166666666666663</v>
      </c>
      <c r="C197" s="43"/>
      <c r="D197" s="65"/>
      <c r="E197" s="65"/>
      <c r="F197" s="65">
        <v>14</v>
      </c>
      <c r="G197" s="65"/>
      <c r="H197" s="43"/>
      <c r="I197" s="65"/>
      <c r="J197" s="65"/>
      <c r="K197" s="65"/>
      <c r="L197" s="82"/>
      <c r="M197" s="43"/>
    </row>
    <row r="198" spans="1:13" x14ac:dyDescent="0.25">
      <c r="A198" s="284">
        <v>0</v>
      </c>
      <c r="B198" s="298">
        <v>0.83333333333333337</v>
      </c>
      <c r="C198" s="43"/>
      <c r="D198" s="65"/>
      <c r="E198" s="65"/>
      <c r="F198" s="65"/>
      <c r="G198" s="65"/>
      <c r="H198" s="43"/>
      <c r="I198" s="65"/>
      <c r="J198" s="65"/>
      <c r="K198" s="65"/>
      <c r="L198" s="82"/>
      <c r="M198" s="43"/>
    </row>
    <row r="199" spans="1:13" x14ac:dyDescent="0.25">
      <c r="A199" s="284">
        <v>0</v>
      </c>
      <c r="B199" s="298">
        <v>0.875</v>
      </c>
      <c r="C199" s="43"/>
      <c r="D199" s="65"/>
      <c r="E199" s="65"/>
      <c r="F199" s="65"/>
      <c r="G199" s="65"/>
      <c r="H199" s="43"/>
      <c r="I199" s="65"/>
      <c r="J199" s="65"/>
      <c r="K199" s="65"/>
      <c r="L199" s="82"/>
      <c r="M199" s="43"/>
    </row>
    <row r="200" spans="1:13" x14ac:dyDescent="0.25">
      <c r="A200" s="284">
        <v>0</v>
      </c>
      <c r="B200" s="298">
        <v>0.91666666666666663</v>
      </c>
      <c r="C200" s="43"/>
      <c r="D200" s="65"/>
      <c r="E200" s="65"/>
      <c r="F200" s="65"/>
      <c r="G200" s="65"/>
      <c r="H200" s="43"/>
      <c r="I200" s="65"/>
      <c r="J200" s="65"/>
      <c r="K200" s="65"/>
      <c r="L200" s="82"/>
      <c r="M200" s="43"/>
    </row>
    <row r="201" spans="1:13" x14ac:dyDescent="0.25">
      <c r="A201" s="265">
        <f>SUM(A185:A200)</f>
        <v>18000</v>
      </c>
      <c r="B201" s="299">
        <v>0.94791666666666663</v>
      </c>
      <c r="C201" s="43"/>
      <c r="D201" s="65"/>
      <c r="E201" s="65"/>
      <c r="F201" s="65"/>
      <c r="G201" s="65"/>
      <c r="H201" s="43"/>
      <c r="I201" s="65"/>
      <c r="J201" s="65"/>
      <c r="K201" s="65"/>
      <c r="L201" s="82"/>
      <c r="M201" s="43"/>
    </row>
    <row r="202" spans="1:13" x14ac:dyDescent="0.25">
      <c r="A202" s="281">
        <f>A184+1</f>
        <v>44579</v>
      </c>
      <c r="B202" s="296" t="s">
        <v>54</v>
      </c>
      <c r="C202" s="87" t="s">
        <v>1206</v>
      </c>
      <c r="D202" s="65"/>
      <c r="E202" s="65"/>
      <c r="F202" s="65">
        <v>15</v>
      </c>
      <c r="G202" s="65"/>
      <c r="H202" s="87" t="s">
        <v>1207</v>
      </c>
      <c r="I202" s="65"/>
      <c r="J202" s="65"/>
      <c r="K202" s="65"/>
      <c r="L202" s="65"/>
      <c r="M202" s="283">
        <v>2500</v>
      </c>
    </row>
    <row r="203" spans="1:13" x14ac:dyDescent="0.25">
      <c r="A203" s="284">
        <v>18000</v>
      </c>
      <c r="B203" s="297" t="s">
        <v>57</v>
      </c>
      <c r="C203" s="43"/>
      <c r="D203" s="65"/>
      <c r="E203" s="65"/>
      <c r="F203" s="65">
        <v>16</v>
      </c>
      <c r="G203" s="65"/>
      <c r="H203" s="43"/>
      <c r="I203" s="65"/>
      <c r="J203" s="65"/>
      <c r="K203" s="65"/>
      <c r="L203" s="65"/>
      <c r="M203" s="283">
        <v>0</v>
      </c>
    </row>
    <row r="204" spans="1:13" x14ac:dyDescent="0.25">
      <c r="A204" s="284">
        <v>0</v>
      </c>
      <c r="B204" s="297" t="s">
        <v>58</v>
      </c>
      <c r="C204" s="43"/>
      <c r="D204" s="65"/>
      <c r="E204" s="65"/>
      <c r="F204" s="65">
        <v>17</v>
      </c>
      <c r="G204" s="65"/>
      <c r="H204" s="43"/>
      <c r="I204" s="65"/>
      <c r="J204" s="65"/>
      <c r="K204" s="65"/>
      <c r="L204" s="65"/>
      <c r="M204" s="283">
        <v>0</v>
      </c>
    </row>
    <row r="205" spans="1:13" x14ac:dyDescent="0.25">
      <c r="A205" s="284">
        <v>0</v>
      </c>
      <c r="B205" s="297" t="s">
        <v>59</v>
      </c>
      <c r="C205" s="43"/>
      <c r="D205" s="65"/>
      <c r="E205" s="65"/>
      <c r="F205" s="65">
        <v>18</v>
      </c>
      <c r="G205" s="65"/>
      <c r="H205" s="43"/>
      <c r="I205" s="65"/>
      <c r="J205" s="65"/>
      <c r="K205" s="65"/>
      <c r="L205" s="65"/>
      <c r="M205" s="283">
        <v>0</v>
      </c>
    </row>
    <row r="206" spans="1:13" ht="78.75" x14ac:dyDescent="0.25">
      <c r="A206" s="284">
        <v>0</v>
      </c>
      <c r="B206" s="297" t="s">
        <v>60</v>
      </c>
      <c r="C206" s="43"/>
      <c r="D206" s="65"/>
      <c r="E206" s="65"/>
      <c r="F206" s="65">
        <v>19</v>
      </c>
      <c r="G206" s="65"/>
      <c r="H206" s="55" t="s">
        <v>1208</v>
      </c>
      <c r="I206" s="56">
        <v>30</v>
      </c>
      <c r="J206" s="57" t="s">
        <v>1209</v>
      </c>
      <c r="K206" s="57" t="s">
        <v>1210</v>
      </c>
      <c r="L206" s="57" t="s">
        <v>1211</v>
      </c>
      <c r="M206" s="283">
        <v>583</v>
      </c>
    </row>
    <row r="207" spans="1:13" ht="31.5" x14ac:dyDescent="0.25">
      <c r="A207" s="284">
        <v>0</v>
      </c>
      <c r="B207" s="297" t="s">
        <v>61</v>
      </c>
      <c r="C207" s="43"/>
      <c r="D207" s="65"/>
      <c r="E207" s="65"/>
      <c r="F207" s="65">
        <v>20</v>
      </c>
      <c r="G207" s="65"/>
      <c r="H207" s="43"/>
      <c r="I207" s="65"/>
      <c r="J207" s="65"/>
      <c r="K207" s="65"/>
      <c r="L207" s="57" t="s">
        <v>1212</v>
      </c>
      <c r="M207" s="283">
        <v>0</v>
      </c>
    </row>
    <row r="208" spans="1:13" ht="47.25" x14ac:dyDescent="0.25">
      <c r="A208" s="284">
        <v>0</v>
      </c>
      <c r="B208" s="297" t="s">
        <v>62</v>
      </c>
      <c r="C208" s="43"/>
      <c r="D208" s="65"/>
      <c r="E208" s="65"/>
      <c r="F208" s="65">
        <v>21</v>
      </c>
      <c r="G208" s="65"/>
      <c r="H208" s="55" t="s">
        <v>1213</v>
      </c>
      <c r="I208" s="84">
        <v>36</v>
      </c>
      <c r="J208" s="84" t="s">
        <v>1214</v>
      </c>
      <c r="K208" s="84" t="s">
        <v>1215</v>
      </c>
      <c r="L208" s="136">
        <v>44585</v>
      </c>
      <c r="M208" s="283">
        <v>640</v>
      </c>
    </row>
    <row r="209" spans="1:13" ht="31.5" x14ac:dyDescent="0.25">
      <c r="A209" s="284">
        <v>0</v>
      </c>
      <c r="B209" s="297" t="s">
        <v>63</v>
      </c>
      <c r="C209" s="43"/>
      <c r="D209" s="65"/>
      <c r="E209" s="65"/>
      <c r="F209" s="65">
        <v>22</v>
      </c>
      <c r="G209" s="65"/>
      <c r="H209" s="55" t="s">
        <v>1216</v>
      </c>
      <c r="I209" s="84"/>
      <c r="J209" s="84"/>
      <c r="K209" s="84"/>
      <c r="L209" s="84" t="s">
        <v>1217</v>
      </c>
      <c r="M209" s="283">
        <v>0</v>
      </c>
    </row>
    <row r="210" spans="1:13" x14ac:dyDescent="0.25">
      <c r="A210" s="284">
        <v>0</v>
      </c>
      <c r="B210" s="297" t="s">
        <v>64</v>
      </c>
      <c r="C210" s="43"/>
      <c r="D210" s="65"/>
      <c r="E210" s="65"/>
      <c r="F210" s="65">
        <v>23</v>
      </c>
      <c r="G210" s="65"/>
      <c r="H210" s="43"/>
      <c r="I210" s="194"/>
      <c r="J210" s="194"/>
      <c r="K210" s="194"/>
      <c r="L210" s="194"/>
      <c r="M210" s="283">
        <v>0</v>
      </c>
    </row>
    <row r="211" spans="1:13" x14ac:dyDescent="0.25">
      <c r="A211" s="284">
        <v>0</v>
      </c>
      <c r="B211" s="297" t="s">
        <v>65</v>
      </c>
      <c r="C211" s="43"/>
      <c r="D211" s="65"/>
      <c r="E211" s="65"/>
      <c r="F211" s="65">
        <v>24</v>
      </c>
      <c r="G211" s="65"/>
      <c r="H211" s="43"/>
      <c r="I211" s="194"/>
      <c r="J211" s="194"/>
      <c r="K211" s="194"/>
      <c r="L211" s="303"/>
      <c r="M211" s="8">
        <f>SUM(M202:M210)</f>
        <v>3723</v>
      </c>
    </row>
    <row r="212" spans="1:13" ht="110.25" x14ac:dyDescent="0.25">
      <c r="A212" s="284">
        <v>2000</v>
      </c>
      <c r="B212" s="297" t="s">
        <v>66</v>
      </c>
      <c r="C212" s="55" t="s">
        <v>1218</v>
      </c>
      <c r="D212" s="57">
        <v>36</v>
      </c>
      <c r="E212" s="57" t="s">
        <v>1085</v>
      </c>
      <c r="F212" s="57" t="s">
        <v>1219</v>
      </c>
      <c r="G212" s="125">
        <v>44579</v>
      </c>
      <c r="H212" s="43"/>
      <c r="I212" s="194"/>
      <c r="J212" s="194"/>
      <c r="K212" s="194"/>
      <c r="L212" s="303"/>
      <c r="M212" s="43"/>
    </row>
    <row r="213" spans="1:13" ht="63" x14ac:dyDescent="0.25">
      <c r="A213" s="284">
        <v>0</v>
      </c>
      <c r="B213" s="297" t="s">
        <v>67</v>
      </c>
      <c r="C213" s="55" t="s">
        <v>1220</v>
      </c>
      <c r="D213" s="57"/>
      <c r="E213" s="57"/>
      <c r="F213" s="57"/>
      <c r="G213" s="57" t="s">
        <v>1221</v>
      </c>
      <c r="H213" s="43"/>
      <c r="I213" s="194"/>
      <c r="J213" s="194"/>
      <c r="K213" s="194"/>
      <c r="L213" s="303"/>
      <c r="M213" s="43"/>
    </row>
    <row r="214" spans="1:13" x14ac:dyDescent="0.25">
      <c r="A214" s="284">
        <v>0</v>
      </c>
      <c r="B214" s="297" t="s">
        <v>68</v>
      </c>
      <c r="C214" s="43"/>
      <c r="D214" s="65"/>
      <c r="E214" s="65"/>
      <c r="F214" s="65"/>
      <c r="G214" s="65"/>
      <c r="H214" s="43"/>
      <c r="I214" s="194"/>
      <c r="J214" s="194"/>
      <c r="K214" s="194"/>
      <c r="L214" s="303"/>
      <c r="M214" s="43"/>
    </row>
    <row r="215" spans="1:13" x14ac:dyDescent="0.25">
      <c r="A215" s="284">
        <v>0</v>
      </c>
      <c r="B215" s="298">
        <v>0.79166666666666663</v>
      </c>
      <c r="C215" s="43"/>
      <c r="D215" s="65"/>
      <c r="E215" s="65"/>
      <c r="F215" s="65"/>
      <c r="G215" s="65"/>
      <c r="H215" s="43"/>
      <c r="I215" s="194"/>
      <c r="J215" s="194"/>
      <c r="K215" s="194"/>
      <c r="L215" s="303"/>
      <c r="M215" s="43"/>
    </row>
    <row r="216" spans="1:13" x14ac:dyDescent="0.25">
      <c r="A216" s="284">
        <v>0</v>
      </c>
      <c r="B216" s="298">
        <v>0.83333333333333337</v>
      </c>
      <c r="C216" s="43"/>
      <c r="D216" s="65"/>
      <c r="E216" s="65"/>
      <c r="F216" s="65"/>
      <c r="G216" s="65"/>
      <c r="H216" s="43"/>
      <c r="I216" s="194"/>
      <c r="J216" s="194"/>
      <c r="K216" s="194"/>
      <c r="L216" s="303"/>
      <c r="M216" s="43"/>
    </row>
    <row r="217" spans="1:13" x14ac:dyDescent="0.25">
      <c r="A217" s="284">
        <v>0</v>
      </c>
      <c r="B217" s="298">
        <v>0.875</v>
      </c>
      <c r="C217" s="43"/>
      <c r="D217" s="65"/>
      <c r="E217" s="65"/>
      <c r="F217" s="65"/>
      <c r="G217" s="65"/>
      <c r="H217" s="43"/>
      <c r="I217" s="194"/>
      <c r="J217" s="194"/>
      <c r="K217" s="194"/>
      <c r="L217" s="303"/>
      <c r="M217" s="43"/>
    </row>
    <row r="218" spans="1:13" x14ac:dyDescent="0.25">
      <c r="A218" s="284">
        <v>0</v>
      </c>
      <c r="B218" s="298">
        <v>0.91666666666666663</v>
      </c>
      <c r="C218" s="43"/>
      <c r="D218" s="65"/>
      <c r="E218" s="65"/>
      <c r="F218" s="65"/>
      <c r="G218" s="65"/>
      <c r="H218" s="43"/>
      <c r="I218" s="194"/>
      <c r="J218" s="194"/>
      <c r="K218" s="194"/>
      <c r="L218" s="303"/>
      <c r="M218" s="43"/>
    </row>
    <row r="219" spans="1:13" x14ac:dyDescent="0.25">
      <c r="A219" s="265">
        <f>SUM(A203:A218)</f>
        <v>20000</v>
      </c>
      <c r="B219" s="299">
        <v>0.94791666666666663</v>
      </c>
      <c r="C219" s="43"/>
      <c r="D219" s="65"/>
      <c r="E219" s="65"/>
      <c r="F219" s="65"/>
      <c r="G219" s="65"/>
      <c r="H219" s="43"/>
      <c r="I219" s="194"/>
      <c r="J219" s="194"/>
      <c r="K219" s="194"/>
      <c r="L219" s="303"/>
      <c r="M219" s="43"/>
    </row>
    <row r="220" spans="1:13" ht="94.5" x14ac:dyDescent="0.25">
      <c r="A220" s="281">
        <f>A202+1</f>
        <v>44580</v>
      </c>
      <c r="B220" s="296" t="s">
        <v>54</v>
      </c>
      <c r="C220" s="55" t="s">
        <v>1222</v>
      </c>
      <c r="D220" s="57">
        <v>60</v>
      </c>
      <c r="E220" s="57" t="s">
        <v>25</v>
      </c>
      <c r="F220" s="57" t="s">
        <v>1223</v>
      </c>
      <c r="G220" s="125">
        <v>44579</v>
      </c>
      <c r="H220" s="43"/>
      <c r="I220" s="187" t="s">
        <v>1224</v>
      </c>
      <c r="J220" s="188"/>
      <c r="K220" s="188"/>
      <c r="L220" s="188"/>
      <c r="M220" s="283">
        <v>0</v>
      </c>
    </row>
    <row r="221" spans="1:13" ht="78.75" x14ac:dyDescent="0.25">
      <c r="A221" s="284">
        <v>3917</v>
      </c>
      <c r="B221" s="297" t="s">
        <v>1225</v>
      </c>
      <c r="C221" s="55" t="s">
        <v>1226</v>
      </c>
      <c r="D221" s="57"/>
      <c r="E221" s="57"/>
      <c r="F221" s="57">
        <v>2</v>
      </c>
      <c r="G221" s="191" t="s">
        <v>1227</v>
      </c>
      <c r="H221" s="43"/>
      <c r="I221" s="187" t="s">
        <v>1228</v>
      </c>
      <c r="J221" s="188"/>
      <c r="K221" s="188"/>
      <c r="L221" s="307"/>
      <c r="M221" s="283">
        <v>0</v>
      </c>
    </row>
    <row r="222" spans="1:13" x14ac:dyDescent="0.25">
      <c r="A222" s="284">
        <v>0</v>
      </c>
      <c r="B222" s="297" t="s">
        <v>58</v>
      </c>
      <c r="C222" s="55"/>
      <c r="D222" s="65"/>
      <c r="E222" s="65"/>
      <c r="F222" s="65">
        <v>3</v>
      </c>
      <c r="G222" s="65"/>
      <c r="H222" s="43"/>
      <c r="I222" s="188"/>
      <c r="J222" s="188"/>
      <c r="K222" s="188"/>
      <c r="L222" s="307"/>
      <c r="M222" s="283">
        <v>0</v>
      </c>
    </row>
    <row r="223" spans="1:13" x14ac:dyDescent="0.25">
      <c r="A223" s="284">
        <v>0</v>
      </c>
      <c r="B223" s="297" t="s">
        <v>59</v>
      </c>
      <c r="C223" s="43"/>
      <c r="D223" s="65"/>
      <c r="E223" s="65"/>
      <c r="F223" s="65">
        <v>4</v>
      </c>
      <c r="G223" s="65"/>
      <c r="H223" s="43"/>
      <c r="I223" s="188"/>
      <c r="J223" s="188"/>
      <c r="K223" s="188"/>
      <c r="L223" s="307"/>
      <c r="M223" s="283">
        <v>0</v>
      </c>
    </row>
    <row r="224" spans="1:13" x14ac:dyDescent="0.25">
      <c r="A224" s="284">
        <v>0</v>
      </c>
      <c r="B224" s="297" t="s">
        <v>60</v>
      </c>
      <c r="C224" s="43"/>
      <c r="D224" s="65"/>
      <c r="E224" s="65"/>
      <c r="F224" s="65"/>
      <c r="G224" s="65"/>
      <c r="H224" s="43"/>
      <c r="I224" s="188"/>
      <c r="J224" s="188"/>
      <c r="K224" s="188"/>
      <c r="L224" s="307"/>
      <c r="M224" s="283">
        <v>0</v>
      </c>
    </row>
    <row r="225" spans="1:18" x14ac:dyDescent="0.25">
      <c r="A225" s="284">
        <v>10000</v>
      </c>
      <c r="B225" s="297" t="s">
        <v>61</v>
      </c>
      <c r="C225" s="43"/>
      <c r="D225" s="65"/>
      <c r="E225" s="65"/>
      <c r="F225" s="65"/>
      <c r="G225" s="65"/>
      <c r="H225" s="43"/>
      <c r="I225" s="188"/>
      <c r="J225" s="188"/>
      <c r="K225" s="188"/>
      <c r="L225" s="307"/>
      <c r="M225" s="283">
        <v>0</v>
      </c>
    </row>
    <row r="226" spans="1:18" ht="94.5" x14ac:dyDescent="0.25">
      <c r="A226" s="284">
        <v>0</v>
      </c>
      <c r="B226" s="297" t="s">
        <v>62</v>
      </c>
      <c r="C226" s="55" t="s">
        <v>1229</v>
      </c>
      <c r="D226" s="57">
        <v>56</v>
      </c>
      <c r="E226" s="57" t="s">
        <v>1148</v>
      </c>
      <c r="F226" s="57" t="s">
        <v>1230</v>
      </c>
      <c r="G226" s="125">
        <v>44579</v>
      </c>
      <c r="H226" s="43"/>
      <c r="I226" s="188"/>
      <c r="J226" s="188"/>
      <c r="K226" s="188"/>
      <c r="L226" s="307"/>
      <c r="M226" s="283">
        <v>0</v>
      </c>
      <c r="R226" s="32"/>
    </row>
    <row r="227" spans="1:18" ht="78.75" x14ac:dyDescent="0.25">
      <c r="A227" s="284">
        <v>0</v>
      </c>
      <c r="B227" s="297" t="s">
        <v>63</v>
      </c>
      <c r="C227" s="55" t="s">
        <v>1231</v>
      </c>
      <c r="D227" s="57"/>
      <c r="E227" s="57"/>
      <c r="F227" s="57">
        <v>2</v>
      </c>
      <c r="G227" s="57" t="s">
        <v>225</v>
      </c>
      <c r="H227" s="43"/>
      <c r="I227" s="188"/>
      <c r="J227" s="188"/>
      <c r="K227" s="188"/>
      <c r="L227" s="307"/>
      <c r="M227" s="283">
        <v>0</v>
      </c>
    </row>
    <row r="228" spans="1:18" ht="78.75" x14ac:dyDescent="0.25">
      <c r="A228" s="284">
        <v>0</v>
      </c>
      <c r="B228" s="297" t="s">
        <v>64</v>
      </c>
      <c r="C228" s="55" t="s">
        <v>1232</v>
      </c>
      <c r="D228" s="65"/>
      <c r="E228" s="65"/>
      <c r="F228" s="65">
        <v>3</v>
      </c>
      <c r="G228" s="82"/>
      <c r="H228" s="43"/>
      <c r="I228" s="194"/>
      <c r="J228" s="194"/>
      <c r="K228" s="194"/>
      <c r="L228" s="194"/>
      <c r="M228" s="283">
        <v>0</v>
      </c>
    </row>
    <row r="229" spans="1:18" x14ac:dyDescent="0.25">
      <c r="A229" s="284">
        <v>0</v>
      </c>
      <c r="B229" s="297" t="s">
        <v>65</v>
      </c>
      <c r="C229" s="43"/>
      <c r="D229" s="65"/>
      <c r="E229" s="65"/>
      <c r="F229" s="65">
        <v>4</v>
      </c>
      <c r="G229" s="82"/>
      <c r="H229" s="43"/>
      <c r="I229" s="194"/>
      <c r="J229" s="194"/>
      <c r="K229" s="194"/>
      <c r="L229" s="303"/>
      <c r="M229" s="8">
        <f>SUM(M220:M228)</f>
        <v>0</v>
      </c>
    </row>
    <row r="230" spans="1:18" x14ac:dyDescent="0.25">
      <c r="A230" s="284">
        <v>0</v>
      </c>
      <c r="B230" s="297" t="s">
        <v>66</v>
      </c>
      <c r="C230" s="43"/>
      <c r="D230" s="86"/>
      <c r="E230" s="86"/>
      <c r="F230" s="86">
        <v>5</v>
      </c>
      <c r="G230" s="86"/>
      <c r="H230" s="43"/>
      <c r="I230" s="194"/>
      <c r="J230" s="194"/>
      <c r="K230" s="194"/>
      <c r="L230" s="303"/>
      <c r="M230" s="43"/>
    </row>
    <row r="231" spans="1:18" x14ac:dyDescent="0.25">
      <c r="A231" s="284">
        <v>0</v>
      </c>
      <c r="B231" s="297" t="s">
        <v>67</v>
      </c>
      <c r="C231" s="43"/>
      <c r="D231" s="86"/>
      <c r="E231" s="86"/>
      <c r="F231" s="86">
        <v>6</v>
      </c>
      <c r="G231" s="86"/>
      <c r="H231" s="43"/>
      <c r="I231" s="194"/>
      <c r="J231" s="194"/>
      <c r="K231" s="194"/>
      <c r="L231" s="303"/>
      <c r="M231" s="43"/>
    </row>
    <row r="232" spans="1:18" x14ac:dyDescent="0.25">
      <c r="A232" s="284">
        <v>0</v>
      </c>
      <c r="B232" s="297" t="s">
        <v>68</v>
      </c>
      <c r="C232" s="43"/>
      <c r="D232" s="86"/>
      <c r="E232" s="86"/>
      <c r="F232" s="86">
        <v>7</v>
      </c>
      <c r="G232" s="86"/>
      <c r="H232" s="43"/>
      <c r="I232" s="194"/>
      <c r="J232" s="194"/>
      <c r="K232" s="194"/>
      <c r="L232" s="303"/>
      <c r="M232" s="43"/>
    </row>
    <row r="233" spans="1:18" x14ac:dyDescent="0.25">
      <c r="A233" s="284">
        <v>0</v>
      </c>
      <c r="B233" s="298">
        <v>0.79166666666666663</v>
      </c>
      <c r="C233" s="43"/>
      <c r="D233" s="86"/>
      <c r="E233" s="86"/>
      <c r="F233" s="86">
        <v>8</v>
      </c>
      <c r="G233" s="86"/>
      <c r="H233" s="43"/>
      <c r="I233" s="194"/>
      <c r="J233" s="194"/>
      <c r="K233" s="194"/>
      <c r="L233" s="303"/>
      <c r="M233" s="43"/>
    </row>
    <row r="234" spans="1:18" x14ac:dyDescent="0.25">
      <c r="A234" s="284">
        <v>0</v>
      </c>
      <c r="B234" s="298">
        <v>0.83333333333333337</v>
      </c>
      <c r="C234" s="43"/>
      <c r="D234" s="194"/>
      <c r="E234" s="194"/>
      <c r="F234" s="194"/>
      <c r="G234" s="194"/>
      <c r="H234" s="43"/>
      <c r="I234" s="194"/>
      <c r="J234" s="194"/>
      <c r="K234" s="194"/>
      <c r="L234" s="303"/>
      <c r="M234" s="43"/>
    </row>
    <row r="235" spans="1:18" x14ac:dyDescent="0.25">
      <c r="A235" s="284">
        <v>0</v>
      </c>
      <c r="B235" s="298">
        <v>0.875</v>
      </c>
      <c r="C235" s="43"/>
      <c r="D235" s="194"/>
      <c r="E235" s="194"/>
      <c r="F235" s="194"/>
      <c r="G235" s="194"/>
      <c r="H235" s="43"/>
      <c r="I235" s="194"/>
      <c r="J235" s="194"/>
      <c r="K235" s="194"/>
      <c r="L235" s="303"/>
      <c r="M235" s="43"/>
    </row>
    <row r="236" spans="1:18" x14ac:dyDescent="0.25">
      <c r="A236" s="284">
        <v>0</v>
      </c>
      <c r="B236" s="298">
        <v>0.91666666666666663</v>
      </c>
      <c r="C236" s="43"/>
      <c r="D236" s="194"/>
      <c r="E236" s="194"/>
      <c r="F236" s="194"/>
      <c r="G236" s="194"/>
      <c r="H236" s="43"/>
      <c r="I236" s="194"/>
      <c r="J236" s="194"/>
      <c r="K236" s="194"/>
      <c r="L236" s="303"/>
      <c r="M236" s="43"/>
    </row>
    <row r="237" spans="1:18" x14ac:dyDescent="0.25">
      <c r="A237" s="265">
        <f>SUM(A221:A236)</f>
        <v>13917</v>
      </c>
      <c r="B237" s="299">
        <v>0.94791666666666663</v>
      </c>
      <c r="C237" s="43"/>
      <c r="D237" s="194"/>
      <c r="E237" s="194"/>
      <c r="F237" s="194"/>
      <c r="G237" s="194"/>
      <c r="H237" s="43"/>
      <c r="I237" s="194"/>
      <c r="J237" s="194"/>
      <c r="K237" s="194"/>
      <c r="L237" s="303"/>
      <c r="M237" s="43"/>
    </row>
    <row r="238" spans="1:18" x14ac:dyDescent="0.25">
      <c r="A238" s="281">
        <f>A220+1</f>
        <v>44581</v>
      </c>
      <c r="B238" s="296" t="s">
        <v>54</v>
      </c>
      <c r="C238" s="43"/>
      <c r="D238" s="86"/>
      <c r="E238" s="86"/>
      <c r="F238" s="86">
        <v>9</v>
      </c>
      <c r="G238" s="86"/>
      <c r="H238" s="43"/>
      <c r="I238" s="187" t="s">
        <v>1224</v>
      </c>
      <c r="J238" s="188"/>
      <c r="K238" s="188"/>
      <c r="L238" s="188"/>
      <c r="M238" s="283">
        <v>0</v>
      </c>
    </row>
    <row r="239" spans="1:18" x14ac:dyDescent="0.25">
      <c r="A239" s="284">
        <v>4000</v>
      </c>
      <c r="B239" s="297" t="s">
        <v>57</v>
      </c>
      <c r="C239" s="43"/>
      <c r="D239" s="65"/>
      <c r="E239" s="86"/>
      <c r="F239" s="86">
        <v>10</v>
      </c>
      <c r="G239" s="86"/>
      <c r="H239" s="43"/>
      <c r="I239" s="187" t="s">
        <v>1228</v>
      </c>
      <c r="J239" s="188"/>
      <c r="K239" s="188"/>
      <c r="L239" s="307"/>
      <c r="M239" s="283">
        <v>0</v>
      </c>
    </row>
    <row r="240" spans="1:18" x14ac:dyDescent="0.25">
      <c r="A240" s="284">
        <v>0</v>
      </c>
      <c r="B240" s="297" t="s">
        <v>58</v>
      </c>
      <c r="C240" s="43"/>
      <c r="D240" s="86"/>
      <c r="E240" s="86"/>
      <c r="F240" s="86">
        <v>11</v>
      </c>
      <c r="G240" s="86"/>
      <c r="H240" s="43"/>
      <c r="I240" s="188"/>
      <c r="J240" s="188"/>
      <c r="K240" s="188"/>
      <c r="L240" s="307"/>
      <c r="M240" s="283">
        <v>0</v>
      </c>
    </row>
    <row r="241" spans="1:13" x14ac:dyDescent="0.25">
      <c r="A241" s="284">
        <v>0</v>
      </c>
      <c r="B241" s="297" t="s">
        <v>59</v>
      </c>
      <c r="C241" s="43"/>
      <c r="D241" s="86"/>
      <c r="E241" s="86"/>
      <c r="F241" s="86">
        <v>12</v>
      </c>
      <c r="G241" s="86"/>
      <c r="H241" s="43"/>
      <c r="I241" s="188"/>
      <c r="J241" s="188"/>
      <c r="K241" s="188"/>
      <c r="L241" s="307"/>
      <c r="M241" s="283">
        <v>0</v>
      </c>
    </row>
    <row r="242" spans="1:13" x14ac:dyDescent="0.25">
      <c r="A242" s="284">
        <v>0</v>
      </c>
      <c r="B242" s="297" t="s">
        <v>60</v>
      </c>
      <c r="C242" s="43"/>
      <c r="D242" s="86"/>
      <c r="E242" s="86"/>
      <c r="F242" s="86"/>
      <c r="G242" s="86"/>
      <c r="H242" s="43"/>
      <c r="I242" s="188"/>
      <c r="J242" s="188"/>
      <c r="K242" s="188"/>
      <c r="L242" s="307"/>
      <c r="M242" s="283">
        <v>0</v>
      </c>
    </row>
    <row r="243" spans="1:13" x14ac:dyDescent="0.25">
      <c r="A243" s="284">
        <v>0</v>
      </c>
      <c r="B243" s="297" t="s">
        <v>61</v>
      </c>
      <c r="C243" s="43"/>
      <c r="D243" s="86"/>
      <c r="E243" s="86"/>
      <c r="F243" s="86"/>
      <c r="G243" s="86"/>
      <c r="H243" s="43"/>
      <c r="I243" s="188"/>
      <c r="J243" s="188"/>
      <c r="K243" s="188"/>
      <c r="L243" s="307"/>
      <c r="M243" s="283">
        <v>0</v>
      </c>
    </row>
    <row r="244" spans="1:13" x14ac:dyDescent="0.25">
      <c r="A244" s="284"/>
      <c r="B244" s="297" t="s">
        <v>62</v>
      </c>
      <c r="C244" s="43"/>
      <c r="D244" s="86"/>
      <c r="E244" s="86"/>
      <c r="F244" s="86"/>
      <c r="G244" s="86"/>
      <c r="H244" s="43"/>
      <c r="I244" s="188"/>
      <c r="J244" s="188"/>
      <c r="K244" s="188"/>
      <c r="L244" s="307"/>
      <c r="M244" s="283">
        <v>0</v>
      </c>
    </row>
    <row r="245" spans="1:13" x14ac:dyDescent="0.25">
      <c r="A245" s="284">
        <v>0</v>
      </c>
      <c r="B245" s="297" t="s">
        <v>63</v>
      </c>
      <c r="C245" s="43"/>
      <c r="D245" s="86"/>
      <c r="E245" s="86"/>
      <c r="F245" s="86"/>
      <c r="G245" s="86"/>
      <c r="H245" s="43"/>
      <c r="I245" s="188"/>
      <c r="J245" s="188"/>
      <c r="K245" s="188"/>
      <c r="L245" s="307"/>
      <c r="M245" s="283">
        <v>0</v>
      </c>
    </row>
    <row r="246" spans="1:13" x14ac:dyDescent="0.25">
      <c r="A246" s="284">
        <v>0</v>
      </c>
      <c r="B246" s="297" t="s">
        <v>64</v>
      </c>
      <c r="C246" s="43"/>
      <c r="D246" s="86"/>
      <c r="E246" s="86"/>
      <c r="F246" s="86"/>
      <c r="G246" s="86"/>
      <c r="H246" s="43"/>
      <c r="I246" s="194"/>
      <c r="J246" s="194"/>
      <c r="K246" s="194"/>
      <c r="L246" s="194"/>
      <c r="M246" s="283">
        <v>0</v>
      </c>
    </row>
    <row r="247" spans="1:13" ht="173.25" x14ac:dyDescent="0.25">
      <c r="A247" s="284">
        <v>1586</v>
      </c>
      <c r="B247" s="297" t="s">
        <v>65</v>
      </c>
      <c r="C247" s="55" t="s">
        <v>1233</v>
      </c>
      <c r="D247" s="84">
        <v>30</v>
      </c>
      <c r="E247" s="84" t="s">
        <v>1234</v>
      </c>
      <c r="F247" s="84" t="s">
        <v>1235</v>
      </c>
      <c r="G247" s="136">
        <v>44581</v>
      </c>
      <c r="H247" s="43"/>
      <c r="I247" s="194"/>
      <c r="J247" s="194"/>
      <c r="K247" s="194"/>
      <c r="L247" s="303"/>
      <c r="M247" s="8">
        <f>SUM(M238:M246)</f>
        <v>0</v>
      </c>
    </row>
    <row r="248" spans="1:13" ht="78.75" x14ac:dyDescent="0.25">
      <c r="A248" s="284">
        <v>0</v>
      </c>
      <c r="B248" s="297" t="s">
        <v>66</v>
      </c>
      <c r="C248" s="55" t="s">
        <v>1236</v>
      </c>
      <c r="D248" s="84"/>
      <c r="E248" s="84"/>
      <c r="F248" s="84">
        <v>2</v>
      </c>
      <c r="G248" s="84" t="s">
        <v>233</v>
      </c>
      <c r="H248" s="43"/>
      <c r="I248" s="194"/>
      <c r="J248" s="194"/>
      <c r="K248" s="194"/>
      <c r="L248" s="303"/>
      <c r="M248" s="43"/>
    </row>
    <row r="249" spans="1:13" x14ac:dyDescent="0.25">
      <c r="A249" s="284">
        <v>0</v>
      </c>
      <c r="B249" s="297" t="s">
        <v>67</v>
      </c>
      <c r="C249" s="43"/>
      <c r="D249" s="86"/>
      <c r="E249" s="86"/>
      <c r="F249" s="86">
        <v>3</v>
      </c>
      <c r="G249" s="86"/>
      <c r="H249" s="43"/>
      <c r="I249" s="194"/>
      <c r="J249" s="194"/>
      <c r="K249" s="194"/>
      <c r="L249" s="303"/>
      <c r="M249" s="43"/>
    </row>
    <row r="250" spans="1:13" ht="126" x14ac:dyDescent="0.25">
      <c r="A250" s="284">
        <v>2000</v>
      </c>
      <c r="B250" s="297" t="s">
        <v>68</v>
      </c>
      <c r="C250" s="55" t="s">
        <v>1237</v>
      </c>
      <c r="D250" s="57">
        <v>54</v>
      </c>
      <c r="E250" s="57" t="s">
        <v>1238</v>
      </c>
      <c r="F250" s="57" t="s">
        <v>1239</v>
      </c>
      <c r="G250" s="125">
        <v>44581</v>
      </c>
      <c r="H250" s="43"/>
      <c r="I250" s="194"/>
      <c r="J250" s="194"/>
      <c r="K250" s="194"/>
      <c r="L250" s="303"/>
      <c r="M250" s="43"/>
    </row>
    <row r="251" spans="1:13" ht="110.25" x14ac:dyDescent="0.25">
      <c r="A251" s="284">
        <v>0</v>
      </c>
      <c r="B251" s="298">
        <v>0.79166666666666663</v>
      </c>
      <c r="C251" s="55" t="s">
        <v>1240</v>
      </c>
      <c r="D251" s="65"/>
      <c r="E251" s="65"/>
      <c r="F251" s="65">
        <v>2</v>
      </c>
      <c r="G251" s="65"/>
      <c r="H251" s="43"/>
      <c r="I251" s="194"/>
      <c r="J251" s="194"/>
      <c r="K251" s="194"/>
      <c r="L251" s="303"/>
      <c r="M251" s="43"/>
    </row>
    <row r="252" spans="1:13" x14ac:dyDescent="0.25">
      <c r="A252" s="284">
        <v>0</v>
      </c>
      <c r="B252" s="298">
        <v>0.83333333333333337</v>
      </c>
      <c r="C252" s="43"/>
      <c r="D252" s="194"/>
      <c r="E252" s="194"/>
      <c r="F252" s="194"/>
      <c r="G252" s="194"/>
      <c r="H252" s="43"/>
      <c r="I252" s="194"/>
      <c r="J252" s="194"/>
      <c r="K252" s="194"/>
      <c r="L252" s="303"/>
      <c r="M252" s="43"/>
    </row>
    <row r="253" spans="1:13" x14ac:dyDescent="0.25">
      <c r="A253" s="284">
        <v>0</v>
      </c>
      <c r="B253" s="298">
        <v>0.875</v>
      </c>
      <c r="C253" s="43"/>
      <c r="D253" s="194"/>
      <c r="E253" s="194"/>
      <c r="F253" s="194"/>
      <c r="G253" s="194"/>
      <c r="H253" s="43"/>
      <c r="I253" s="194"/>
      <c r="J253" s="194"/>
      <c r="K253" s="194"/>
      <c r="L253" s="303"/>
      <c r="M253" s="43"/>
    </row>
    <row r="254" spans="1:13" x14ac:dyDescent="0.25">
      <c r="A254" s="284">
        <v>0</v>
      </c>
      <c r="B254" s="298">
        <v>0.91666666666666663</v>
      </c>
      <c r="C254" s="43"/>
      <c r="D254" s="194"/>
      <c r="E254" s="194"/>
      <c r="F254" s="194"/>
      <c r="G254" s="194"/>
      <c r="H254" s="43"/>
      <c r="I254" s="194"/>
      <c r="J254" s="194"/>
      <c r="K254" s="194"/>
      <c r="L254" s="303"/>
      <c r="M254" s="43"/>
    </row>
    <row r="255" spans="1:13" x14ac:dyDescent="0.25">
      <c r="A255" s="265">
        <f>SUM(A239:A254)</f>
        <v>7586</v>
      </c>
      <c r="B255" s="299">
        <v>0.94791666666666663</v>
      </c>
      <c r="C255" s="43"/>
      <c r="D255" s="194"/>
      <c r="E255" s="194"/>
      <c r="F255" s="194"/>
      <c r="G255" s="194"/>
      <c r="H255" s="43"/>
      <c r="I255" s="194"/>
      <c r="J255" s="194"/>
      <c r="K255" s="194"/>
      <c r="L255" s="303"/>
      <c r="M255" s="43"/>
    </row>
    <row r="256" spans="1:13" x14ac:dyDescent="0.25">
      <c r="A256" s="281">
        <f>A238+1</f>
        <v>44582</v>
      </c>
      <c r="B256" s="296" t="s">
        <v>54</v>
      </c>
      <c r="C256" s="43"/>
      <c r="D256" s="65"/>
      <c r="E256" s="65"/>
      <c r="F256" s="65">
        <v>3</v>
      </c>
      <c r="G256" s="65"/>
      <c r="H256" s="43"/>
      <c r="I256" s="187" t="s">
        <v>1224</v>
      </c>
      <c r="J256" s="188"/>
      <c r="K256" s="188"/>
      <c r="L256" s="188"/>
      <c r="M256" s="283">
        <v>0</v>
      </c>
    </row>
    <row r="257" spans="1:13" x14ac:dyDescent="0.25">
      <c r="A257" s="308" t="s">
        <v>1241</v>
      </c>
      <c r="B257" s="297" t="s">
        <v>57</v>
      </c>
      <c r="C257" s="43"/>
      <c r="D257" s="65"/>
      <c r="E257" s="65"/>
      <c r="F257" s="65">
        <v>4</v>
      </c>
      <c r="G257" s="65"/>
      <c r="H257" s="43"/>
      <c r="I257" s="187" t="s">
        <v>1228</v>
      </c>
      <c r="J257" s="188"/>
      <c r="K257" s="188"/>
      <c r="L257" s="307"/>
      <c r="M257" s="283">
        <v>0</v>
      </c>
    </row>
    <row r="258" spans="1:13" ht="30.75" x14ac:dyDescent="0.25">
      <c r="A258" s="308" t="s">
        <v>1242</v>
      </c>
      <c r="B258" s="297" t="s">
        <v>58</v>
      </c>
      <c r="C258" s="43"/>
      <c r="D258" s="65"/>
      <c r="E258" s="65"/>
      <c r="F258" s="65">
        <v>5</v>
      </c>
      <c r="G258" s="65"/>
      <c r="H258" s="43"/>
      <c r="I258" s="188"/>
      <c r="J258" s="188"/>
      <c r="K258" s="188"/>
      <c r="L258" s="307"/>
      <c r="M258" s="283">
        <v>0</v>
      </c>
    </row>
    <row r="259" spans="1:13" x14ac:dyDescent="0.25">
      <c r="A259" s="308" t="s">
        <v>1243</v>
      </c>
      <c r="B259" s="297" t="s">
        <v>59</v>
      </c>
      <c r="C259" s="43"/>
      <c r="D259" s="65"/>
      <c r="E259" s="65"/>
      <c r="F259" s="65"/>
      <c r="G259" s="65"/>
      <c r="H259" s="43"/>
      <c r="I259" s="188"/>
      <c r="J259" s="188"/>
      <c r="K259" s="188"/>
      <c r="L259" s="307"/>
      <c r="M259" s="283">
        <v>0</v>
      </c>
    </row>
    <row r="260" spans="1:13" x14ac:dyDescent="0.25">
      <c r="A260" s="284">
        <v>3500</v>
      </c>
      <c r="B260" s="297" t="s">
        <v>60</v>
      </c>
      <c r="C260" s="43"/>
      <c r="D260" s="65"/>
      <c r="E260" s="65"/>
      <c r="F260" s="65"/>
      <c r="G260" s="65"/>
      <c r="H260" s="43"/>
      <c r="I260" s="188"/>
      <c r="J260" s="188"/>
      <c r="K260" s="188"/>
      <c r="L260" s="307"/>
      <c r="M260" s="283">
        <v>0</v>
      </c>
    </row>
    <row r="261" spans="1:13" ht="126" x14ac:dyDescent="0.25">
      <c r="A261" s="284">
        <v>950</v>
      </c>
      <c r="B261" s="297" t="s">
        <v>61</v>
      </c>
      <c r="C261" s="55" t="s">
        <v>1244</v>
      </c>
      <c r="D261" s="57">
        <v>60</v>
      </c>
      <c r="E261" s="57" t="s">
        <v>204</v>
      </c>
      <c r="F261" s="57" t="s">
        <v>1245</v>
      </c>
      <c r="G261" s="125">
        <v>44582</v>
      </c>
      <c r="H261" s="43"/>
      <c r="I261" s="188"/>
      <c r="J261" s="188"/>
      <c r="K261" s="188"/>
      <c r="L261" s="307"/>
      <c r="M261" s="283">
        <v>0</v>
      </c>
    </row>
    <row r="262" spans="1:13" ht="126" x14ac:dyDescent="0.25">
      <c r="A262" s="284">
        <v>0</v>
      </c>
      <c r="B262" s="297" t="s">
        <v>62</v>
      </c>
      <c r="C262" s="55" t="s">
        <v>1246</v>
      </c>
      <c r="D262" s="57"/>
      <c r="E262" s="57"/>
      <c r="F262" s="57">
        <v>2</v>
      </c>
      <c r="G262" s="191" t="s">
        <v>1247</v>
      </c>
      <c r="H262" s="43"/>
      <c r="I262" s="188"/>
      <c r="J262" s="188"/>
      <c r="K262" s="188"/>
      <c r="L262" s="307"/>
      <c r="M262" s="283">
        <v>0</v>
      </c>
    </row>
    <row r="263" spans="1:13" x14ac:dyDescent="0.25">
      <c r="A263" s="284">
        <v>0</v>
      </c>
      <c r="B263" s="297" t="s">
        <v>63</v>
      </c>
      <c r="C263" s="43"/>
      <c r="D263" s="65"/>
      <c r="E263" s="65"/>
      <c r="F263" s="65"/>
      <c r="G263" s="65"/>
      <c r="H263" s="43"/>
      <c r="I263" s="188"/>
      <c r="J263" s="188"/>
      <c r="K263" s="188"/>
      <c r="L263" s="307"/>
      <c r="M263" s="283">
        <v>0</v>
      </c>
    </row>
    <row r="264" spans="1:13" x14ac:dyDescent="0.25">
      <c r="A264" s="284">
        <v>0</v>
      </c>
      <c r="B264" s="297" t="s">
        <v>64</v>
      </c>
      <c r="C264" s="43"/>
      <c r="D264" s="187" t="s">
        <v>1224</v>
      </c>
      <c r="E264" s="188"/>
      <c r="F264" s="188"/>
      <c r="G264" s="188"/>
      <c r="H264" s="43"/>
      <c r="I264" s="194"/>
      <c r="J264" s="194"/>
      <c r="K264" s="194"/>
      <c r="L264" s="194"/>
      <c r="M264" s="283">
        <v>0</v>
      </c>
    </row>
    <row r="265" spans="1:13" x14ac:dyDescent="0.25">
      <c r="A265" s="284">
        <v>0</v>
      </c>
      <c r="B265" s="297" t="s">
        <v>65</v>
      </c>
      <c r="C265" s="43"/>
      <c r="D265" s="187" t="s">
        <v>1248</v>
      </c>
      <c r="E265" s="188"/>
      <c r="F265" s="188"/>
      <c r="G265" s="307"/>
      <c r="H265" s="43"/>
      <c r="I265" s="194"/>
      <c r="J265" s="194"/>
      <c r="K265" s="194"/>
      <c r="L265" s="303"/>
      <c r="M265" s="8">
        <f>SUM(M256:M264)</f>
        <v>0</v>
      </c>
    </row>
    <row r="266" spans="1:13" x14ac:dyDescent="0.25">
      <c r="A266" s="284">
        <v>0</v>
      </c>
      <c r="B266" s="297" t="s">
        <v>66</v>
      </c>
      <c r="C266" s="43"/>
      <c r="D266" s="188"/>
      <c r="E266" s="188"/>
      <c r="F266" s="188"/>
      <c r="G266" s="307"/>
      <c r="H266" s="43"/>
      <c r="I266" s="194"/>
      <c r="J266" s="194"/>
      <c r="K266" s="194"/>
      <c r="L266" s="303"/>
      <c r="M266" s="43"/>
    </row>
    <row r="267" spans="1:13" x14ac:dyDescent="0.25">
      <c r="A267" s="284">
        <v>0</v>
      </c>
      <c r="B267" s="297" t="s">
        <v>67</v>
      </c>
      <c r="C267" s="43"/>
      <c r="D267" s="188"/>
      <c r="E267" s="188"/>
      <c r="F267" s="188"/>
      <c r="G267" s="188"/>
      <c r="H267" s="43"/>
      <c r="I267" s="194"/>
      <c r="J267" s="194"/>
      <c r="K267" s="194"/>
      <c r="L267" s="303"/>
      <c r="M267" s="43"/>
    </row>
    <row r="268" spans="1:13" x14ac:dyDescent="0.25">
      <c r="A268" s="284">
        <v>0</v>
      </c>
      <c r="B268" s="297" t="s">
        <v>68</v>
      </c>
      <c r="C268" s="43"/>
      <c r="D268" s="188"/>
      <c r="E268" s="188"/>
      <c r="F268" s="188"/>
      <c r="G268" s="188"/>
      <c r="H268" s="43"/>
      <c r="I268" s="194"/>
      <c r="J268" s="194"/>
      <c r="K268" s="194"/>
      <c r="L268" s="303"/>
      <c r="M268" s="43"/>
    </row>
    <row r="269" spans="1:13" x14ac:dyDescent="0.25">
      <c r="A269" s="284">
        <v>0</v>
      </c>
      <c r="B269" s="298">
        <v>0.79166666666666663</v>
      </c>
      <c r="C269" s="43"/>
      <c r="D269" s="188"/>
      <c r="E269" s="188"/>
      <c r="F269" s="188"/>
      <c r="G269" s="188"/>
      <c r="H269" s="43"/>
      <c r="I269" s="194"/>
      <c r="J269" s="194"/>
      <c r="K269" s="194"/>
      <c r="L269" s="303"/>
      <c r="M269" s="43"/>
    </row>
    <row r="270" spans="1:13" x14ac:dyDescent="0.25">
      <c r="A270" s="284">
        <v>0</v>
      </c>
      <c r="B270" s="298">
        <v>0.83333333333333337</v>
      </c>
      <c r="C270" s="43"/>
      <c r="D270" s="86"/>
      <c r="E270" s="86"/>
      <c r="F270" s="86"/>
      <c r="G270" s="86"/>
      <c r="H270" s="43"/>
      <c r="I270" s="194"/>
      <c r="J270" s="194"/>
      <c r="K270" s="194"/>
      <c r="L270" s="303"/>
      <c r="M270" s="43"/>
    </row>
    <row r="271" spans="1:13" x14ac:dyDescent="0.25">
      <c r="A271" s="284">
        <v>0</v>
      </c>
      <c r="B271" s="298">
        <v>0.875</v>
      </c>
      <c r="C271" s="43"/>
      <c r="D271" s="86"/>
      <c r="E271" s="86"/>
      <c r="F271" s="86"/>
      <c r="G271" s="86"/>
      <c r="H271" s="43"/>
      <c r="I271" s="194"/>
      <c r="J271" s="194"/>
      <c r="K271" s="194"/>
      <c r="L271" s="303"/>
      <c r="M271" s="43"/>
    </row>
    <row r="272" spans="1:13" x14ac:dyDescent="0.25">
      <c r="A272" s="284">
        <v>0</v>
      </c>
      <c r="B272" s="298">
        <v>0.91666666666666663</v>
      </c>
      <c r="C272" s="43"/>
      <c r="D272" s="86"/>
      <c r="E272" s="86"/>
      <c r="F272" s="86"/>
      <c r="G272" s="86"/>
      <c r="H272" s="43"/>
      <c r="I272" s="194"/>
      <c r="J272" s="194"/>
      <c r="K272" s="194"/>
      <c r="L272" s="303"/>
      <c r="M272" s="43"/>
    </row>
    <row r="273" spans="1:13" x14ac:dyDescent="0.25">
      <c r="A273" s="265">
        <f>SUM(A257:A272)</f>
        <v>4450</v>
      </c>
      <c r="B273" s="299">
        <v>0.94791666666666663</v>
      </c>
      <c r="C273" s="43"/>
      <c r="D273" s="86"/>
      <c r="E273" s="86"/>
      <c r="F273" s="86"/>
      <c r="G273" s="86"/>
      <c r="H273" s="43"/>
      <c r="I273" s="194"/>
      <c r="J273" s="194"/>
      <c r="K273" s="194"/>
      <c r="L273" s="303"/>
      <c r="M273" s="43"/>
    </row>
    <row r="274" spans="1:13" ht="47.25" x14ac:dyDescent="0.25">
      <c r="A274" s="281">
        <f>A256+3</f>
        <v>44585</v>
      </c>
      <c r="B274" s="296" t="s">
        <v>54</v>
      </c>
      <c r="C274" s="55" t="s">
        <v>1249</v>
      </c>
      <c r="D274" s="84">
        <v>60</v>
      </c>
      <c r="E274" s="84" t="s">
        <v>204</v>
      </c>
      <c r="F274" s="84" t="s">
        <v>1245</v>
      </c>
      <c r="G274" s="136">
        <v>44582</v>
      </c>
      <c r="H274" s="55" t="s">
        <v>1250</v>
      </c>
      <c r="I274" s="84">
        <v>60</v>
      </c>
      <c r="J274" s="84" t="s">
        <v>85</v>
      </c>
      <c r="K274" s="84" t="s">
        <v>1251</v>
      </c>
      <c r="L274" s="136">
        <v>44587</v>
      </c>
      <c r="M274" s="283">
        <v>0</v>
      </c>
    </row>
    <row r="275" spans="1:13" ht="126" x14ac:dyDescent="0.25">
      <c r="A275" s="284">
        <v>8000</v>
      </c>
      <c r="B275" s="297" t="s">
        <v>57</v>
      </c>
      <c r="C275" s="55" t="s">
        <v>1246</v>
      </c>
      <c r="D275" s="84"/>
      <c r="E275" s="84"/>
      <c r="F275" s="84">
        <v>2</v>
      </c>
      <c r="G275" s="309" t="s">
        <v>1247</v>
      </c>
      <c r="H275" s="55" t="s">
        <v>1252</v>
      </c>
      <c r="I275" s="84"/>
      <c r="J275" s="84"/>
      <c r="K275" s="84"/>
      <c r="L275" s="84" t="s">
        <v>1227</v>
      </c>
      <c r="M275" s="283">
        <v>0</v>
      </c>
    </row>
    <row r="276" spans="1:13" x14ac:dyDescent="0.25">
      <c r="A276" s="284">
        <v>0</v>
      </c>
      <c r="B276" s="297" t="s">
        <v>58</v>
      </c>
      <c r="C276" s="43"/>
      <c r="D276" s="86"/>
      <c r="E276" s="86"/>
      <c r="F276" s="86">
        <v>3</v>
      </c>
      <c r="G276" s="86"/>
      <c r="H276" s="43"/>
      <c r="I276" s="86"/>
      <c r="J276" s="86"/>
      <c r="K276" s="86"/>
      <c r="L276" s="304"/>
      <c r="M276" s="283">
        <v>0</v>
      </c>
    </row>
    <row r="277" spans="1:13" x14ac:dyDescent="0.25">
      <c r="A277" s="284">
        <v>0</v>
      </c>
      <c r="B277" s="297" t="s">
        <v>59</v>
      </c>
      <c r="C277" s="43"/>
      <c r="D277" s="86"/>
      <c r="E277" s="86"/>
      <c r="F277" s="86">
        <v>4</v>
      </c>
      <c r="G277" s="86"/>
      <c r="H277" s="43"/>
      <c r="I277" s="86"/>
      <c r="J277" s="86"/>
      <c r="K277" s="86"/>
      <c r="L277" s="304"/>
      <c r="M277" s="283">
        <v>0</v>
      </c>
    </row>
    <row r="278" spans="1:13" x14ac:dyDescent="0.25">
      <c r="A278" s="284">
        <v>0</v>
      </c>
      <c r="B278" s="297" t="s">
        <v>60</v>
      </c>
      <c r="C278" s="43"/>
      <c r="D278" s="86"/>
      <c r="E278" s="86"/>
      <c r="F278" s="86">
        <v>5</v>
      </c>
      <c r="G278" s="86"/>
      <c r="H278" s="43"/>
      <c r="I278" s="86"/>
      <c r="J278" s="86"/>
      <c r="K278" s="86"/>
      <c r="L278" s="304"/>
      <c r="M278" s="283">
        <v>0</v>
      </c>
    </row>
    <row r="279" spans="1:13" x14ac:dyDescent="0.25">
      <c r="A279" s="284">
        <v>0</v>
      </c>
      <c r="B279" s="297" t="s">
        <v>61</v>
      </c>
      <c r="C279" s="43"/>
      <c r="D279" s="86"/>
      <c r="E279" s="86"/>
      <c r="F279" s="86">
        <v>6</v>
      </c>
      <c r="G279" s="86"/>
      <c r="H279" s="43"/>
      <c r="I279" s="86"/>
      <c r="J279" s="86"/>
      <c r="K279" s="86"/>
      <c r="L279" s="304"/>
      <c r="M279" s="283">
        <v>0</v>
      </c>
    </row>
    <row r="280" spans="1:13" ht="110.25" x14ac:dyDescent="0.25">
      <c r="A280" s="284">
        <v>6135</v>
      </c>
      <c r="B280" s="297" t="s">
        <v>62</v>
      </c>
      <c r="C280" s="55" t="s">
        <v>1253</v>
      </c>
      <c r="D280" s="84">
        <v>60</v>
      </c>
      <c r="E280" s="84" t="s">
        <v>248</v>
      </c>
      <c r="F280" s="84" t="s">
        <v>1254</v>
      </c>
      <c r="G280" s="136">
        <v>44585</v>
      </c>
      <c r="H280" s="43"/>
      <c r="I280" s="86"/>
      <c r="J280" s="86"/>
      <c r="K280" s="86"/>
      <c r="L280" s="304"/>
      <c r="M280" s="283">
        <v>0</v>
      </c>
    </row>
    <row r="281" spans="1:13" ht="78.75" x14ac:dyDescent="0.25">
      <c r="A281" s="284">
        <v>0</v>
      </c>
      <c r="B281" s="297" t="s">
        <v>63</v>
      </c>
      <c r="C281" s="55" t="s">
        <v>1255</v>
      </c>
      <c r="D281" s="84"/>
      <c r="E281" s="84"/>
      <c r="F281" s="84">
        <v>2</v>
      </c>
      <c r="G281" s="84" t="s">
        <v>1217</v>
      </c>
      <c r="H281" s="43"/>
      <c r="I281" s="86"/>
      <c r="J281" s="86"/>
      <c r="K281" s="86"/>
      <c r="L281" s="86"/>
      <c r="M281" s="283">
        <v>0</v>
      </c>
    </row>
    <row r="282" spans="1:13" x14ac:dyDescent="0.25">
      <c r="A282" s="284">
        <v>0</v>
      </c>
      <c r="B282" s="297" t="s">
        <v>64</v>
      </c>
      <c r="C282" s="43"/>
      <c r="D282" s="86"/>
      <c r="E282" s="86"/>
      <c r="F282" s="86">
        <v>3</v>
      </c>
      <c r="G282" s="86"/>
      <c r="H282" s="43"/>
      <c r="I282" s="65"/>
      <c r="J282" s="65"/>
      <c r="K282" s="65"/>
      <c r="L282" s="65"/>
      <c r="M282" s="283">
        <v>0</v>
      </c>
    </row>
    <row r="283" spans="1:13" x14ac:dyDescent="0.25">
      <c r="A283" s="284">
        <v>0</v>
      </c>
      <c r="B283" s="297" t="s">
        <v>65</v>
      </c>
      <c r="C283" s="43"/>
      <c r="D283" s="86"/>
      <c r="E283" s="86"/>
      <c r="F283" s="86">
        <v>4</v>
      </c>
      <c r="G283" s="86"/>
      <c r="H283" s="43"/>
      <c r="I283" s="65"/>
      <c r="J283" s="65"/>
      <c r="K283" s="65"/>
      <c r="L283" s="82"/>
      <c r="M283" s="8">
        <f>SUM(M274:M282)</f>
        <v>0</v>
      </c>
    </row>
    <row r="284" spans="1:13" x14ac:dyDescent="0.25">
      <c r="A284" s="284">
        <v>0</v>
      </c>
      <c r="B284" s="297" t="s">
        <v>66</v>
      </c>
      <c r="C284" s="43"/>
      <c r="D284" s="86"/>
      <c r="E284" s="86"/>
      <c r="F284" s="86">
        <v>5</v>
      </c>
      <c r="G284" s="86"/>
      <c r="H284" s="43"/>
      <c r="I284" s="65"/>
      <c r="J284" s="65"/>
      <c r="K284" s="65"/>
      <c r="L284" s="82"/>
      <c r="M284" s="43"/>
    </row>
    <row r="285" spans="1:13" x14ac:dyDescent="0.25">
      <c r="A285" s="284">
        <v>0</v>
      </c>
      <c r="B285" s="297" t="s">
        <v>67</v>
      </c>
      <c r="C285" s="43"/>
      <c r="D285" s="86"/>
      <c r="E285" s="86"/>
      <c r="F285" s="86">
        <v>6</v>
      </c>
      <c r="G285" s="86"/>
      <c r="H285" s="43"/>
      <c r="I285" s="65"/>
      <c r="J285" s="65"/>
      <c r="K285" s="65"/>
      <c r="L285" s="82"/>
      <c r="M285" s="43"/>
    </row>
    <row r="286" spans="1:13" x14ac:dyDescent="0.25">
      <c r="A286" s="284">
        <v>0</v>
      </c>
      <c r="B286" s="297" t="s">
        <v>68</v>
      </c>
      <c r="C286" s="43"/>
      <c r="D286" s="86"/>
      <c r="E286" s="86"/>
      <c r="F286" s="86"/>
      <c r="G286" s="86"/>
      <c r="H286" s="43"/>
      <c r="I286" s="65"/>
      <c r="J286" s="65"/>
      <c r="K286" s="65"/>
      <c r="L286" s="82"/>
      <c r="M286" s="43"/>
    </row>
    <row r="287" spans="1:13" x14ac:dyDescent="0.25">
      <c r="A287" s="284">
        <v>0</v>
      </c>
      <c r="B287" s="298">
        <v>0.79166666666666663</v>
      </c>
      <c r="C287" s="43"/>
      <c r="D287" s="86"/>
      <c r="E287" s="86"/>
      <c r="F287" s="86"/>
      <c r="G287" s="86"/>
      <c r="H287" s="43"/>
      <c r="I287" s="65"/>
      <c r="J287" s="65"/>
      <c r="K287" s="65"/>
      <c r="L287" s="82"/>
      <c r="M287" s="43"/>
    </row>
    <row r="288" spans="1:13" x14ac:dyDescent="0.25">
      <c r="A288" s="284">
        <v>0</v>
      </c>
      <c r="B288" s="298">
        <v>0.83333333333333337</v>
      </c>
      <c r="C288" s="43"/>
      <c r="D288" s="65"/>
      <c r="E288" s="65"/>
      <c r="F288" s="65"/>
      <c r="G288" s="65"/>
      <c r="H288" s="43"/>
      <c r="I288" s="65"/>
      <c r="J288" s="65"/>
      <c r="K288" s="65"/>
      <c r="L288" s="82"/>
      <c r="M288" s="43"/>
    </row>
    <row r="289" spans="1:13" x14ac:dyDescent="0.25">
      <c r="A289" s="284">
        <v>0</v>
      </c>
      <c r="B289" s="298">
        <v>0.875</v>
      </c>
      <c r="C289" s="43"/>
      <c r="D289" s="65"/>
      <c r="E289" s="65"/>
      <c r="F289" s="65"/>
      <c r="G289" s="65"/>
      <c r="H289" s="43"/>
      <c r="I289" s="65"/>
      <c r="J289" s="65"/>
      <c r="K289" s="65"/>
      <c r="L289" s="82"/>
      <c r="M289" s="43"/>
    </row>
    <row r="290" spans="1:13" x14ac:dyDescent="0.25">
      <c r="A290" s="284">
        <v>0</v>
      </c>
      <c r="B290" s="298">
        <v>0.91666666666666663</v>
      </c>
      <c r="C290" s="43"/>
      <c r="D290" s="65"/>
      <c r="E290" s="65"/>
      <c r="F290" s="65"/>
      <c r="G290" s="65"/>
      <c r="H290" s="43"/>
      <c r="I290" s="65"/>
      <c r="J290" s="65"/>
      <c r="K290" s="65"/>
      <c r="L290" s="82"/>
      <c r="M290" s="43"/>
    </row>
    <row r="291" spans="1:13" x14ac:dyDescent="0.25">
      <c r="A291" s="265">
        <f>SUM(A275:A290)</f>
        <v>14135</v>
      </c>
      <c r="B291" s="299">
        <v>0.94791666666666663</v>
      </c>
      <c r="C291" s="43"/>
      <c r="D291" s="65"/>
      <c r="E291" s="65"/>
      <c r="F291" s="65"/>
      <c r="G291" s="65"/>
      <c r="H291" s="43"/>
      <c r="I291" s="65"/>
      <c r="J291" s="65"/>
      <c r="K291" s="65"/>
      <c r="L291" s="82"/>
      <c r="M291" s="43"/>
    </row>
    <row r="292" spans="1:13" ht="31.5" x14ac:dyDescent="0.25">
      <c r="A292" s="281">
        <f>A274+1</f>
        <v>44586</v>
      </c>
      <c r="B292" s="296" t="s">
        <v>54</v>
      </c>
      <c r="C292" s="43"/>
      <c r="D292" s="37" t="s">
        <v>1256</v>
      </c>
      <c r="E292" s="37"/>
      <c r="F292" s="37"/>
      <c r="G292" s="37"/>
      <c r="H292" s="55" t="s">
        <v>1257</v>
      </c>
      <c r="I292" s="57">
        <v>25</v>
      </c>
      <c r="J292" s="57" t="s">
        <v>1258</v>
      </c>
      <c r="K292" s="57" t="s">
        <v>1259</v>
      </c>
      <c r="L292" s="57" t="s">
        <v>1260</v>
      </c>
      <c r="M292" s="283">
        <v>1600</v>
      </c>
    </row>
    <row r="293" spans="1:13" ht="31.5" x14ac:dyDescent="0.25">
      <c r="A293" s="284">
        <v>12000</v>
      </c>
      <c r="B293" s="297" t="s">
        <v>57</v>
      </c>
      <c r="C293" s="43"/>
      <c r="D293" s="37" t="s">
        <v>1261</v>
      </c>
      <c r="E293" s="37"/>
      <c r="F293" s="37"/>
      <c r="G293" s="37"/>
      <c r="H293" s="55"/>
      <c r="I293" s="57"/>
      <c r="J293" s="57"/>
      <c r="K293" s="57"/>
      <c r="L293" s="293" t="s">
        <v>1262</v>
      </c>
      <c r="M293" s="283">
        <v>0</v>
      </c>
    </row>
    <row r="294" spans="1:13" x14ac:dyDescent="0.25">
      <c r="A294" s="284">
        <v>0</v>
      </c>
      <c r="B294" s="297" t="s">
        <v>58</v>
      </c>
      <c r="C294" s="43"/>
      <c r="D294" s="37" t="s">
        <v>1263</v>
      </c>
      <c r="E294" s="37"/>
      <c r="F294" s="37"/>
      <c r="G294" s="37"/>
      <c r="H294" s="310"/>
      <c r="I294" s="302"/>
      <c r="J294" s="302"/>
      <c r="K294" s="302"/>
      <c r="L294" s="302"/>
      <c r="M294" s="283">
        <v>0</v>
      </c>
    </row>
    <row r="295" spans="1:13" x14ac:dyDescent="0.25">
      <c r="A295" s="284">
        <v>0</v>
      </c>
      <c r="B295" s="297" t="s">
        <v>59</v>
      </c>
      <c r="C295" s="43"/>
      <c r="D295" s="37"/>
      <c r="E295" s="37"/>
      <c r="F295" s="37"/>
      <c r="G295" s="37"/>
      <c r="H295" s="310"/>
      <c r="I295" s="65"/>
      <c r="J295" s="65"/>
      <c r="K295" s="65"/>
      <c r="L295" s="65"/>
      <c r="M295" s="283">
        <v>1688</v>
      </c>
    </row>
    <row r="296" spans="1:13" ht="110.25" x14ac:dyDescent="0.25">
      <c r="A296" s="284">
        <v>0</v>
      </c>
      <c r="B296" s="297" t="s">
        <v>60</v>
      </c>
      <c r="C296" s="55" t="s">
        <v>1264</v>
      </c>
      <c r="D296" s="57">
        <v>60</v>
      </c>
      <c r="E296" s="57" t="s">
        <v>1148</v>
      </c>
      <c r="F296" s="57" t="s">
        <v>1265</v>
      </c>
      <c r="G296" s="125">
        <v>44585</v>
      </c>
      <c r="H296" s="310"/>
      <c r="I296" s="65"/>
      <c r="J296" s="65"/>
      <c r="K296" s="65"/>
      <c r="L296" s="65"/>
      <c r="M296" s="283">
        <v>0</v>
      </c>
    </row>
    <row r="297" spans="1:13" ht="47.25" x14ac:dyDescent="0.25">
      <c r="A297" s="284">
        <v>0</v>
      </c>
      <c r="B297" s="297" t="s">
        <v>61</v>
      </c>
      <c r="C297" s="55" t="s">
        <v>1266</v>
      </c>
      <c r="D297" s="57"/>
      <c r="E297" s="57"/>
      <c r="F297" s="57" t="s">
        <v>1267</v>
      </c>
      <c r="G297" s="57" t="s">
        <v>1268</v>
      </c>
      <c r="H297" s="310"/>
      <c r="I297" s="65"/>
      <c r="J297" s="65"/>
      <c r="K297" s="65"/>
      <c r="L297" s="65"/>
      <c r="M297" s="283">
        <v>0</v>
      </c>
    </row>
    <row r="298" spans="1:13" x14ac:dyDescent="0.25">
      <c r="A298" s="284">
        <v>0</v>
      </c>
      <c r="B298" s="297" t="s">
        <v>62</v>
      </c>
      <c r="C298" s="55"/>
      <c r="D298" s="57"/>
      <c r="E298" s="57"/>
      <c r="F298" s="57">
        <v>2</v>
      </c>
      <c r="G298" s="57"/>
      <c r="H298" s="310"/>
      <c r="I298" s="65"/>
      <c r="J298" s="65"/>
      <c r="K298" s="65"/>
      <c r="L298" s="65"/>
      <c r="M298" s="283">
        <v>0</v>
      </c>
    </row>
    <row r="299" spans="1:13" x14ac:dyDescent="0.25">
      <c r="A299" s="284">
        <v>0</v>
      </c>
      <c r="B299" s="297" t="s">
        <v>63</v>
      </c>
      <c r="C299" s="43"/>
      <c r="D299" s="65"/>
      <c r="E299" s="65"/>
      <c r="F299" s="65">
        <v>3</v>
      </c>
      <c r="G299" s="65"/>
      <c r="H299" s="310"/>
      <c r="I299" s="65"/>
      <c r="J299" s="65"/>
      <c r="K299" s="65"/>
      <c r="L299" s="82"/>
      <c r="M299" s="283">
        <v>0</v>
      </c>
    </row>
    <row r="300" spans="1:13" x14ac:dyDescent="0.25">
      <c r="A300" s="284">
        <v>0</v>
      </c>
      <c r="B300" s="297" t="s">
        <v>64</v>
      </c>
      <c r="C300" s="43"/>
      <c r="D300" s="65"/>
      <c r="E300" s="65"/>
      <c r="F300" s="65">
        <v>4</v>
      </c>
      <c r="G300" s="65"/>
      <c r="H300" s="43"/>
      <c r="I300" s="65"/>
      <c r="J300" s="65"/>
      <c r="K300" s="65"/>
      <c r="L300" s="65"/>
      <c r="M300" s="283">
        <v>0</v>
      </c>
    </row>
    <row r="301" spans="1:13" x14ac:dyDescent="0.25">
      <c r="A301" s="284">
        <v>0</v>
      </c>
      <c r="B301" s="297" t="s">
        <v>65</v>
      </c>
      <c r="C301" s="43"/>
      <c r="D301" s="65"/>
      <c r="E301" s="65"/>
      <c r="F301" s="65">
        <v>5</v>
      </c>
      <c r="G301" s="65"/>
      <c r="H301" s="43"/>
      <c r="I301" s="65"/>
      <c r="J301" s="65"/>
      <c r="K301" s="65"/>
      <c r="L301" s="82"/>
      <c r="M301" s="8">
        <f>SUM(M292:M300)</f>
        <v>3288</v>
      </c>
    </row>
    <row r="302" spans="1:13" x14ac:dyDescent="0.25">
      <c r="A302" s="284">
        <v>0</v>
      </c>
      <c r="B302" s="297" t="s">
        <v>66</v>
      </c>
      <c r="C302" s="43"/>
      <c r="D302" s="65"/>
      <c r="E302" s="65"/>
      <c r="F302" s="65">
        <v>6</v>
      </c>
      <c r="G302" s="65"/>
      <c r="H302" s="43"/>
      <c r="I302" s="65"/>
      <c r="J302" s="65"/>
      <c r="K302" s="65"/>
      <c r="L302" s="82"/>
      <c r="M302" s="43"/>
    </row>
    <row r="303" spans="1:13" x14ac:dyDescent="0.25">
      <c r="A303" s="284">
        <v>0</v>
      </c>
      <c r="B303" s="297" t="s">
        <v>67</v>
      </c>
      <c r="C303" s="43"/>
      <c r="D303" s="65"/>
      <c r="E303" s="65"/>
      <c r="F303" s="65">
        <v>7</v>
      </c>
      <c r="G303" s="65"/>
      <c r="H303" s="43"/>
      <c r="I303" s="65"/>
      <c r="J303" s="65"/>
      <c r="K303" s="65"/>
      <c r="L303" s="82"/>
      <c r="M303" s="43"/>
    </row>
    <row r="304" spans="1:13" x14ac:dyDescent="0.25">
      <c r="A304" s="284">
        <v>0</v>
      </c>
      <c r="B304" s="297" t="s">
        <v>68</v>
      </c>
      <c r="C304" s="43"/>
      <c r="D304" s="65"/>
      <c r="E304" s="65"/>
      <c r="F304" s="65">
        <v>8</v>
      </c>
      <c r="G304" s="65"/>
      <c r="H304" s="43"/>
      <c r="I304" s="65"/>
      <c r="J304" s="65"/>
      <c r="K304" s="65"/>
      <c r="L304" s="82"/>
      <c r="M304" s="43"/>
    </row>
    <row r="305" spans="1:13" x14ac:dyDescent="0.25">
      <c r="A305" s="284">
        <v>0</v>
      </c>
      <c r="B305" s="298">
        <v>0.79166666666666663</v>
      </c>
      <c r="C305" s="43"/>
      <c r="D305" s="65"/>
      <c r="E305" s="65"/>
      <c r="F305" s="65">
        <v>9</v>
      </c>
      <c r="G305" s="65"/>
      <c r="H305" s="43"/>
      <c r="I305" s="65"/>
      <c r="J305" s="65"/>
      <c r="K305" s="65"/>
      <c r="L305" s="82"/>
      <c r="M305" s="43"/>
    </row>
    <row r="306" spans="1:13" x14ac:dyDescent="0.25">
      <c r="A306" s="284">
        <v>0</v>
      </c>
      <c r="B306" s="298">
        <v>0.83333333333333337</v>
      </c>
      <c r="C306" s="43"/>
      <c r="D306" s="65"/>
      <c r="E306" s="65"/>
      <c r="F306" s="65"/>
      <c r="G306" s="65"/>
      <c r="H306" s="43"/>
      <c r="I306" s="65"/>
      <c r="J306" s="65"/>
      <c r="K306" s="65"/>
      <c r="L306" s="82"/>
      <c r="M306" s="43"/>
    </row>
    <row r="307" spans="1:13" x14ac:dyDescent="0.25">
      <c r="A307" s="284">
        <v>0</v>
      </c>
      <c r="B307" s="298">
        <v>0.875</v>
      </c>
      <c r="C307" s="43"/>
      <c r="D307" s="65"/>
      <c r="E307" s="65"/>
      <c r="F307" s="65"/>
      <c r="G307" s="65"/>
      <c r="H307" s="43"/>
      <c r="I307" s="65"/>
      <c r="J307" s="65"/>
      <c r="K307" s="65"/>
      <c r="L307" s="82"/>
      <c r="M307" s="43"/>
    </row>
    <row r="308" spans="1:13" x14ac:dyDescent="0.25">
      <c r="A308" s="284">
        <v>0</v>
      </c>
      <c r="B308" s="298">
        <v>0.91666666666666663</v>
      </c>
      <c r="C308" s="43"/>
      <c r="D308" s="65"/>
      <c r="E308" s="65"/>
      <c r="F308" s="65"/>
      <c r="G308" s="65"/>
      <c r="H308" s="43"/>
      <c r="I308" s="65"/>
      <c r="J308" s="65"/>
      <c r="K308" s="65"/>
      <c r="L308" s="82"/>
      <c r="M308" s="43"/>
    </row>
    <row r="309" spans="1:13" x14ac:dyDescent="0.25">
      <c r="A309" s="265">
        <f>SUM(A293:A308)</f>
        <v>12000</v>
      </c>
      <c r="B309" s="299">
        <v>0.94791666666666663</v>
      </c>
      <c r="C309" s="43"/>
      <c r="D309" s="65"/>
      <c r="E309" s="65"/>
      <c r="F309" s="65"/>
      <c r="G309" s="65"/>
      <c r="H309" s="43"/>
      <c r="I309" s="65"/>
      <c r="J309" s="65"/>
      <c r="K309" s="65"/>
      <c r="L309" s="82"/>
      <c r="M309" s="43"/>
    </row>
    <row r="310" spans="1:13" ht="47.25" x14ac:dyDescent="0.25">
      <c r="A310" s="281">
        <f>A292+1</f>
        <v>44587</v>
      </c>
      <c r="B310" s="296" t="s">
        <v>54</v>
      </c>
      <c r="C310" s="87" t="s">
        <v>1269</v>
      </c>
      <c r="D310" s="311"/>
      <c r="E310" s="311"/>
      <c r="F310" s="311">
        <v>10</v>
      </c>
      <c r="G310" s="311"/>
      <c r="H310" s="55" t="s">
        <v>1270</v>
      </c>
      <c r="I310" s="57">
        <v>40</v>
      </c>
      <c r="J310" s="57" t="s">
        <v>1271</v>
      </c>
      <c r="K310" s="57" t="s">
        <v>1272</v>
      </c>
      <c r="L310" s="125">
        <v>44589</v>
      </c>
      <c r="M310" s="283">
        <v>5536</v>
      </c>
    </row>
    <row r="311" spans="1:13" x14ac:dyDescent="0.25">
      <c r="A311" s="284">
        <v>8000</v>
      </c>
      <c r="B311" s="297" t="s">
        <v>57</v>
      </c>
      <c r="C311" s="87"/>
      <c r="D311" s="311"/>
      <c r="E311" s="311"/>
      <c r="F311" s="311">
        <v>11</v>
      </c>
      <c r="G311" s="311"/>
      <c r="H311" s="43"/>
      <c r="I311" s="65"/>
      <c r="J311" s="65"/>
      <c r="K311" s="65">
        <v>2</v>
      </c>
      <c r="L311" s="65"/>
      <c r="M311" s="283">
        <v>0</v>
      </c>
    </row>
    <row r="312" spans="1:13" x14ac:dyDescent="0.25">
      <c r="A312" s="284">
        <v>0</v>
      </c>
      <c r="B312" s="297" t="s">
        <v>58</v>
      </c>
      <c r="C312" s="87"/>
      <c r="D312" s="311"/>
      <c r="E312" s="311"/>
      <c r="F312" s="311">
        <v>12</v>
      </c>
      <c r="G312" s="311"/>
      <c r="H312" s="43"/>
      <c r="I312" s="65"/>
      <c r="J312" s="65"/>
      <c r="K312" s="65">
        <v>3</v>
      </c>
      <c r="L312" s="65"/>
      <c r="M312" s="283">
        <v>0</v>
      </c>
    </row>
    <row r="313" spans="1:13" x14ac:dyDescent="0.25">
      <c r="A313" s="284">
        <v>0</v>
      </c>
      <c r="B313" s="297" t="s">
        <v>59</v>
      </c>
      <c r="C313" s="87"/>
      <c r="D313" s="311"/>
      <c r="E313" s="311"/>
      <c r="F313" s="311">
        <v>13</v>
      </c>
      <c r="G313" s="311"/>
      <c r="H313" s="43"/>
      <c r="I313" s="65"/>
      <c r="J313" s="65"/>
      <c r="K313" s="65">
        <v>4</v>
      </c>
      <c r="L313" s="65"/>
      <c r="M313" s="283">
        <v>0</v>
      </c>
    </row>
    <row r="314" spans="1:13" x14ac:dyDescent="0.25">
      <c r="A314" s="284">
        <v>0</v>
      </c>
      <c r="B314" s="297" t="s">
        <v>60</v>
      </c>
      <c r="C314" s="87"/>
      <c r="D314" s="311"/>
      <c r="E314" s="311"/>
      <c r="F314" s="311">
        <v>14</v>
      </c>
      <c r="G314" s="311"/>
      <c r="H314" s="43"/>
      <c r="I314" s="65"/>
      <c r="J314" s="65"/>
      <c r="K314" s="65">
        <v>5</v>
      </c>
      <c r="L314" s="65"/>
      <c r="M314" s="283">
        <v>0</v>
      </c>
    </row>
    <row r="315" spans="1:13" x14ac:dyDescent="0.25">
      <c r="A315" s="284">
        <v>0</v>
      </c>
      <c r="B315" s="297" t="s">
        <v>61</v>
      </c>
      <c r="C315" s="87"/>
      <c r="D315" s="172"/>
      <c r="E315" s="172"/>
      <c r="F315" s="172">
        <v>15</v>
      </c>
      <c r="G315" s="172"/>
      <c r="H315" s="43"/>
      <c r="I315" s="65"/>
      <c r="J315" s="65"/>
      <c r="K315" s="65">
        <v>6</v>
      </c>
      <c r="L315" s="65"/>
      <c r="M315" s="283">
        <v>0</v>
      </c>
    </row>
    <row r="316" spans="1:13" x14ac:dyDescent="0.25">
      <c r="A316" s="284">
        <v>0</v>
      </c>
      <c r="B316" s="297" t="s">
        <v>62</v>
      </c>
      <c r="C316" s="87"/>
      <c r="D316" s="172"/>
      <c r="E316" s="172"/>
      <c r="F316" s="172">
        <v>16</v>
      </c>
      <c r="G316" s="172"/>
      <c r="H316" s="43"/>
      <c r="I316" s="65"/>
      <c r="J316" s="65"/>
      <c r="K316" s="65"/>
      <c r="L316" s="65"/>
      <c r="M316" s="283">
        <v>0</v>
      </c>
    </row>
    <row r="317" spans="1:13" x14ac:dyDescent="0.25">
      <c r="A317" s="284">
        <v>0</v>
      </c>
      <c r="B317" s="297" t="s">
        <v>63</v>
      </c>
      <c r="C317" s="87"/>
      <c r="D317" s="172"/>
      <c r="E317" s="172"/>
      <c r="F317" s="172"/>
      <c r="G317" s="172"/>
      <c r="H317" s="43"/>
      <c r="I317" s="65"/>
      <c r="J317" s="65"/>
      <c r="K317" s="65"/>
      <c r="L317" s="65"/>
      <c r="M317" s="283">
        <v>0</v>
      </c>
    </row>
    <row r="318" spans="1:13" ht="126" x14ac:dyDescent="0.25">
      <c r="A318" s="284">
        <v>10000</v>
      </c>
      <c r="B318" s="297" t="s">
        <v>64</v>
      </c>
      <c r="C318" s="55" t="s">
        <v>1273</v>
      </c>
      <c r="D318" s="57">
        <v>60</v>
      </c>
      <c r="E318" s="57" t="s">
        <v>1167</v>
      </c>
      <c r="F318" s="57" t="s">
        <v>1274</v>
      </c>
      <c r="G318" s="125">
        <v>44585</v>
      </c>
      <c r="H318" s="43"/>
      <c r="I318" s="65"/>
      <c r="J318" s="65"/>
      <c r="K318" s="65"/>
      <c r="L318" s="65"/>
      <c r="M318" s="283">
        <v>0</v>
      </c>
    </row>
    <row r="319" spans="1:13" x14ac:dyDescent="0.25">
      <c r="A319" s="284">
        <v>0</v>
      </c>
      <c r="B319" s="297" t="s">
        <v>65</v>
      </c>
      <c r="C319" s="43"/>
      <c r="D319" s="65"/>
      <c r="E319" s="65"/>
      <c r="F319" s="65">
        <v>2</v>
      </c>
      <c r="G319" s="82"/>
      <c r="H319" s="43"/>
      <c r="I319" s="65"/>
      <c r="J319" s="65"/>
      <c r="K319" s="65"/>
      <c r="L319" s="82"/>
      <c r="M319" s="8">
        <f>SUM(M310:M318)</f>
        <v>5536</v>
      </c>
    </row>
    <row r="320" spans="1:13" x14ac:dyDescent="0.25">
      <c r="A320" s="284">
        <v>0</v>
      </c>
      <c r="B320" s="297" t="s">
        <v>66</v>
      </c>
      <c r="C320" s="43"/>
      <c r="D320" s="65"/>
      <c r="E320" s="65"/>
      <c r="F320" s="65">
        <v>3</v>
      </c>
      <c r="G320" s="82"/>
      <c r="H320" s="43"/>
      <c r="I320" s="65"/>
      <c r="J320" s="65"/>
      <c r="K320" s="65"/>
      <c r="L320" s="82"/>
      <c r="M320" s="43"/>
    </row>
    <row r="321" spans="1:13" x14ac:dyDescent="0.25">
      <c r="A321" s="284">
        <v>0</v>
      </c>
      <c r="B321" s="297" t="s">
        <v>67</v>
      </c>
      <c r="C321" s="43"/>
      <c r="D321" s="65"/>
      <c r="E321" s="65"/>
      <c r="F321" s="65">
        <v>4</v>
      </c>
      <c r="G321" s="82"/>
      <c r="H321" s="43"/>
      <c r="I321" s="65"/>
      <c r="J321" s="65"/>
      <c r="K321" s="65"/>
      <c r="L321" s="82"/>
      <c r="M321" s="43"/>
    </row>
    <row r="322" spans="1:13" x14ac:dyDescent="0.25">
      <c r="A322" s="284">
        <v>0</v>
      </c>
      <c r="B322" s="297" t="s">
        <v>68</v>
      </c>
      <c r="C322" s="43"/>
      <c r="D322" s="65"/>
      <c r="E322" s="65"/>
      <c r="F322" s="65">
        <v>5</v>
      </c>
      <c r="G322" s="82"/>
      <c r="H322" s="43"/>
      <c r="I322" s="65"/>
      <c r="J322" s="65"/>
      <c r="K322" s="65"/>
      <c r="L322" s="82"/>
      <c r="M322" s="43"/>
    </row>
    <row r="323" spans="1:13" x14ac:dyDescent="0.25">
      <c r="A323" s="284">
        <v>0</v>
      </c>
      <c r="B323" s="298">
        <v>0.79166666666666663</v>
      </c>
      <c r="C323" s="43"/>
      <c r="D323" s="65"/>
      <c r="E323" s="65"/>
      <c r="F323" s="65">
        <v>6</v>
      </c>
      <c r="G323" s="82"/>
      <c r="H323" s="43"/>
      <c r="I323" s="65"/>
      <c r="J323" s="65"/>
      <c r="K323" s="65"/>
      <c r="L323" s="82"/>
      <c r="M323" s="43"/>
    </row>
    <row r="324" spans="1:13" x14ac:dyDescent="0.25">
      <c r="A324" s="284">
        <v>0</v>
      </c>
      <c r="B324" s="298">
        <v>0.83333333333333337</v>
      </c>
      <c r="C324" s="43"/>
      <c r="D324" s="65"/>
      <c r="E324" s="65"/>
      <c r="F324" s="65">
        <v>7</v>
      </c>
      <c r="G324" s="82"/>
      <c r="H324" s="43"/>
      <c r="I324" s="65"/>
      <c r="J324" s="65"/>
      <c r="K324" s="65"/>
      <c r="L324" s="82"/>
      <c r="M324" s="43"/>
    </row>
    <row r="325" spans="1:13" x14ac:dyDescent="0.25">
      <c r="A325" s="284">
        <v>0</v>
      </c>
      <c r="B325" s="298">
        <v>0.875</v>
      </c>
      <c r="C325" s="43"/>
      <c r="D325" s="194"/>
      <c r="E325" s="194"/>
      <c r="F325" s="194"/>
      <c r="G325" s="194"/>
      <c r="H325" s="43"/>
      <c r="I325" s="65"/>
      <c r="J325" s="65"/>
      <c r="K325" s="65"/>
      <c r="L325" s="82"/>
      <c r="M325" s="43"/>
    </row>
    <row r="326" spans="1:13" x14ac:dyDescent="0.25">
      <c r="A326" s="284">
        <v>0</v>
      </c>
      <c r="B326" s="298">
        <v>0.91666666666666663</v>
      </c>
      <c r="C326" s="43"/>
      <c r="D326" s="194"/>
      <c r="E326" s="194"/>
      <c r="F326" s="194"/>
      <c r="G326" s="194"/>
      <c r="H326" s="43"/>
      <c r="I326" s="65"/>
      <c r="J326" s="65"/>
      <c r="K326" s="65"/>
      <c r="L326" s="82"/>
      <c r="M326" s="43"/>
    </row>
    <row r="327" spans="1:13" x14ac:dyDescent="0.25">
      <c r="A327" s="265">
        <f>SUM(A311:A326)</f>
        <v>18000</v>
      </c>
      <c r="B327" s="299">
        <v>0.94791666666666663</v>
      </c>
      <c r="C327" s="43"/>
      <c r="D327" s="194"/>
      <c r="E327" s="194"/>
      <c r="F327" s="194"/>
      <c r="G327" s="194"/>
      <c r="H327" s="43"/>
      <c r="I327" s="65"/>
      <c r="J327" s="65"/>
      <c r="K327" s="65"/>
      <c r="L327" s="82"/>
      <c r="M327" s="43"/>
    </row>
    <row r="328" spans="1:13" ht="47.25" x14ac:dyDescent="0.25">
      <c r="A328" s="281">
        <f>A310+1</f>
        <v>44588</v>
      </c>
      <c r="B328" s="296" t="s">
        <v>54</v>
      </c>
      <c r="C328" s="43" t="s">
        <v>1275</v>
      </c>
      <c r="D328" s="65"/>
      <c r="E328" s="65"/>
      <c r="F328" s="65">
        <v>8</v>
      </c>
      <c r="G328" s="82"/>
      <c r="H328" s="55" t="s">
        <v>1276</v>
      </c>
      <c r="I328" s="57">
        <v>48</v>
      </c>
      <c r="J328" s="57" t="s">
        <v>248</v>
      </c>
      <c r="K328" s="57" t="s">
        <v>1277</v>
      </c>
      <c r="L328" s="125">
        <v>44592</v>
      </c>
      <c r="M328" s="283">
        <v>781</v>
      </c>
    </row>
    <row r="329" spans="1:13" ht="31.5" x14ac:dyDescent="0.25">
      <c r="A329" s="284">
        <v>6000</v>
      </c>
      <c r="B329" s="297" t="s">
        <v>57</v>
      </c>
      <c r="C329" s="43"/>
      <c r="D329" s="65"/>
      <c r="E329" s="65"/>
      <c r="F329" s="65">
        <v>9</v>
      </c>
      <c r="G329" s="82"/>
      <c r="H329" s="55" t="s">
        <v>1278</v>
      </c>
      <c r="I329" s="57"/>
      <c r="J329" s="57"/>
      <c r="K329" s="57"/>
      <c r="L329" s="146" t="s">
        <v>1279</v>
      </c>
      <c r="M329" s="283">
        <v>0</v>
      </c>
    </row>
    <row r="330" spans="1:13" x14ac:dyDescent="0.25">
      <c r="A330" s="284">
        <v>0</v>
      </c>
      <c r="B330" s="297" t="s">
        <v>58</v>
      </c>
      <c r="C330" s="43"/>
      <c r="D330" s="65"/>
      <c r="E330" s="65"/>
      <c r="F330" s="65">
        <v>10</v>
      </c>
      <c r="G330" s="82"/>
      <c r="H330" s="43"/>
      <c r="I330" s="65"/>
      <c r="J330" s="65"/>
      <c r="K330" s="65"/>
      <c r="L330" s="82"/>
      <c r="M330" s="283">
        <v>0</v>
      </c>
    </row>
    <row r="331" spans="1:13" x14ac:dyDescent="0.25">
      <c r="A331" s="284">
        <v>0</v>
      </c>
      <c r="B331" s="297" t="s">
        <v>59</v>
      </c>
      <c r="C331" s="43"/>
      <c r="D331" s="65"/>
      <c r="E331" s="65"/>
      <c r="F331" s="65">
        <v>11</v>
      </c>
      <c r="G331" s="82"/>
      <c r="H331" s="43"/>
      <c r="I331" s="65"/>
      <c r="J331" s="65"/>
      <c r="K331" s="65"/>
      <c r="L331" s="82"/>
      <c r="M331" s="283">
        <v>0</v>
      </c>
    </row>
    <row r="332" spans="1:13" ht="47.25" x14ac:dyDescent="0.25">
      <c r="A332" s="284">
        <v>0</v>
      </c>
      <c r="B332" s="297" t="s">
        <v>60</v>
      </c>
      <c r="C332" s="43"/>
      <c r="D332" s="65"/>
      <c r="E332" s="65"/>
      <c r="F332" s="65">
        <v>12</v>
      </c>
      <c r="G332" s="65"/>
      <c r="H332" s="55" t="s">
        <v>1280</v>
      </c>
      <c r="I332" s="57">
        <v>52.5</v>
      </c>
      <c r="J332" s="57" t="s">
        <v>1281</v>
      </c>
      <c r="K332" s="57" t="s">
        <v>1282</v>
      </c>
      <c r="L332" s="125">
        <v>44592</v>
      </c>
      <c r="M332" s="283">
        <v>853</v>
      </c>
    </row>
    <row r="333" spans="1:13" ht="31.5" x14ac:dyDescent="0.25">
      <c r="A333" s="284">
        <v>0</v>
      </c>
      <c r="B333" s="297" t="s">
        <v>61</v>
      </c>
      <c r="C333" s="43"/>
      <c r="D333" s="65"/>
      <c r="E333" s="65"/>
      <c r="F333" s="65">
        <v>13</v>
      </c>
      <c r="G333" s="65"/>
      <c r="H333" s="55" t="s">
        <v>1283</v>
      </c>
      <c r="I333" s="57"/>
      <c r="J333" s="57"/>
      <c r="K333" s="57"/>
      <c r="L333" s="57" t="s">
        <v>298</v>
      </c>
      <c r="M333" s="283">
        <v>0</v>
      </c>
    </row>
    <row r="334" spans="1:13" ht="78.75" x14ac:dyDescent="0.25">
      <c r="A334" s="284">
        <v>2886</v>
      </c>
      <c r="B334" s="297" t="s">
        <v>62</v>
      </c>
      <c r="C334" s="55" t="s">
        <v>1284</v>
      </c>
      <c r="D334" s="57">
        <v>58</v>
      </c>
      <c r="E334" s="57" t="s">
        <v>1271</v>
      </c>
      <c r="F334" s="57" t="s">
        <v>1285</v>
      </c>
      <c r="G334" s="125">
        <v>44586</v>
      </c>
      <c r="H334" s="43"/>
      <c r="I334" s="65"/>
      <c r="J334" s="65"/>
      <c r="K334" s="65"/>
      <c r="L334" s="82"/>
      <c r="M334" s="283">
        <v>0</v>
      </c>
    </row>
    <row r="335" spans="1:13" ht="63" x14ac:dyDescent="0.25">
      <c r="A335" s="284">
        <v>0</v>
      </c>
      <c r="B335" s="297" t="s">
        <v>63</v>
      </c>
      <c r="C335" s="55" t="s">
        <v>1286</v>
      </c>
      <c r="D335" s="65"/>
      <c r="E335" s="65"/>
      <c r="F335" s="65">
        <v>2</v>
      </c>
      <c r="G335" s="312" t="s">
        <v>1287</v>
      </c>
      <c r="H335" s="43"/>
      <c r="I335" s="65"/>
      <c r="J335" s="65"/>
      <c r="K335" s="65"/>
      <c r="L335" s="82"/>
      <c r="M335" s="283">
        <v>0</v>
      </c>
    </row>
    <row r="336" spans="1:13" x14ac:dyDescent="0.25">
      <c r="A336" s="284">
        <v>0</v>
      </c>
      <c r="B336" s="297" t="s">
        <v>64</v>
      </c>
      <c r="C336" s="43"/>
      <c r="D336" s="65"/>
      <c r="E336" s="65"/>
      <c r="F336" s="65">
        <v>3</v>
      </c>
      <c r="G336" s="65"/>
      <c r="H336" s="43"/>
      <c r="I336" s="65"/>
      <c r="J336" s="65"/>
      <c r="K336" s="65"/>
      <c r="L336" s="65"/>
      <c r="M336" s="283">
        <v>0</v>
      </c>
    </row>
    <row r="337" spans="1:13" ht="126" x14ac:dyDescent="0.25">
      <c r="A337" s="284">
        <v>1341</v>
      </c>
      <c r="B337" s="297" t="s">
        <v>65</v>
      </c>
      <c r="C337" s="55" t="s">
        <v>1288</v>
      </c>
      <c r="D337" s="57">
        <v>48</v>
      </c>
      <c r="E337" s="57" t="s">
        <v>1289</v>
      </c>
      <c r="F337" s="57" t="s">
        <v>1290</v>
      </c>
      <c r="G337" s="293">
        <v>44586</v>
      </c>
      <c r="H337" s="43"/>
      <c r="I337" s="65"/>
      <c r="J337" s="65"/>
      <c r="K337" s="65"/>
      <c r="L337" s="82"/>
      <c r="M337" s="8">
        <f>SUM(M328:M336)</f>
        <v>1634</v>
      </c>
    </row>
    <row r="338" spans="1:13" ht="31.5" x14ac:dyDescent="0.25">
      <c r="A338" s="284">
        <v>0</v>
      </c>
      <c r="B338" s="297" t="s">
        <v>66</v>
      </c>
      <c r="C338" s="55" t="s">
        <v>1291</v>
      </c>
      <c r="D338" s="57"/>
      <c r="E338" s="57"/>
      <c r="F338" s="57"/>
      <c r="G338" s="57" t="s">
        <v>1268</v>
      </c>
      <c r="H338" s="43"/>
      <c r="I338" s="65"/>
      <c r="J338" s="65"/>
      <c r="K338" s="65"/>
      <c r="L338" s="82"/>
      <c r="M338" s="43"/>
    </row>
    <row r="339" spans="1:13" x14ac:dyDescent="0.25">
      <c r="A339" s="284">
        <v>0</v>
      </c>
      <c r="B339" s="297" t="s">
        <v>67</v>
      </c>
      <c r="C339" s="43"/>
      <c r="D339" s="65"/>
      <c r="E339" s="65"/>
      <c r="F339" s="65"/>
      <c r="G339" s="82"/>
      <c r="H339" s="43"/>
      <c r="I339" s="65"/>
      <c r="J339" s="65"/>
      <c r="K339" s="65"/>
      <c r="L339" s="82"/>
      <c r="M339" s="43"/>
    </row>
    <row r="340" spans="1:13" x14ac:dyDescent="0.25">
      <c r="A340" s="284">
        <v>0</v>
      </c>
      <c r="B340" s="297" t="s">
        <v>68</v>
      </c>
      <c r="C340" s="43"/>
      <c r="D340" s="65"/>
      <c r="E340" s="65"/>
      <c r="F340" s="65"/>
      <c r="G340" s="65"/>
      <c r="H340" s="43"/>
      <c r="I340" s="65"/>
      <c r="J340" s="65"/>
      <c r="K340" s="65"/>
      <c r="L340" s="82"/>
      <c r="M340" s="43"/>
    </row>
    <row r="341" spans="1:13" x14ac:dyDescent="0.25">
      <c r="A341" s="284">
        <v>0</v>
      </c>
      <c r="B341" s="298">
        <v>0.79166666666666663</v>
      </c>
      <c r="C341" s="43"/>
      <c r="D341" s="65" t="s">
        <v>1292</v>
      </c>
      <c r="E341" s="65"/>
      <c r="F341" s="65"/>
      <c r="G341" s="65"/>
      <c r="H341" s="43"/>
      <c r="I341" s="65"/>
      <c r="J341" s="65"/>
      <c r="K341" s="65"/>
      <c r="L341" s="82"/>
      <c r="M341" s="43"/>
    </row>
    <row r="342" spans="1:13" x14ac:dyDescent="0.25">
      <c r="A342" s="284">
        <v>0</v>
      </c>
      <c r="B342" s="298">
        <v>0.83333333333333337</v>
      </c>
      <c r="C342" s="43"/>
      <c r="D342" s="65" t="s">
        <v>1293</v>
      </c>
      <c r="E342" s="65"/>
      <c r="F342" s="65"/>
      <c r="G342" s="65"/>
      <c r="H342" s="43"/>
      <c r="I342" s="65"/>
      <c r="J342" s="65"/>
      <c r="K342" s="65"/>
      <c r="L342" s="82"/>
      <c r="M342" s="43"/>
    </row>
    <row r="343" spans="1:13" x14ac:dyDescent="0.25">
      <c r="A343" s="284">
        <v>0</v>
      </c>
      <c r="B343" s="298">
        <v>0.875</v>
      </c>
      <c r="C343" s="43"/>
      <c r="D343" s="65"/>
      <c r="E343" s="65"/>
      <c r="F343" s="65"/>
      <c r="G343" s="65"/>
      <c r="H343" s="43"/>
      <c r="I343" s="65"/>
      <c r="J343" s="65"/>
      <c r="K343" s="65"/>
      <c r="L343" s="82"/>
      <c r="M343" s="43"/>
    </row>
    <row r="344" spans="1:13" x14ac:dyDescent="0.25">
      <c r="A344" s="284">
        <v>0</v>
      </c>
      <c r="B344" s="298">
        <v>0.91666666666666663</v>
      </c>
      <c r="C344" s="43"/>
      <c r="D344" s="65"/>
      <c r="E344" s="65"/>
      <c r="F344" s="65"/>
      <c r="G344" s="65"/>
      <c r="H344" s="43"/>
      <c r="I344" s="65"/>
      <c r="J344" s="65"/>
      <c r="K344" s="65"/>
      <c r="L344" s="82"/>
      <c r="M344" s="43"/>
    </row>
    <row r="345" spans="1:13" x14ac:dyDescent="0.25">
      <c r="A345" s="265">
        <f>SUM(A329:A344)</f>
        <v>10227</v>
      </c>
      <c r="B345" s="299">
        <v>0.94791666666666663</v>
      </c>
      <c r="C345" s="43"/>
      <c r="D345" s="65"/>
      <c r="E345" s="65"/>
      <c r="F345" s="65"/>
      <c r="G345" s="65"/>
      <c r="H345" s="43"/>
      <c r="I345" s="65"/>
      <c r="J345" s="65"/>
      <c r="K345" s="65"/>
      <c r="L345" s="82"/>
      <c r="M345" s="43"/>
    </row>
    <row r="346" spans="1:13" ht="126" x14ac:dyDescent="0.25">
      <c r="A346" s="281">
        <f>A328+1</f>
        <v>44589</v>
      </c>
      <c r="B346" s="296" t="s">
        <v>54</v>
      </c>
      <c r="C346" s="55" t="s">
        <v>1294</v>
      </c>
      <c r="D346" s="84">
        <v>59.5</v>
      </c>
      <c r="E346" s="84" t="s">
        <v>1295</v>
      </c>
      <c r="F346" s="84" t="s">
        <v>1296</v>
      </c>
      <c r="G346" s="136">
        <v>44588</v>
      </c>
      <c r="H346" s="55" t="s">
        <v>1297</v>
      </c>
      <c r="I346" s="57">
        <v>54</v>
      </c>
      <c r="J346" s="57" t="s">
        <v>1238</v>
      </c>
      <c r="K346" s="57" t="s">
        <v>1298</v>
      </c>
      <c r="L346" s="125">
        <v>44592</v>
      </c>
      <c r="M346" s="283">
        <v>0</v>
      </c>
    </row>
    <row r="347" spans="1:13" ht="110.25" x14ac:dyDescent="0.25">
      <c r="A347" s="284">
        <v>8125</v>
      </c>
      <c r="B347" s="297" t="s">
        <v>57</v>
      </c>
      <c r="C347" s="55" t="s">
        <v>1299</v>
      </c>
      <c r="D347" s="84"/>
      <c r="E347" s="84"/>
      <c r="F347" s="84">
        <v>2</v>
      </c>
      <c r="G347" s="84"/>
      <c r="H347" s="55" t="s">
        <v>1300</v>
      </c>
      <c r="I347" s="57"/>
      <c r="J347" s="57"/>
      <c r="K347" s="57"/>
      <c r="L347" s="57" t="s">
        <v>298</v>
      </c>
      <c r="M347" s="283">
        <v>0</v>
      </c>
    </row>
    <row r="348" spans="1:13" ht="47.25" x14ac:dyDescent="0.25">
      <c r="A348" s="284">
        <v>0</v>
      </c>
      <c r="B348" s="297" t="s">
        <v>58</v>
      </c>
      <c r="C348" s="55" t="s">
        <v>1301</v>
      </c>
      <c r="D348" s="86"/>
      <c r="E348" s="86"/>
      <c r="F348" s="86">
        <v>3</v>
      </c>
      <c r="G348" s="86"/>
      <c r="H348" s="43"/>
      <c r="I348" s="65"/>
      <c r="J348" s="65"/>
      <c r="K348" s="65"/>
      <c r="L348" s="82"/>
      <c r="M348" s="283">
        <v>0</v>
      </c>
    </row>
    <row r="349" spans="1:13" ht="47.25" x14ac:dyDescent="0.25">
      <c r="A349" s="284">
        <v>0</v>
      </c>
      <c r="B349" s="297" t="s">
        <v>59</v>
      </c>
      <c r="C349" s="87" t="s">
        <v>1302</v>
      </c>
      <c r="D349" s="84"/>
      <c r="E349" s="84"/>
      <c r="F349" s="84">
        <v>4</v>
      </c>
      <c r="G349" s="84"/>
      <c r="H349" s="55" t="s">
        <v>1303</v>
      </c>
      <c r="I349" s="84">
        <v>60</v>
      </c>
      <c r="J349" s="84" t="s">
        <v>923</v>
      </c>
      <c r="K349" s="84" t="s">
        <v>1304</v>
      </c>
      <c r="L349" s="313">
        <v>44595</v>
      </c>
      <c r="M349" s="283">
        <v>0</v>
      </c>
    </row>
    <row r="350" spans="1:13" x14ac:dyDescent="0.25">
      <c r="A350" s="284">
        <v>0</v>
      </c>
      <c r="B350" s="297" t="s">
        <v>60</v>
      </c>
      <c r="C350" s="43"/>
      <c r="D350" s="84"/>
      <c r="E350" s="84"/>
      <c r="F350" s="84">
        <v>5</v>
      </c>
      <c r="G350" s="84"/>
      <c r="H350" s="55" t="s">
        <v>1305</v>
      </c>
      <c r="I350" s="86"/>
      <c r="J350" s="86"/>
      <c r="K350" s="86">
        <v>2</v>
      </c>
      <c r="L350" s="86"/>
      <c r="M350" s="283">
        <v>0</v>
      </c>
    </row>
    <row r="351" spans="1:13" x14ac:dyDescent="0.25">
      <c r="A351" s="284">
        <v>0</v>
      </c>
      <c r="B351" s="297" t="s">
        <v>61</v>
      </c>
      <c r="C351" s="43"/>
      <c r="D351" s="84"/>
      <c r="E351" s="84"/>
      <c r="F351" s="84">
        <v>6</v>
      </c>
      <c r="G351" s="84"/>
      <c r="H351" s="43"/>
      <c r="I351" s="86"/>
      <c r="J351" s="86"/>
      <c r="K351" s="86">
        <v>3</v>
      </c>
      <c r="L351" s="86"/>
      <c r="M351" s="283">
        <v>0</v>
      </c>
    </row>
    <row r="352" spans="1:13" x14ac:dyDescent="0.25">
      <c r="A352" s="284">
        <v>0</v>
      </c>
      <c r="B352" s="297" t="s">
        <v>62</v>
      </c>
      <c r="C352" s="43"/>
      <c r="D352" s="84" t="s">
        <v>1306</v>
      </c>
      <c r="E352" s="84"/>
      <c r="F352" s="84">
        <v>7</v>
      </c>
      <c r="G352" s="84"/>
      <c r="H352" s="43"/>
      <c r="I352" s="86"/>
      <c r="J352" s="86"/>
      <c r="K352" s="86"/>
      <c r="L352" s="304"/>
      <c r="M352" s="283">
        <v>0</v>
      </c>
    </row>
    <row r="353" spans="1:13" x14ac:dyDescent="0.25">
      <c r="A353" s="284">
        <v>0</v>
      </c>
      <c r="B353" s="297" t="s">
        <v>63</v>
      </c>
      <c r="C353" s="43"/>
      <c r="D353" s="84"/>
      <c r="E353" s="84"/>
      <c r="F353" s="84">
        <v>8</v>
      </c>
      <c r="G353" s="84"/>
      <c r="H353" s="43"/>
      <c r="I353" s="86"/>
      <c r="J353" s="86"/>
      <c r="K353" s="86"/>
      <c r="L353" s="304"/>
      <c r="M353" s="283">
        <v>0</v>
      </c>
    </row>
    <row r="354" spans="1:13" x14ac:dyDescent="0.25">
      <c r="A354" s="284">
        <v>0</v>
      </c>
      <c r="B354" s="297" t="s">
        <v>64</v>
      </c>
      <c r="C354" s="43"/>
      <c r="D354" s="84"/>
      <c r="E354" s="84"/>
      <c r="F354" s="84">
        <v>9</v>
      </c>
      <c r="G354" s="84"/>
      <c r="H354" s="43"/>
      <c r="I354" s="86"/>
      <c r="J354" s="86"/>
      <c r="K354" s="86"/>
      <c r="L354" s="86"/>
      <c r="M354" s="283">
        <v>0</v>
      </c>
    </row>
    <row r="355" spans="1:13" x14ac:dyDescent="0.25">
      <c r="A355" s="284">
        <v>0</v>
      </c>
      <c r="B355" s="297" t="s">
        <v>65</v>
      </c>
      <c r="C355" s="43"/>
      <c r="D355" s="84"/>
      <c r="E355" s="84"/>
      <c r="F355" s="84"/>
      <c r="G355" s="84"/>
      <c r="H355" s="43"/>
      <c r="I355" s="86"/>
      <c r="J355" s="86"/>
      <c r="K355" s="86"/>
      <c r="L355" s="304"/>
      <c r="M355" s="8">
        <f>SUM(M346:M354)</f>
        <v>0</v>
      </c>
    </row>
    <row r="356" spans="1:13" x14ac:dyDescent="0.25">
      <c r="A356" s="284">
        <v>0</v>
      </c>
      <c r="B356" s="297" t="s">
        <v>66</v>
      </c>
      <c r="C356" s="43"/>
      <c r="D356" s="84"/>
      <c r="E356" s="84"/>
      <c r="F356" s="84"/>
      <c r="G356" s="84"/>
      <c r="H356" s="43"/>
      <c r="I356" s="86"/>
      <c r="J356" s="86"/>
      <c r="K356" s="86"/>
      <c r="L356" s="304"/>
      <c r="M356" s="43"/>
    </row>
    <row r="357" spans="1:13" x14ac:dyDescent="0.25">
      <c r="A357" s="284">
        <v>0</v>
      </c>
      <c r="B357" s="297" t="s">
        <v>67</v>
      </c>
      <c r="C357" s="43"/>
      <c r="D357" s="84"/>
      <c r="E357" s="84"/>
      <c r="F357" s="84"/>
      <c r="G357" s="84"/>
      <c r="H357" s="43"/>
      <c r="I357" s="86"/>
      <c r="J357" s="86"/>
      <c r="K357" s="86"/>
      <c r="L357" s="304"/>
      <c r="M357" s="43"/>
    </row>
    <row r="358" spans="1:13" x14ac:dyDescent="0.25">
      <c r="A358" s="284">
        <v>0</v>
      </c>
      <c r="B358" s="297" t="s">
        <v>68</v>
      </c>
      <c r="C358" s="43"/>
      <c r="D358" s="84"/>
      <c r="E358" s="84"/>
      <c r="F358" s="84"/>
      <c r="G358" s="84"/>
      <c r="H358" s="43"/>
      <c r="I358" s="86"/>
      <c r="J358" s="86"/>
      <c r="K358" s="86"/>
      <c r="L358" s="304"/>
      <c r="M358" s="43"/>
    </row>
    <row r="359" spans="1:13" x14ac:dyDescent="0.25">
      <c r="A359" s="284">
        <v>0</v>
      </c>
      <c r="B359" s="298">
        <v>0.79166666666666663</v>
      </c>
      <c r="C359" s="43"/>
      <c r="D359" s="84"/>
      <c r="E359" s="84"/>
      <c r="F359" s="84"/>
      <c r="G359" s="84"/>
      <c r="H359" s="43"/>
      <c r="I359" s="86"/>
      <c r="J359" s="86"/>
      <c r="K359" s="86"/>
      <c r="L359" s="304"/>
      <c r="M359" s="43"/>
    </row>
    <row r="360" spans="1:13" x14ac:dyDescent="0.25">
      <c r="A360" s="284">
        <v>0</v>
      </c>
      <c r="B360" s="298">
        <v>0.83333333333333337</v>
      </c>
      <c r="C360" s="43"/>
      <c r="D360" s="86"/>
      <c r="E360" s="86"/>
      <c r="F360" s="86"/>
      <c r="G360" s="86"/>
      <c r="H360" s="43"/>
      <c r="I360" s="86"/>
      <c r="J360" s="86"/>
      <c r="K360" s="86"/>
      <c r="L360" s="304"/>
      <c r="M360" s="43"/>
    </row>
    <row r="361" spans="1:13" x14ac:dyDescent="0.25">
      <c r="A361" s="284">
        <v>0</v>
      </c>
      <c r="B361" s="298">
        <v>0.875</v>
      </c>
      <c r="C361" s="43"/>
      <c r="D361" s="86"/>
      <c r="E361" s="86"/>
      <c r="F361" s="86"/>
      <c r="G361" s="86"/>
      <c r="H361" s="43"/>
      <c r="I361" s="86"/>
      <c r="J361" s="86"/>
      <c r="K361" s="86"/>
      <c r="L361" s="304"/>
      <c r="M361" s="43"/>
    </row>
    <row r="362" spans="1:13" x14ac:dyDescent="0.25">
      <c r="A362" s="284">
        <v>0</v>
      </c>
      <c r="B362" s="298">
        <v>0.91666666666666663</v>
      </c>
      <c r="C362" s="43"/>
      <c r="D362" s="86"/>
      <c r="E362" s="86"/>
      <c r="F362" s="86"/>
      <c r="G362" s="86"/>
      <c r="H362" s="43"/>
      <c r="I362" s="86"/>
      <c r="J362" s="86"/>
      <c r="K362" s="86"/>
      <c r="L362" s="304"/>
      <c r="M362" s="43"/>
    </row>
    <row r="363" spans="1:13" x14ac:dyDescent="0.25">
      <c r="A363" s="265">
        <f>SUM(A347:A362)</f>
        <v>8125</v>
      </c>
      <c r="B363" s="299">
        <v>0.94791666666666663</v>
      </c>
      <c r="C363" s="43"/>
      <c r="D363" s="86"/>
      <c r="E363" s="86"/>
      <c r="F363" s="86"/>
      <c r="G363" s="86"/>
      <c r="H363" s="43"/>
      <c r="I363" s="86"/>
      <c r="J363" s="86"/>
      <c r="K363" s="86"/>
      <c r="L363" s="304"/>
      <c r="M363" s="43"/>
    </row>
    <row r="364" spans="1:13" ht="63" x14ac:dyDescent="0.25">
      <c r="A364" s="281">
        <f>A346+3</f>
        <v>44592</v>
      </c>
      <c r="B364" s="296" t="s">
        <v>54</v>
      </c>
      <c r="C364" s="55" t="s">
        <v>1307</v>
      </c>
      <c r="D364" s="57">
        <v>36</v>
      </c>
      <c r="E364" s="57" t="s">
        <v>1308</v>
      </c>
      <c r="F364" s="57" t="s">
        <v>1309</v>
      </c>
      <c r="G364" s="125">
        <v>44588</v>
      </c>
      <c r="H364" s="55" t="s">
        <v>1310</v>
      </c>
      <c r="I364" s="84">
        <v>28.125</v>
      </c>
      <c r="J364" s="84" t="s">
        <v>1311</v>
      </c>
      <c r="K364" s="84" t="s">
        <v>1312</v>
      </c>
      <c r="L364" s="136">
        <v>44593</v>
      </c>
      <c r="M364" s="283">
        <v>888</v>
      </c>
    </row>
    <row r="365" spans="1:13" ht="78.75" x14ac:dyDescent="0.25">
      <c r="A365" s="284">
        <v>4500</v>
      </c>
      <c r="B365" s="297" t="s">
        <v>57</v>
      </c>
      <c r="C365" s="55" t="s">
        <v>1313</v>
      </c>
      <c r="D365" s="57"/>
      <c r="E365" s="57"/>
      <c r="F365" s="57">
        <v>2</v>
      </c>
      <c r="G365" s="57" t="s">
        <v>1314</v>
      </c>
      <c r="H365" s="55" t="s">
        <v>1315</v>
      </c>
      <c r="I365" s="84" t="s">
        <v>1316</v>
      </c>
      <c r="J365" s="84" t="s">
        <v>1317</v>
      </c>
      <c r="K365" s="84"/>
      <c r="L365" s="84" t="s">
        <v>366</v>
      </c>
      <c r="M365" s="283">
        <v>0</v>
      </c>
    </row>
    <row r="366" spans="1:13" x14ac:dyDescent="0.25">
      <c r="A366" s="284">
        <v>0</v>
      </c>
      <c r="B366" s="297" t="s">
        <v>58</v>
      </c>
      <c r="C366" s="43"/>
      <c r="D366" s="65"/>
      <c r="E366" s="65"/>
      <c r="F366" s="65">
        <v>3</v>
      </c>
      <c r="G366" s="65"/>
      <c r="H366" s="43"/>
      <c r="I366" s="172" t="s">
        <v>1318</v>
      </c>
      <c r="J366" s="86"/>
      <c r="K366" s="86"/>
      <c r="L366" s="304"/>
      <c r="M366" s="283">
        <v>0</v>
      </c>
    </row>
    <row r="367" spans="1:13" x14ac:dyDescent="0.25">
      <c r="A367" s="284">
        <v>0</v>
      </c>
      <c r="B367" s="297" t="s">
        <v>59</v>
      </c>
      <c r="C367" s="43"/>
      <c r="D367" s="65"/>
      <c r="E367" s="65"/>
      <c r="F367" s="65">
        <v>4</v>
      </c>
      <c r="G367" s="65"/>
      <c r="H367" s="43"/>
      <c r="I367" s="86"/>
      <c r="J367" s="86"/>
      <c r="K367" s="86"/>
      <c r="L367" s="86"/>
      <c r="M367" s="283">
        <v>1320</v>
      </c>
    </row>
    <row r="368" spans="1:13" x14ac:dyDescent="0.25">
      <c r="A368" s="284">
        <v>0</v>
      </c>
      <c r="B368" s="297" t="s">
        <v>60</v>
      </c>
      <c r="C368" s="43"/>
      <c r="D368" s="65"/>
      <c r="E368" s="65"/>
      <c r="F368" s="65">
        <v>5</v>
      </c>
      <c r="G368" s="65"/>
      <c r="H368" s="43"/>
      <c r="I368" s="86"/>
      <c r="J368" s="86"/>
      <c r="K368" s="86"/>
      <c r="L368" s="86"/>
      <c r="M368" s="283">
        <v>0</v>
      </c>
    </row>
    <row r="369" spans="1:13" x14ac:dyDescent="0.25">
      <c r="A369" s="284">
        <v>0</v>
      </c>
      <c r="B369" s="297" t="s">
        <v>61</v>
      </c>
      <c r="C369" s="43"/>
      <c r="D369" s="65"/>
      <c r="E369" s="65"/>
      <c r="F369" s="65">
        <v>6</v>
      </c>
      <c r="G369" s="65"/>
      <c r="H369" s="43"/>
      <c r="I369" s="86"/>
      <c r="J369" s="86"/>
      <c r="K369" s="86"/>
      <c r="L369" s="86"/>
      <c r="M369" s="283">
        <v>0</v>
      </c>
    </row>
    <row r="370" spans="1:13" x14ac:dyDescent="0.25">
      <c r="A370" s="284">
        <v>0</v>
      </c>
      <c r="B370" s="297" t="s">
        <v>62</v>
      </c>
      <c r="C370" s="43"/>
      <c r="D370" s="65"/>
      <c r="E370" s="65"/>
      <c r="F370" s="65"/>
      <c r="G370" s="65"/>
      <c r="H370" s="43"/>
      <c r="I370" s="86"/>
      <c r="J370" s="86"/>
      <c r="K370" s="86"/>
      <c r="L370" s="86"/>
      <c r="M370" s="283">
        <v>0</v>
      </c>
    </row>
    <row r="371" spans="1:13" x14ac:dyDescent="0.25">
      <c r="A371" s="284">
        <v>0</v>
      </c>
      <c r="B371" s="297" t="s">
        <v>63</v>
      </c>
      <c r="C371" s="43"/>
      <c r="D371" s="65"/>
      <c r="E371" s="65"/>
      <c r="F371" s="65"/>
      <c r="G371" s="65"/>
      <c r="H371" s="43"/>
      <c r="I371" s="86"/>
      <c r="J371" s="86"/>
      <c r="K371" s="86"/>
      <c r="L371" s="86"/>
      <c r="M371" s="283">
        <v>0</v>
      </c>
    </row>
    <row r="372" spans="1:13" x14ac:dyDescent="0.25">
      <c r="A372" s="284">
        <v>0</v>
      </c>
      <c r="B372" s="297" t="s">
        <v>64</v>
      </c>
      <c r="C372" s="43"/>
      <c r="D372" s="65"/>
      <c r="E372" s="65"/>
      <c r="F372" s="65"/>
      <c r="G372" s="65"/>
      <c r="H372" s="43"/>
      <c r="I372" s="194"/>
      <c r="J372" s="194"/>
      <c r="K372" s="194"/>
      <c r="L372" s="194"/>
      <c r="M372" s="283">
        <v>0</v>
      </c>
    </row>
    <row r="373" spans="1:13" ht="110.25" x14ac:dyDescent="0.25">
      <c r="A373" s="284">
        <v>3333</v>
      </c>
      <c r="B373" s="297" t="s">
        <v>65</v>
      </c>
      <c r="C373" s="55" t="s">
        <v>1319</v>
      </c>
      <c r="D373" s="84">
        <v>48</v>
      </c>
      <c r="E373" s="84" t="s">
        <v>70</v>
      </c>
      <c r="F373" s="84" t="s">
        <v>1320</v>
      </c>
      <c r="G373" s="136">
        <v>44594</v>
      </c>
      <c r="H373" s="43"/>
      <c r="I373" s="194"/>
      <c r="J373" s="194"/>
      <c r="K373" s="194"/>
      <c r="L373" s="303"/>
      <c r="M373" s="8">
        <f>SUM(M364:M372)</f>
        <v>2208</v>
      </c>
    </row>
    <row r="374" spans="1:13" ht="63" x14ac:dyDescent="0.25">
      <c r="A374" s="284">
        <v>0</v>
      </c>
      <c r="B374" s="297" t="s">
        <v>66</v>
      </c>
      <c r="C374" s="55" t="s">
        <v>1321</v>
      </c>
      <c r="D374" s="84"/>
      <c r="E374" s="84"/>
      <c r="F374" s="84"/>
      <c r="G374" s="84" t="s">
        <v>1322</v>
      </c>
      <c r="H374" s="43"/>
      <c r="I374" s="194"/>
      <c r="J374" s="194"/>
      <c r="K374" s="194"/>
      <c r="L374" s="303"/>
      <c r="M374" s="43"/>
    </row>
    <row r="375" spans="1:13" x14ac:dyDescent="0.25">
      <c r="A375" s="284">
        <v>0</v>
      </c>
      <c r="B375" s="297" t="s">
        <v>67</v>
      </c>
      <c r="C375" s="43"/>
      <c r="D375" s="86"/>
      <c r="E375" s="86"/>
      <c r="F375" s="86"/>
      <c r="G375" s="304"/>
      <c r="H375" s="43"/>
      <c r="I375" s="194"/>
      <c r="J375" s="194"/>
      <c r="K375" s="194"/>
      <c r="L375" s="303"/>
      <c r="M375" s="43"/>
    </row>
    <row r="376" spans="1:13" x14ac:dyDescent="0.25">
      <c r="A376" s="284">
        <v>0</v>
      </c>
      <c r="B376" s="297" t="s">
        <v>68</v>
      </c>
      <c r="C376" s="43"/>
      <c r="D376" s="86"/>
      <c r="E376" s="86"/>
      <c r="F376" s="86"/>
      <c r="G376" s="86"/>
      <c r="H376" s="43"/>
      <c r="I376" s="194"/>
      <c r="J376" s="194"/>
      <c r="K376" s="194"/>
      <c r="L376" s="303"/>
      <c r="M376" s="43"/>
    </row>
    <row r="377" spans="1:13" x14ac:dyDescent="0.25">
      <c r="A377" s="284">
        <v>0</v>
      </c>
      <c r="B377" s="298">
        <v>0.79166666666666663</v>
      </c>
      <c r="C377" s="43"/>
      <c r="D377" s="86"/>
      <c r="E377" s="86"/>
      <c r="F377" s="86"/>
      <c r="G377" s="86"/>
      <c r="H377" s="43"/>
      <c r="I377" s="194"/>
      <c r="J377" s="194"/>
      <c r="K377" s="194"/>
      <c r="L377" s="303"/>
      <c r="M377" s="43"/>
    </row>
    <row r="378" spans="1:13" x14ac:dyDescent="0.25">
      <c r="A378" s="284">
        <v>0</v>
      </c>
      <c r="B378" s="298">
        <v>0.83333333333333337</v>
      </c>
      <c r="C378" s="43"/>
      <c r="D378" s="86"/>
      <c r="E378" s="86"/>
      <c r="F378" s="86"/>
      <c r="G378" s="86"/>
      <c r="H378" s="43"/>
      <c r="I378" s="194"/>
      <c r="J378" s="194"/>
      <c r="K378" s="194"/>
      <c r="L378" s="303"/>
      <c r="M378" s="43"/>
    </row>
    <row r="379" spans="1:13" x14ac:dyDescent="0.25">
      <c r="A379" s="284">
        <v>0</v>
      </c>
      <c r="B379" s="298">
        <v>0.875</v>
      </c>
      <c r="C379" s="43"/>
      <c r="D379" s="86"/>
      <c r="E379" s="86"/>
      <c r="F379" s="86"/>
      <c r="G379" s="86"/>
      <c r="H379" s="43"/>
      <c r="I379" s="194"/>
      <c r="J379" s="194"/>
      <c r="K379" s="194"/>
      <c r="L379" s="303"/>
      <c r="M379" s="43"/>
    </row>
    <row r="380" spans="1:13" x14ac:dyDescent="0.25">
      <c r="A380" s="284">
        <v>0</v>
      </c>
      <c r="B380" s="298">
        <v>0.91666666666666663</v>
      </c>
      <c r="C380" s="43"/>
      <c r="D380" s="86"/>
      <c r="E380" s="86"/>
      <c r="F380" s="86"/>
      <c r="G380" s="86"/>
      <c r="H380" s="43"/>
      <c r="I380" s="194"/>
      <c r="J380" s="194"/>
      <c r="K380" s="194"/>
      <c r="L380" s="303"/>
      <c r="M380" s="43"/>
    </row>
    <row r="381" spans="1:13" x14ac:dyDescent="0.25">
      <c r="A381" s="265">
        <f>SUM(A365:A380)</f>
        <v>7833</v>
      </c>
      <c r="B381" s="299">
        <v>0.94791666666666663</v>
      </c>
      <c r="C381" s="43"/>
      <c r="D381" s="86"/>
      <c r="E381" s="86"/>
      <c r="F381" s="86"/>
      <c r="G381" s="86"/>
      <c r="H381" s="43"/>
      <c r="I381" s="194"/>
      <c r="J381" s="194"/>
      <c r="K381" s="194"/>
      <c r="L381" s="303"/>
      <c r="M381" s="43"/>
    </row>
    <row r="382" spans="1:13" ht="78.75" x14ac:dyDescent="0.25">
      <c r="A382" s="281">
        <f>A364+1</f>
        <v>44593</v>
      </c>
      <c r="B382" s="296" t="s">
        <v>54</v>
      </c>
      <c r="C382" s="55" t="s">
        <v>1323</v>
      </c>
      <c r="D382" s="103">
        <v>60</v>
      </c>
      <c r="E382" s="84" t="s">
        <v>1324</v>
      </c>
      <c r="F382" s="84" t="s">
        <v>1325</v>
      </c>
      <c r="G382" s="84" t="s">
        <v>1326</v>
      </c>
      <c r="H382" s="55" t="s">
        <v>1327</v>
      </c>
      <c r="I382" s="84">
        <v>48</v>
      </c>
      <c r="J382" s="84" t="s">
        <v>1328</v>
      </c>
      <c r="K382" s="84" t="s">
        <v>1329</v>
      </c>
      <c r="L382" s="136">
        <v>44592</v>
      </c>
      <c r="M382" s="283">
        <v>2000</v>
      </c>
    </row>
    <row r="383" spans="1:13" ht="47.25" x14ac:dyDescent="0.25">
      <c r="A383" s="284">
        <v>2550</v>
      </c>
      <c r="B383" s="297" t="s">
        <v>57</v>
      </c>
      <c r="C383" s="55" t="s">
        <v>1330</v>
      </c>
      <c r="D383" s="86"/>
      <c r="E383" s="86"/>
      <c r="F383" s="86">
        <v>2</v>
      </c>
      <c r="G383" s="84"/>
      <c r="H383" s="55"/>
      <c r="I383" s="84"/>
      <c r="J383" s="84"/>
      <c r="K383" s="84"/>
      <c r="L383" s="309" t="s">
        <v>298</v>
      </c>
      <c r="M383" s="283">
        <v>0</v>
      </c>
    </row>
    <row r="384" spans="1:13" x14ac:dyDescent="0.25">
      <c r="A384" s="284">
        <v>0</v>
      </c>
      <c r="B384" s="297" t="s">
        <v>58</v>
      </c>
      <c r="C384" s="43"/>
      <c r="D384" s="86"/>
      <c r="E384" s="86"/>
      <c r="F384" s="86">
        <v>3</v>
      </c>
      <c r="G384" s="86"/>
      <c r="H384" s="43"/>
      <c r="I384" s="86"/>
      <c r="J384" s="86"/>
      <c r="K384" s="86"/>
      <c r="L384" s="304"/>
      <c r="M384" s="283">
        <v>0</v>
      </c>
    </row>
    <row r="385" spans="1:13" x14ac:dyDescent="0.25">
      <c r="A385" s="284">
        <v>0</v>
      </c>
      <c r="B385" s="297" t="s">
        <v>59</v>
      </c>
      <c r="C385" s="43"/>
      <c r="D385" s="86"/>
      <c r="E385" s="86"/>
      <c r="F385" s="86">
        <v>4</v>
      </c>
      <c r="G385" s="304"/>
      <c r="H385" s="43"/>
      <c r="I385" s="86"/>
      <c r="J385" s="86"/>
      <c r="K385" s="86"/>
      <c r="L385" s="304"/>
      <c r="M385" s="283">
        <v>0</v>
      </c>
    </row>
    <row r="386" spans="1:13" x14ac:dyDescent="0.25">
      <c r="A386" s="284">
        <v>0</v>
      </c>
      <c r="B386" s="297" t="s">
        <v>60</v>
      </c>
      <c r="C386" s="43"/>
      <c r="D386" s="86"/>
      <c r="E386" s="86"/>
      <c r="F386" s="86">
        <v>5</v>
      </c>
      <c r="G386" s="304"/>
      <c r="H386" s="43"/>
      <c r="I386" s="86"/>
      <c r="J386" s="86"/>
      <c r="K386" s="86"/>
      <c r="L386" s="304"/>
      <c r="M386" s="283">
        <v>0</v>
      </c>
    </row>
    <row r="387" spans="1:13" ht="47.25" x14ac:dyDescent="0.25">
      <c r="A387" s="284">
        <v>2560</v>
      </c>
      <c r="B387" s="297" t="s">
        <v>61</v>
      </c>
      <c r="C387" s="55" t="s">
        <v>1331</v>
      </c>
      <c r="D387" s="84">
        <v>51</v>
      </c>
      <c r="E387" s="84" t="s">
        <v>1332</v>
      </c>
      <c r="F387" s="84" t="s">
        <v>1333</v>
      </c>
      <c r="G387" s="136">
        <v>44593</v>
      </c>
      <c r="H387" s="43"/>
      <c r="I387" s="65"/>
      <c r="J387" s="65"/>
      <c r="K387" s="65"/>
      <c r="L387" s="82"/>
      <c r="M387" s="283">
        <v>0</v>
      </c>
    </row>
    <row r="388" spans="1:13" ht="47.25" x14ac:dyDescent="0.25">
      <c r="A388" s="284">
        <v>0</v>
      </c>
      <c r="B388" s="297" t="s">
        <v>62</v>
      </c>
      <c r="C388" s="55" t="s">
        <v>1334</v>
      </c>
      <c r="D388" s="86"/>
      <c r="E388" s="86"/>
      <c r="F388" s="86">
        <v>2</v>
      </c>
      <c r="G388" s="84"/>
      <c r="H388" s="43"/>
      <c r="I388" s="65"/>
      <c r="J388" s="65"/>
      <c r="K388" s="65"/>
      <c r="L388" s="82"/>
      <c r="M388" s="283">
        <v>0</v>
      </c>
    </row>
    <row r="389" spans="1:13" x14ac:dyDescent="0.25">
      <c r="A389" s="284">
        <v>0</v>
      </c>
      <c r="B389" s="297" t="s">
        <v>63</v>
      </c>
      <c r="C389" s="43"/>
      <c r="D389" s="86"/>
      <c r="E389" s="86"/>
      <c r="F389" s="86">
        <v>3</v>
      </c>
      <c r="G389" s="304"/>
      <c r="H389" s="43"/>
      <c r="I389" s="65"/>
      <c r="J389" s="65"/>
      <c r="K389" s="65"/>
      <c r="L389" s="65"/>
      <c r="M389" s="283">
        <v>0</v>
      </c>
    </row>
    <row r="390" spans="1:13" x14ac:dyDescent="0.25">
      <c r="A390" s="284">
        <v>0</v>
      </c>
      <c r="B390" s="297" t="s">
        <v>64</v>
      </c>
      <c r="C390" s="43"/>
      <c r="D390" s="86"/>
      <c r="E390" s="86"/>
      <c r="F390" s="86"/>
      <c r="G390" s="304"/>
      <c r="H390" s="43"/>
      <c r="I390" s="65"/>
      <c r="J390" s="65"/>
      <c r="K390" s="65"/>
      <c r="L390" s="65"/>
      <c r="M390" s="283">
        <v>0</v>
      </c>
    </row>
    <row r="391" spans="1:13" ht="63" x14ac:dyDescent="0.25">
      <c r="A391" s="284">
        <v>5000</v>
      </c>
      <c r="B391" s="297" t="s">
        <v>65</v>
      </c>
      <c r="C391" s="55" t="s">
        <v>1335</v>
      </c>
      <c r="D391" s="57">
        <v>36</v>
      </c>
      <c r="E391" s="57" t="s">
        <v>151</v>
      </c>
      <c r="F391" s="57" t="s">
        <v>1336</v>
      </c>
      <c r="G391" s="125">
        <v>44594</v>
      </c>
      <c r="H391" s="43"/>
      <c r="I391" s="65"/>
      <c r="J391" s="65"/>
      <c r="K391" s="65"/>
      <c r="L391" s="82"/>
      <c r="M391" s="8">
        <f>SUM(M382:M390)</f>
        <v>2000</v>
      </c>
    </row>
    <row r="392" spans="1:13" ht="110.25" x14ac:dyDescent="0.25">
      <c r="A392" s="284">
        <v>0</v>
      </c>
      <c r="B392" s="297" t="s">
        <v>66</v>
      </c>
      <c r="C392" s="55" t="s">
        <v>1337</v>
      </c>
      <c r="D392" s="57"/>
      <c r="E392" s="57"/>
      <c r="F392" s="57">
        <v>2</v>
      </c>
      <c r="G392" s="178" t="s">
        <v>1338</v>
      </c>
      <c r="H392" s="43"/>
      <c r="I392" s="65"/>
      <c r="J392" s="65"/>
      <c r="K392" s="65"/>
      <c r="L392" s="82"/>
      <c r="M392" s="43"/>
    </row>
    <row r="393" spans="1:13" x14ac:dyDescent="0.25">
      <c r="A393" s="284">
        <v>0</v>
      </c>
      <c r="B393" s="297" t="s">
        <v>67</v>
      </c>
      <c r="C393" s="43"/>
      <c r="D393" s="65"/>
      <c r="E393" s="65"/>
      <c r="F393" s="65">
        <v>3</v>
      </c>
      <c r="G393" s="82"/>
      <c r="H393" s="43"/>
      <c r="I393" s="65"/>
      <c r="J393" s="65"/>
      <c r="K393" s="65"/>
      <c r="L393" s="82"/>
      <c r="M393" s="43"/>
    </row>
    <row r="394" spans="1:13" x14ac:dyDescent="0.25">
      <c r="A394" s="284">
        <v>0</v>
      </c>
      <c r="B394" s="297" t="s">
        <v>68</v>
      </c>
      <c r="C394" s="43"/>
      <c r="D394" s="65"/>
      <c r="E394" s="65"/>
      <c r="F394" s="65">
        <v>4</v>
      </c>
      <c r="G394" s="82"/>
      <c r="H394" s="43"/>
      <c r="I394" s="65"/>
      <c r="J394" s="65"/>
      <c r="K394" s="65"/>
      <c r="L394" s="82"/>
      <c r="M394" s="43"/>
    </row>
    <row r="395" spans="1:13" x14ac:dyDescent="0.25">
      <c r="A395" s="284">
        <v>0</v>
      </c>
      <c r="B395" s="298">
        <v>0.79166666666666663</v>
      </c>
      <c r="C395" s="43"/>
      <c r="D395" s="65"/>
      <c r="E395" s="65"/>
      <c r="F395" s="65">
        <v>5</v>
      </c>
      <c r="G395" s="82"/>
      <c r="H395" s="43"/>
      <c r="I395" s="65"/>
      <c r="J395" s="65"/>
      <c r="K395" s="65"/>
      <c r="L395" s="82"/>
      <c r="M395" s="43"/>
    </row>
    <row r="396" spans="1:13" x14ac:dyDescent="0.25">
      <c r="A396" s="284">
        <v>0</v>
      </c>
      <c r="B396" s="298">
        <v>0.83333333333333337</v>
      </c>
      <c r="C396" s="43"/>
      <c r="D396" s="65"/>
      <c r="E396" s="65"/>
      <c r="F396" s="65">
        <v>6</v>
      </c>
      <c r="G396" s="82"/>
      <c r="H396" s="43"/>
      <c r="I396" s="65"/>
      <c r="J396" s="65"/>
      <c r="K396" s="65"/>
      <c r="L396" s="82"/>
      <c r="M396" s="43"/>
    </row>
    <row r="397" spans="1:13" x14ac:dyDescent="0.25">
      <c r="A397" s="284">
        <v>0</v>
      </c>
      <c r="B397" s="298">
        <v>0.875</v>
      </c>
      <c r="C397" s="43"/>
      <c r="D397" s="65"/>
      <c r="E397" s="65"/>
      <c r="F397" s="65"/>
      <c r="G397" s="65"/>
      <c r="H397" s="43"/>
      <c r="I397" s="65"/>
      <c r="J397" s="65"/>
      <c r="K397" s="65"/>
      <c r="L397" s="82"/>
      <c r="M397" s="43"/>
    </row>
    <row r="398" spans="1:13" x14ac:dyDescent="0.25">
      <c r="A398" s="284">
        <v>0</v>
      </c>
      <c r="B398" s="298">
        <v>0.91666666666666663</v>
      </c>
      <c r="C398" s="43"/>
      <c r="D398" s="65"/>
      <c r="E398" s="65"/>
      <c r="F398" s="65"/>
      <c r="G398" s="65"/>
      <c r="H398" s="43"/>
      <c r="I398" s="65"/>
      <c r="J398" s="65"/>
      <c r="K398" s="65"/>
      <c r="L398" s="82"/>
      <c r="M398" s="43"/>
    </row>
    <row r="399" spans="1:13" x14ac:dyDescent="0.25">
      <c r="A399" s="265">
        <f>SUM(A383:A398)</f>
        <v>10110</v>
      </c>
      <c r="B399" s="299">
        <v>0.94791666666666663</v>
      </c>
      <c r="C399" s="43"/>
      <c r="D399" s="65"/>
      <c r="E399" s="65"/>
      <c r="F399" s="65"/>
      <c r="G399" s="65"/>
      <c r="H399" s="43"/>
      <c r="I399" s="65"/>
      <c r="J399" s="65"/>
      <c r="K399" s="65"/>
      <c r="L399" s="82"/>
      <c r="M399" s="43"/>
    </row>
    <row r="400" spans="1:13" x14ac:dyDescent="0.25">
      <c r="A400" s="281">
        <f>A382+1</f>
        <v>44594</v>
      </c>
      <c r="B400" s="296" t="s">
        <v>54</v>
      </c>
      <c r="C400" s="87" t="s">
        <v>1339</v>
      </c>
      <c r="D400" s="65"/>
      <c r="E400" s="65"/>
      <c r="F400" s="65">
        <v>7</v>
      </c>
      <c r="G400" s="82"/>
      <c r="H400" s="43" t="s">
        <v>1340</v>
      </c>
      <c r="I400" s="65"/>
      <c r="J400" s="65"/>
      <c r="K400" s="65"/>
      <c r="L400" s="65"/>
      <c r="M400" s="283">
        <v>1000</v>
      </c>
    </row>
    <row r="401" spans="1:13" x14ac:dyDescent="0.25">
      <c r="A401" s="284">
        <v>4900</v>
      </c>
      <c r="B401" s="297" t="s">
        <v>57</v>
      </c>
      <c r="C401" s="43"/>
      <c r="D401" s="65"/>
      <c r="E401" s="65"/>
      <c r="F401" s="65">
        <v>8</v>
      </c>
      <c r="G401" s="82"/>
      <c r="H401" s="43"/>
      <c r="I401" s="65"/>
      <c r="J401" s="65"/>
      <c r="K401" s="65"/>
      <c r="L401" s="65"/>
      <c r="M401" s="283">
        <v>0</v>
      </c>
    </row>
    <row r="402" spans="1:13" x14ac:dyDescent="0.25">
      <c r="A402" s="284">
        <v>0</v>
      </c>
      <c r="B402" s="297" t="s">
        <v>58</v>
      </c>
      <c r="C402" s="43"/>
      <c r="D402" s="65"/>
      <c r="E402" s="65"/>
      <c r="F402" s="65">
        <v>9</v>
      </c>
      <c r="G402" s="82"/>
      <c r="H402" s="43"/>
      <c r="I402" s="65"/>
      <c r="J402" s="65"/>
      <c r="K402" s="65"/>
      <c r="L402" s="65"/>
      <c r="M402" s="283">
        <v>0</v>
      </c>
    </row>
    <row r="403" spans="1:13" x14ac:dyDescent="0.25">
      <c r="A403" s="284">
        <v>0</v>
      </c>
      <c r="B403" s="297" t="s">
        <v>59</v>
      </c>
      <c r="C403" s="43"/>
      <c r="D403" s="65"/>
      <c r="E403" s="65"/>
      <c r="F403" s="65">
        <v>10</v>
      </c>
      <c r="G403" s="65"/>
      <c r="H403" s="43"/>
      <c r="I403" s="65"/>
      <c r="J403" s="65"/>
      <c r="K403" s="65"/>
      <c r="L403" s="65"/>
      <c r="M403" s="283">
        <v>0</v>
      </c>
    </row>
    <row r="404" spans="1:13" ht="63" x14ac:dyDescent="0.25">
      <c r="A404" s="284">
        <v>1910</v>
      </c>
      <c r="B404" s="297" t="s">
        <v>60</v>
      </c>
      <c r="C404" s="55" t="s">
        <v>1341</v>
      </c>
      <c r="D404" s="57">
        <v>49.125</v>
      </c>
      <c r="E404" s="57" t="s">
        <v>1234</v>
      </c>
      <c r="F404" s="57" t="s">
        <v>1342</v>
      </c>
      <c r="G404" s="293">
        <v>44594</v>
      </c>
      <c r="H404" s="43"/>
      <c r="I404" s="65"/>
      <c r="J404" s="65"/>
      <c r="K404" s="65"/>
      <c r="L404" s="65"/>
      <c r="M404" s="283">
        <v>0</v>
      </c>
    </row>
    <row r="405" spans="1:13" ht="63" x14ac:dyDescent="0.25">
      <c r="A405" s="284">
        <v>0</v>
      </c>
      <c r="B405" s="297" t="s">
        <v>61</v>
      </c>
      <c r="C405" s="55" t="s">
        <v>1343</v>
      </c>
      <c r="D405" s="57"/>
      <c r="E405" s="57"/>
      <c r="F405" s="57"/>
      <c r="G405" s="57" t="s">
        <v>1344</v>
      </c>
      <c r="H405" s="43"/>
      <c r="I405" s="65"/>
      <c r="J405" s="65"/>
      <c r="K405" s="65"/>
      <c r="L405" s="65"/>
      <c r="M405" s="283">
        <v>0</v>
      </c>
    </row>
    <row r="406" spans="1:13" x14ac:dyDescent="0.25">
      <c r="A406" s="284">
        <v>0</v>
      </c>
      <c r="B406" s="297" t="s">
        <v>62</v>
      </c>
      <c r="C406" s="43"/>
      <c r="D406" s="65"/>
      <c r="E406" s="65"/>
      <c r="F406" s="65"/>
      <c r="G406" s="82"/>
      <c r="H406" s="43"/>
      <c r="I406" s="65" t="s">
        <v>1345</v>
      </c>
      <c r="J406" s="65"/>
      <c r="K406" s="65"/>
      <c r="L406" s="65"/>
      <c r="M406" s="283">
        <v>0</v>
      </c>
    </row>
    <row r="407" spans="1:13" x14ac:dyDescent="0.25">
      <c r="A407" s="284">
        <v>0</v>
      </c>
      <c r="B407" s="297" t="s">
        <v>63</v>
      </c>
      <c r="C407" s="43"/>
      <c r="D407" s="65"/>
      <c r="E407" s="65"/>
      <c r="F407" s="65"/>
      <c r="G407" s="82"/>
      <c r="H407" s="43"/>
      <c r="I407" s="65"/>
      <c r="J407" s="65"/>
      <c r="K407" s="65"/>
      <c r="L407" s="65"/>
      <c r="M407" s="283">
        <v>0</v>
      </c>
    </row>
    <row r="408" spans="1:13" x14ac:dyDescent="0.25">
      <c r="A408" s="284">
        <v>0</v>
      </c>
      <c r="B408" s="297" t="s">
        <v>64</v>
      </c>
      <c r="C408" s="43"/>
      <c r="D408" s="311" t="s">
        <v>1346</v>
      </c>
      <c r="E408" s="65"/>
      <c r="F408" s="65"/>
      <c r="G408" s="65"/>
      <c r="H408" s="43"/>
      <c r="I408" s="65"/>
      <c r="J408" s="65"/>
      <c r="K408" s="65"/>
      <c r="L408" s="65"/>
      <c r="M408" s="283">
        <v>0</v>
      </c>
    </row>
    <row r="409" spans="1:13" x14ac:dyDescent="0.25">
      <c r="A409" s="284">
        <v>0</v>
      </c>
      <c r="B409" s="297" t="s">
        <v>65</v>
      </c>
      <c r="C409" s="43"/>
      <c r="D409" s="311" t="s">
        <v>1347</v>
      </c>
      <c r="E409" s="65"/>
      <c r="F409" s="65"/>
      <c r="G409" s="65"/>
      <c r="H409" s="43"/>
      <c r="I409" s="65"/>
      <c r="J409" s="65"/>
      <c r="K409" s="65"/>
      <c r="L409" s="65"/>
      <c r="M409" s="8">
        <f>SUM(M400:M408)</f>
        <v>1000</v>
      </c>
    </row>
    <row r="410" spans="1:13" x14ac:dyDescent="0.25">
      <c r="A410" s="284">
        <v>0</v>
      </c>
      <c r="B410" s="297" t="s">
        <v>66</v>
      </c>
      <c r="C410" s="43"/>
      <c r="D410" s="311" t="s">
        <v>1348</v>
      </c>
      <c r="E410" s="65"/>
      <c r="F410" s="65"/>
      <c r="G410" s="65"/>
      <c r="H410" s="43"/>
      <c r="I410" s="65"/>
      <c r="J410" s="65"/>
      <c r="K410" s="65"/>
      <c r="L410" s="65"/>
      <c r="M410" s="43"/>
    </row>
    <row r="411" spans="1:13" x14ac:dyDescent="0.25">
      <c r="A411" s="284">
        <v>0</v>
      </c>
      <c r="B411" s="297" t="s">
        <v>67</v>
      </c>
      <c r="C411" s="43"/>
      <c r="D411" s="65"/>
      <c r="E411" s="65"/>
      <c r="F411" s="65"/>
      <c r="G411" s="65"/>
      <c r="H411" s="43"/>
      <c r="I411" s="65"/>
      <c r="J411" s="65"/>
      <c r="K411" s="65"/>
      <c r="L411" s="82"/>
      <c r="M411" s="43"/>
    </row>
    <row r="412" spans="1:13" x14ac:dyDescent="0.25">
      <c r="A412" s="284">
        <v>0</v>
      </c>
      <c r="B412" s="297" t="s">
        <v>68</v>
      </c>
      <c r="C412" s="43"/>
      <c r="D412" s="65"/>
      <c r="E412" s="65"/>
      <c r="F412" s="65"/>
      <c r="G412" s="65"/>
      <c r="H412" s="43"/>
      <c r="I412" s="65"/>
      <c r="J412" s="65"/>
      <c r="K412" s="65"/>
      <c r="L412" s="82"/>
      <c r="M412" s="43"/>
    </row>
    <row r="413" spans="1:13" x14ac:dyDescent="0.25">
      <c r="A413" s="284">
        <v>0</v>
      </c>
      <c r="B413" s="298">
        <v>0.79166666666666663</v>
      </c>
      <c r="C413" s="43"/>
      <c r="D413" s="65"/>
      <c r="E413" s="65"/>
      <c r="F413" s="65"/>
      <c r="G413" s="65"/>
      <c r="H413" s="43"/>
      <c r="I413" s="65"/>
      <c r="J413" s="65"/>
      <c r="K413" s="65"/>
      <c r="L413" s="82"/>
      <c r="M413" s="43"/>
    </row>
    <row r="414" spans="1:13" x14ac:dyDescent="0.25">
      <c r="A414" s="284">
        <v>0</v>
      </c>
      <c r="B414" s="298">
        <v>0.83333333333333337</v>
      </c>
      <c r="C414" s="43"/>
      <c r="D414" s="65"/>
      <c r="E414" s="65"/>
      <c r="F414" s="65"/>
      <c r="G414" s="65"/>
      <c r="H414" s="43"/>
      <c r="I414" s="65"/>
      <c r="J414" s="65"/>
      <c r="K414" s="65"/>
      <c r="L414" s="82"/>
      <c r="M414" s="43"/>
    </row>
    <row r="415" spans="1:13" x14ac:dyDescent="0.25">
      <c r="A415" s="284">
        <v>0</v>
      </c>
      <c r="B415" s="298">
        <v>0.875</v>
      </c>
      <c r="C415" s="43"/>
      <c r="D415" s="65"/>
      <c r="E415" s="65"/>
      <c r="F415" s="65"/>
      <c r="G415" s="65"/>
      <c r="H415" s="43"/>
      <c r="I415" s="65"/>
      <c r="J415" s="65"/>
      <c r="K415" s="65"/>
      <c r="L415" s="82"/>
      <c r="M415" s="43"/>
    </row>
    <row r="416" spans="1:13" x14ac:dyDescent="0.25">
      <c r="A416" s="284">
        <v>0</v>
      </c>
      <c r="B416" s="298">
        <v>0.91666666666666663</v>
      </c>
      <c r="C416" s="43"/>
      <c r="D416" s="65"/>
      <c r="E416" s="65"/>
      <c r="F416" s="65"/>
      <c r="G416" s="65"/>
      <c r="H416" s="43"/>
      <c r="I416" s="65"/>
      <c r="J416" s="65"/>
      <c r="K416" s="65"/>
      <c r="L416" s="82"/>
      <c r="M416" s="43"/>
    </row>
    <row r="417" spans="1:13" x14ac:dyDescent="0.25">
      <c r="A417" s="265">
        <f>SUM(A401:A416)</f>
        <v>6810</v>
      </c>
      <c r="B417" s="299">
        <v>0.94791666666666663</v>
      </c>
      <c r="C417" s="43"/>
      <c r="D417" s="65"/>
      <c r="E417" s="65"/>
      <c r="F417" s="65"/>
      <c r="G417" s="65"/>
      <c r="H417" s="43"/>
      <c r="I417" s="65"/>
      <c r="J417" s="65"/>
      <c r="K417" s="65"/>
      <c r="L417" s="82"/>
      <c r="M417" s="43"/>
    </row>
    <row r="418" spans="1:13" ht="94.5" x14ac:dyDescent="0.25">
      <c r="A418" s="281">
        <f>A400+1</f>
        <v>44595</v>
      </c>
      <c r="B418" s="296" t="s">
        <v>54</v>
      </c>
      <c r="C418" s="55" t="s">
        <v>1349</v>
      </c>
      <c r="D418" s="57">
        <v>60</v>
      </c>
      <c r="E418" s="57" t="s">
        <v>1350</v>
      </c>
      <c r="F418" s="57" t="s">
        <v>1351</v>
      </c>
      <c r="G418" s="125">
        <v>44596</v>
      </c>
      <c r="H418" s="43"/>
      <c r="I418" s="166" t="s">
        <v>1345</v>
      </c>
      <c r="J418" s="166"/>
      <c r="K418" s="166"/>
      <c r="L418" s="166"/>
      <c r="M418" s="283">
        <v>1000</v>
      </c>
    </row>
    <row r="419" spans="1:13" ht="47.25" x14ac:dyDescent="0.25">
      <c r="A419" s="284">
        <v>2413</v>
      </c>
      <c r="B419" s="297" t="s">
        <v>57</v>
      </c>
      <c r="C419" s="55" t="s">
        <v>1352</v>
      </c>
      <c r="D419" s="57"/>
      <c r="E419" s="57"/>
      <c r="F419" s="57">
        <v>2</v>
      </c>
      <c r="G419" s="57"/>
      <c r="H419" s="43"/>
      <c r="I419" s="166"/>
      <c r="J419" s="166"/>
      <c r="K419" s="166"/>
      <c r="L419" s="166"/>
      <c r="M419" s="283">
        <v>0</v>
      </c>
    </row>
    <row r="420" spans="1:13" x14ac:dyDescent="0.25">
      <c r="A420" s="284">
        <v>0</v>
      </c>
      <c r="B420" s="297" t="s">
        <v>58</v>
      </c>
      <c r="C420" s="43"/>
      <c r="D420" s="65"/>
      <c r="E420" s="65"/>
      <c r="F420" s="65">
        <v>3</v>
      </c>
      <c r="G420" s="82"/>
      <c r="H420" s="43"/>
      <c r="I420" s="166"/>
      <c r="J420" s="166"/>
      <c r="K420" s="166"/>
      <c r="L420" s="166"/>
      <c r="M420" s="283">
        <v>0</v>
      </c>
    </row>
    <row r="421" spans="1:13" ht="63" x14ac:dyDescent="0.25">
      <c r="A421" s="284">
        <v>3960</v>
      </c>
      <c r="B421" s="297" t="s">
        <v>59</v>
      </c>
      <c r="C421" s="55" t="s">
        <v>1353</v>
      </c>
      <c r="D421" s="57">
        <v>48</v>
      </c>
      <c r="E421" s="57" t="s">
        <v>1354</v>
      </c>
      <c r="F421" s="57" t="s">
        <v>1355</v>
      </c>
      <c r="G421" s="125">
        <v>44599</v>
      </c>
      <c r="H421" s="43"/>
      <c r="I421" s="166"/>
      <c r="J421" s="166"/>
      <c r="K421" s="166"/>
      <c r="L421" s="166"/>
      <c r="M421" s="283">
        <v>0</v>
      </c>
    </row>
    <row r="422" spans="1:13" ht="78.75" x14ac:dyDescent="0.25">
      <c r="A422" s="284">
        <v>0</v>
      </c>
      <c r="B422" s="297" t="s">
        <v>60</v>
      </c>
      <c r="C422" s="55" t="s">
        <v>1356</v>
      </c>
      <c r="D422" s="57"/>
      <c r="E422" s="57"/>
      <c r="F422" s="57">
        <v>2</v>
      </c>
      <c r="G422" s="57"/>
      <c r="H422" s="87" t="s">
        <v>1340</v>
      </c>
      <c r="I422" s="86"/>
      <c r="J422" s="86"/>
      <c r="K422" s="86"/>
      <c r="L422" s="86"/>
      <c r="M422" s="283">
        <v>0</v>
      </c>
    </row>
    <row r="423" spans="1:13" x14ac:dyDescent="0.25">
      <c r="A423" s="284">
        <v>0</v>
      </c>
      <c r="B423" s="297" t="s">
        <v>61</v>
      </c>
      <c r="C423" s="43"/>
      <c r="D423" s="65"/>
      <c r="E423" s="65"/>
      <c r="F423" s="65">
        <v>3</v>
      </c>
      <c r="G423" s="65"/>
      <c r="H423" s="43"/>
      <c r="I423" s="86"/>
      <c r="J423" s="86"/>
      <c r="K423" s="86"/>
      <c r="L423" s="86"/>
      <c r="M423" s="283">
        <v>0</v>
      </c>
    </row>
    <row r="424" spans="1:13" x14ac:dyDescent="0.25">
      <c r="A424" s="284">
        <v>0</v>
      </c>
      <c r="B424" s="297" t="s">
        <v>62</v>
      </c>
      <c r="C424" s="43"/>
      <c r="D424" s="65"/>
      <c r="E424" s="65"/>
      <c r="F424" s="65">
        <v>4</v>
      </c>
      <c r="G424" s="65"/>
      <c r="H424" s="43"/>
      <c r="I424" s="86"/>
      <c r="J424" s="86"/>
      <c r="K424" s="86"/>
      <c r="L424" s="86"/>
      <c r="M424" s="283">
        <v>0</v>
      </c>
    </row>
    <row r="425" spans="1:13" x14ac:dyDescent="0.25">
      <c r="A425" s="284">
        <v>0</v>
      </c>
      <c r="B425" s="297" t="s">
        <v>63</v>
      </c>
      <c r="C425" s="43"/>
      <c r="D425" s="65"/>
      <c r="E425" s="65"/>
      <c r="F425" s="65"/>
      <c r="G425" s="65"/>
      <c r="H425" s="43"/>
      <c r="I425" s="86"/>
      <c r="J425" s="86"/>
      <c r="K425" s="86"/>
      <c r="L425" s="86"/>
      <c r="M425" s="283">
        <v>0</v>
      </c>
    </row>
    <row r="426" spans="1:13" x14ac:dyDescent="0.25">
      <c r="A426" s="284">
        <v>0</v>
      </c>
      <c r="B426" s="297" t="s">
        <v>64</v>
      </c>
      <c r="C426" s="43"/>
      <c r="D426" s="65"/>
      <c r="E426" s="65"/>
      <c r="F426" s="65"/>
      <c r="G426" s="65"/>
      <c r="H426" s="43"/>
      <c r="I426" s="86"/>
      <c r="J426" s="86"/>
      <c r="K426" s="86"/>
      <c r="L426" s="86"/>
      <c r="M426" s="283">
        <v>0</v>
      </c>
    </row>
    <row r="427" spans="1:13" ht="173.25" x14ac:dyDescent="0.25">
      <c r="A427" s="284">
        <v>3568</v>
      </c>
      <c r="B427" s="297" t="s">
        <v>65</v>
      </c>
      <c r="C427" s="55" t="s">
        <v>1357</v>
      </c>
      <c r="D427" s="57">
        <v>56</v>
      </c>
      <c r="E427" s="57" t="s">
        <v>1148</v>
      </c>
      <c r="F427" s="57" t="s">
        <v>1358</v>
      </c>
      <c r="G427" s="125">
        <v>44594</v>
      </c>
      <c r="H427" s="43"/>
      <c r="I427" s="194"/>
      <c r="J427" s="194"/>
      <c r="K427" s="194"/>
      <c r="L427" s="303"/>
      <c r="M427" s="8">
        <f>SUM(M418:M426)</f>
        <v>1000</v>
      </c>
    </row>
    <row r="428" spans="1:13" ht="110.25" x14ac:dyDescent="0.25">
      <c r="A428" s="284">
        <v>0</v>
      </c>
      <c r="B428" s="297" t="s">
        <v>66</v>
      </c>
      <c r="C428" s="55" t="s">
        <v>1359</v>
      </c>
      <c r="D428" s="57"/>
      <c r="E428" s="57"/>
      <c r="F428" s="57"/>
      <c r="G428" s="57" t="s">
        <v>1338</v>
      </c>
      <c r="H428" s="43"/>
      <c r="I428" s="194"/>
      <c r="J428" s="194"/>
      <c r="K428" s="194"/>
      <c r="L428" s="303"/>
      <c r="M428" s="43"/>
    </row>
    <row r="429" spans="1:13" x14ac:dyDescent="0.25">
      <c r="A429" s="284">
        <v>0</v>
      </c>
      <c r="B429" s="297" t="s">
        <v>68</v>
      </c>
      <c r="C429" s="43"/>
      <c r="D429" s="65"/>
      <c r="E429" s="65"/>
      <c r="F429" s="65"/>
      <c r="G429" s="82"/>
      <c r="H429" s="43"/>
      <c r="I429" s="194"/>
      <c r="J429" s="194"/>
      <c r="K429" s="194"/>
      <c r="L429" s="303"/>
      <c r="M429" s="43"/>
    </row>
    <row r="430" spans="1:13" x14ac:dyDescent="0.25">
      <c r="A430" s="284">
        <v>0</v>
      </c>
      <c r="B430" s="298">
        <v>0.79166666666666663</v>
      </c>
      <c r="C430" s="43"/>
      <c r="D430" s="65"/>
      <c r="E430" s="65"/>
      <c r="F430" s="65"/>
      <c r="G430" s="82"/>
      <c r="H430" s="43"/>
      <c r="I430" s="194"/>
      <c r="J430" s="194"/>
      <c r="K430" s="194"/>
      <c r="L430" s="303"/>
      <c r="M430" s="43"/>
    </row>
    <row r="431" spans="1:13" x14ac:dyDescent="0.25">
      <c r="A431" s="284">
        <v>0</v>
      </c>
      <c r="B431" s="298">
        <v>0.83333333333333337</v>
      </c>
      <c r="C431" s="43"/>
      <c r="D431" s="65"/>
      <c r="E431" s="65"/>
      <c r="F431" s="65"/>
      <c r="G431" s="82"/>
      <c r="H431" s="43"/>
      <c r="I431" s="194"/>
      <c r="J431" s="194"/>
      <c r="K431" s="194"/>
      <c r="L431" s="303"/>
      <c r="M431" s="43"/>
    </row>
    <row r="432" spans="1:13" x14ac:dyDescent="0.25">
      <c r="A432" s="284">
        <v>0</v>
      </c>
      <c r="B432" s="298">
        <v>0.875</v>
      </c>
      <c r="C432" s="43"/>
      <c r="D432" s="65"/>
      <c r="E432" s="65"/>
      <c r="F432" s="65"/>
      <c r="G432" s="65"/>
      <c r="H432" s="43"/>
      <c r="I432" s="194"/>
      <c r="J432" s="194"/>
      <c r="K432" s="194"/>
      <c r="L432" s="303"/>
      <c r="M432" s="43"/>
    </row>
    <row r="433" spans="1:13" x14ac:dyDescent="0.25">
      <c r="A433" s="284">
        <v>0</v>
      </c>
      <c r="B433" s="298">
        <v>0.91666666666666663</v>
      </c>
      <c r="C433" s="43"/>
      <c r="D433" s="65"/>
      <c r="E433" s="65"/>
      <c r="F433" s="65"/>
      <c r="G433" s="65"/>
      <c r="H433" s="43"/>
      <c r="I433" s="194"/>
      <c r="J433" s="194"/>
      <c r="K433" s="194"/>
      <c r="L433" s="303"/>
      <c r="M433" s="43"/>
    </row>
    <row r="434" spans="1:13" x14ac:dyDescent="0.25">
      <c r="A434" s="265">
        <f>SUM(A419:A433)</f>
        <v>9941</v>
      </c>
      <c r="B434" s="299">
        <v>0.94791666666666663</v>
      </c>
      <c r="C434" s="43"/>
      <c r="D434" s="65"/>
      <c r="E434" s="65"/>
      <c r="F434" s="65"/>
      <c r="G434" s="65"/>
      <c r="H434" s="43"/>
      <c r="I434" s="194"/>
      <c r="J434" s="194"/>
      <c r="K434" s="194"/>
      <c r="L434" s="303"/>
      <c r="M434" s="43"/>
    </row>
    <row r="435" spans="1:13" ht="157.5" x14ac:dyDescent="0.25">
      <c r="A435" s="281">
        <f>A418+1</f>
        <v>44596</v>
      </c>
      <c r="B435" s="296" t="s">
        <v>54</v>
      </c>
      <c r="C435" s="55" t="s">
        <v>1360</v>
      </c>
      <c r="D435" s="57">
        <v>60</v>
      </c>
      <c r="E435" s="57" t="s">
        <v>1167</v>
      </c>
      <c r="F435" s="57" t="s">
        <v>1361</v>
      </c>
      <c r="G435" s="125">
        <v>44599</v>
      </c>
      <c r="H435" s="87" t="s">
        <v>1340</v>
      </c>
      <c r="I435" s="86"/>
      <c r="J435" s="86"/>
      <c r="K435" s="86"/>
      <c r="L435" s="86"/>
      <c r="M435" s="283">
        <v>4000</v>
      </c>
    </row>
    <row r="436" spans="1:13" ht="63" x14ac:dyDescent="0.25">
      <c r="A436" s="284">
        <v>17500</v>
      </c>
      <c r="B436" s="297" t="s">
        <v>57</v>
      </c>
      <c r="C436" s="55" t="s">
        <v>1362</v>
      </c>
      <c r="D436" s="57"/>
      <c r="E436" s="57"/>
      <c r="F436" s="57">
        <v>2</v>
      </c>
      <c r="G436" s="57" t="s">
        <v>1363</v>
      </c>
      <c r="H436" s="43"/>
      <c r="I436" s="86"/>
      <c r="J436" s="86"/>
      <c r="K436" s="86"/>
      <c r="L436" s="86"/>
      <c r="M436" s="283">
        <v>0</v>
      </c>
    </row>
    <row r="437" spans="1:13" x14ac:dyDescent="0.25">
      <c r="A437" s="284">
        <v>0</v>
      </c>
      <c r="B437" s="297" t="s">
        <v>58</v>
      </c>
      <c r="C437" s="43"/>
      <c r="D437" s="65"/>
      <c r="E437" s="65"/>
      <c r="F437" s="65">
        <v>3</v>
      </c>
      <c r="G437" s="82"/>
      <c r="H437" s="43"/>
      <c r="I437" s="86"/>
      <c r="J437" s="86"/>
      <c r="K437" s="86"/>
      <c r="L437" s="86"/>
      <c r="M437" s="283">
        <v>0</v>
      </c>
    </row>
    <row r="438" spans="1:13" x14ac:dyDescent="0.25">
      <c r="A438" s="284">
        <v>0</v>
      </c>
      <c r="B438" s="297" t="s">
        <v>59</v>
      </c>
      <c r="C438" s="43"/>
      <c r="D438" s="65"/>
      <c r="E438" s="65"/>
      <c r="F438" s="65">
        <v>4</v>
      </c>
      <c r="G438" s="82"/>
      <c r="H438" s="43"/>
      <c r="I438" s="86"/>
      <c r="J438" s="86"/>
      <c r="K438" s="86"/>
      <c r="L438" s="86"/>
      <c r="M438" s="283">
        <v>0</v>
      </c>
    </row>
    <row r="439" spans="1:13" x14ac:dyDescent="0.25">
      <c r="A439" s="284">
        <v>0</v>
      </c>
      <c r="B439" s="297" t="s">
        <v>60</v>
      </c>
      <c r="C439" s="43"/>
      <c r="D439" s="65"/>
      <c r="E439" s="65"/>
      <c r="F439" s="65">
        <v>5</v>
      </c>
      <c r="G439" s="82"/>
      <c r="H439" s="43"/>
      <c r="I439" s="86"/>
      <c r="J439" s="86"/>
      <c r="K439" s="86"/>
      <c r="L439" s="86"/>
      <c r="M439" s="283">
        <v>0</v>
      </c>
    </row>
    <row r="440" spans="1:13" ht="47.25" x14ac:dyDescent="0.25">
      <c r="A440" s="284">
        <v>0</v>
      </c>
      <c r="B440" s="297" t="s">
        <v>67</v>
      </c>
      <c r="C440" s="176" t="s">
        <v>1364</v>
      </c>
      <c r="D440" s="57"/>
      <c r="E440" s="57"/>
      <c r="F440" s="57"/>
      <c r="G440" s="57"/>
      <c r="H440" s="43"/>
      <c r="I440" s="86"/>
      <c r="J440" s="86"/>
      <c r="K440" s="86"/>
      <c r="L440" s="86"/>
      <c r="M440" s="43"/>
    </row>
    <row r="441" spans="1:13" x14ac:dyDescent="0.25">
      <c r="A441" s="284">
        <v>0</v>
      </c>
      <c r="B441" s="297" t="s">
        <v>61</v>
      </c>
      <c r="C441" s="43"/>
      <c r="D441" s="65"/>
      <c r="E441" s="65"/>
      <c r="F441" s="65">
        <v>6</v>
      </c>
      <c r="G441" s="82"/>
      <c r="H441" s="43"/>
      <c r="I441" s="86"/>
      <c r="J441" s="86"/>
      <c r="K441" s="86"/>
      <c r="L441" s="86"/>
      <c r="M441" s="283">
        <v>0</v>
      </c>
    </row>
    <row r="442" spans="1:13" x14ac:dyDescent="0.25">
      <c r="A442" s="284">
        <v>0</v>
      </c>
      <c r="B442" s="297" t="s">
        <v>62</v>
      </c>
      <c r="C442" s="43"/>
      <c r="D442" s="65"/>
      <c r="E442" s="65"/>
      <c r="F442" s="65">
        <v>7</v>
      </c>
      <c r="G442" s="82"/>
      <c r="H442" s="43"/>
      <c r="I442" s="86"/>
      <c r="J442" s="86"/>
      <c r="K442" s="86"/>
      <c r="L442" s="86"/>
      <c r="M442" s="283">
        <v>0</v>
      </c>
    </row>
    <row r="443" spans="1:13" x14ac:dyDescent="0.25">
      <c r="A443" s="284">
        <v>0</v>
      </c>
      <c r="B443" s="297" t="s">
        <v>63</v>
      </c>
      <c r="C443" s="43"/>
      <c r="D443" s="65"/>
      <c r="E443" s="65"/>
      <c r="F443" s="65"/>
      <c r="G443" s="82"/>
      <c r="H443" s="43"/>
      <c r="I443" s="86"/>
      <c r="J443" s="86"/>
      <c r="K443" s="86"/>
      <c r="L443" s="86"/>
      <c r="M443" s="283">
        <v>0</v>
      </c>
    </row>
    <row r="444" spans="1:13" x14ac:dyDescent="0.25">
      <c r="A444" s="284">
        <v>0</v>
      </c>
      <c r="B444" s="297" t="s">
        <v>64</v>
      </c>
      <c r="C444" s="43"/>
      <c r="D444" s="65"/>
      <c r="E444" s="65"/>
      <c r="F444" s="65"/>
      <c r="G444" s="82"/>
      <c r="H444" s="43"/>
      <c r="I444" s="86"/>
      <c r="J444" s="86"/>
      <c r="K444" s="86"/>
      <c r="L444" s="86"/>
      <c r="M444" s="283">
        <v>0</v>
      </c>
    </row>
    <row r="445" spans="1:13" x14ac:dyDescent="0.25">
      <c r="A445" s="284">
        <v>0</v>
      </c>
      <c r="B445" s="297" t="s">
        <v>65</v>
      </c>
      <c r="C445" s="43"/>
      <c r="D445" s="65"/>
      <c r="E445" s="65"/>
      <c r="F445" s="65"/>
      <c r="G445" s="65"/>
      <c r="H445" s="43"/>
      <c r="I445" s="194"/>
      <c r="J445" s="194"/>
      <c r="K445" s="194"/>
      <c r="L445" s="303"/>
      <c r="M445" s="8">
        <f>SUM(M435:M444)</f>
        <v>4000</v>
      </c>
    </row>
    <row r="446" spans="1:13" x14ac:dyDescent="0.25">
      <c r="A446" s="284">
        <v>0</v>
      </c>
      <c r="B446" s="297" t="s">
        <v>66</v>
      </c>
      <c r="C446" s="43"/>
      <c r="D446" s="65"/>
      <c r="E446" s="65"/>
      <c r="F446" s="65"/>
      <c r="G446" s="65"/>
      <c r="H446" s="43"/>
      <c r="I446" s="194"/>
      <c r="J446" s="194"/>
      <c r="K446" s="194"/>
      <c r="L446" s="303"/>
      <c r="M446" s="43"/>
    </row>
    <row r="447" spans="1:13" x14ac:dyDescent="0.25">
      <c r="A447" s="284">
        <v>0</v>
      </c>
      <c r="B447" s="297" t="s">
        <v>67</v>
      </c>
      <c r="C447" s="43"/>
      <c r="D447" s="65"/>
      <c r="E447" s="65"/>
      <c r="F447" s="65"/>
      <c r="G447" s="65"/>
      <c r="H447" s="43"/>
      <c r="I447" s="194"/>
      <c r="J447" s="194"/>
      <c r="K447" s="194"/>
      <c r="L447" s="303"/>
      <c r="M447" s="43"/>
    </row>
    <row r="448" spans="1:13" x14ac:dyDescent="0.25">
      <c r="A448" s="284">
        <v>0</v>
      </c>
      <c r="B448" s="297" t="s">
        <v>68</v>
      </c>
      <c r="C448" s="43"/>
      <c r="D448" s="65"/>
      <c r="E448" s="65"/>
      <c r="F448" s="65"/>
      <c r="G448" s="65"/>
      <c r="H448" s="43"/>
      <c r="I448" s="194"/>
      <c r="J448" s="194"/>
      <c r="K448" s="194"/>
      <c r="L448" s="303"/>
      <c r="M448" s="43"/>
    </row>
    <row r="449" spans="1:13" x14ac:dyDescent="0.25">
      <c r="A449" s="284">
        <v>0</v>
      </c>
      <c r="B449" s="298">
        <v>0.79166666666666663</v>
      </c>
      <c r="C449" s="43"/>
      <c r="D449" s="65"/>
      <c r="E449" s="65"/>
      <c r="F449" s="65"/>
      <c r="G449" s="65"/>
      <c r="H449" s="43"/>
      <c r="I449" s="194"/>
      <c r="J449" s="194"/>
      <c r="K449" s="194"/>
      <c r="L449" s="303"/>
      <c r="M449" s="43"/>
    </row>
    <row r="450" spans="1:13" x14ac:dyDescent="0.25">
      <c r="A450" s="284">
        <v>0</v>
      </c>
      <c r="B450" s="298">
        <v>0.83333333333333337</v>
      </c>
      <c r="C450" s="43"/>
      <c r="D450" s="65"/>
      <c r="E450" s="65"/>
      <c r="F450" s="65"/>
      <c r="G450" s="65"/>
      <c r="H450" s="43"/>
      <c r="I450" s="194"/>
      <c r="J450" s="194"/>
      <c r="K450" s="194"/>
      <c r="L450" s="303"/>
      <c r="M450" s="43"/>
    </row>
    <row r="451" spans="1:13" x14ac:dyDescent="0.25">
      <c r="A451" s="284">
        <v>0</v>
      </c>
      <c r="B451" s="298">
        <v>0.875</v>
      </c>
      <c r="C451" s="43"/>
      <c r="D451" s="65"/>
      <c r="E451" s="65"/>
      <c r="F451" s="65"/>
      <c r="G451" s="65"/>
      <c r="H451" s="43"/>
      <c r="I451" s="194"/>
      <c r="J451" s="194"/>
      <c r="K451" s="194"/>
      <c r="L451" s="303"/>
      <c r="M451" s="43"/>
    </row>
    <row r="452" spans="1:13" x14ac:dyDescent="0.25">
      <c r="A452" s="284">
        <v>0</v>
      </c>
      <c r="B452" s="298">
        <v>0.91666666666666663</v>
      </c>
      <c r="C452" s="43"/>
      <c r="D452" s="65"/>
      <c r="E452" s="65"/>
      <c r="F452" s="65"/>
      <c r="G452" s="65"/>
      <c r="H452" s="43"/>
      <c r="I452" s="194"/>
      <c r="J452" s="194"/>
      <c r="K452" s="194"/>
      <c r="L452" s="303"/>
      <c r="M452" s="43"/>
    </row>
    <row r="453" spans="1:13" x14ac:dyDescent="0.25">
      <c r="A453" s="265">
        <f>SUM(A436:A452)</f>
        <v>17500</v>
      </c>
      <c r="B453" s="299">
        <v>0.94791666666666663</v>
      </c>
      <c r="C453" s="43"/>
      <c r="D453" s="65"/>
      <c r="E453" s="65"/>
      <c r="F453" s="65"/>
      <c r="G453" s="65"/>
      <c r="H453" s="43"/>
      <c r="I453" s="194"/>
      <c r="J453" s="194"/>
      <c r="K453" s="194"/>
      <c r="L453" s="303"/>
      <c r="M453" s="43"/>
    </row>
    <row r="454" spans="1:13" ht="110.25" x14ac:dyDescent="0.25">
      <c r="A454" s="281">
        <f>A435+3</f>
        <v>44599</v>
      </c>
      <c r="B454" s="296" t="s">
        <v>54</v>
      </c>
      <c r="C454" s="55" t="s">
        <v>1365</v>
      </c>
      <c r="D454" s="57">
        <v>48</v>
      </c>
      <c r="E454" s="57" t="s">
        <v>248</v>
      </c>
      <c r="F454" s="57" t="s">
        <v>1366</v>
      </c>
      <c r="G454" s="125">
        <v>44599</v>
      </c>
      <c r="H454" s="87" t="s">
        <v>1340</v>
      </c>
      <c r="I454" s="86"/>
      <c r="J454" s="86"/>
      <c r="K454" s="86"/>
      <c r="L454" s="86"/>
      <c r="M454" s="283">
        <v>4000</v>
      </c>
    </row>
    <row r="455" spans="1:13" ht="47.25" x14ac:dyDescent="0.25">
      <c r="A455" s="284">
        <v>1174</v>
      </c>
      <c r="B455" s="314" t="s">
        <v>57</v>
      </c>
      <c r="C455" s="55" t="s">
        <v>1367</v>
      </c>
      <c r="D455" s="57"/>
      <c r="E455" s="57"/>
      <c r="F455" s="57"/>
      <c r="G455" s="57" t="s">
        <v>1338</v>
      </c>
      <c r="H455" s="43"/>
      <c r="I455" s="86"/>
      <c r="J455" s="86"/>
      <c r="K455" s="86"/>
      <c r="L455" s="86"/>
      <c r="M455" s="283">
        <v>0</v>
      </c>
    </row>
    <row r="456" spans="1:13" x14ac:dyDescent="0.25">
      <c r="A456" s="284">
        <v>0</v>
      </c>
      <c r="B456" s="314" t="s">
        <v>58</v>
      </c>
      <c r="C456" s="55"/>
      <c r="D456" s="57"/>
      <c r="E456" s="57"/>
      <c r="F456" s="57"/>
      <c r="G456" s="57"/>
      <c r="H456" s="43"/>
      <c r="I456" s="86"/>
      <c r="J456" s="86"/>
      <c r="K456" s="86"/>
      <c r="L456" s="86"/>
      <c r="M456" s="283">
        <v>0</v>
      </c>
    </row>
    <row r="457" spans="1:13" ht="63" x14ac:dyDescent="0.25">
      <c r="A457" s="284">
        <v>1000</v>
      </c>
      <c r="B457" s="314" t="s">
        <v>59</v>
      </c>
      <c r="C457" s="55" t="s">
        <v>1368</v>
      </c>
      <c r="D457" s="57">
        <v>48</v>
      </c>
      <c r="E457" s="57" t="s">
        <v>85</v>
      </c>
      <c r="F457" s="57" t="s">
        <v>1369</v>
      </c>
      <c r="G457" s="125">
        <v>44599</v>
      </c>
      <c r="H457" s="43"/>
      <c r="I457" s="86"/>
      <c r="J457" s="86"/>
      <c r="K457" s="86"/>
      <c r="L457" s="86"/>
      <c r="M457" s="283">
        <v>0</v>
      </c>
    </row>
    <row r="458" spans="1:13" ht="47.25" x14ac:dyDescent="0.25">
      <c r="A458" s="284">
        <v>0</v>
      </c>
      <c r="B458" s="314" t="s">
        <v>60</v>
      </c>
      <c r="C458" s="55" t="s">
        <v>1370</v>
      </c>
      <c r="D458" s="57"/>
      <c r="E458" s="57"/>
      <c r="F458" s="57"/>
      <c r="G458" s="57" t="s">
        <v>1338</v>
      </c>
      <c r="H458" s="43"/>
      <c r="I458" s="86"/>
      <c r="J458" s="86"/>
      <c r="K458" s="86"/>
      <c r="L458" s="86"/>
      <c r="M458" s="283">
        <v>0</v>
      </c>
    </row>
    <row r="459" spans="1:13" x14ac:dyDescent="0.25">
      <c r="A459" s="284">
        <v>1320</v>
      </c>
      <c r="B459" s="314" t="s">
        <v>61</v>
      </c>
      <c r="C459" s="43"/>
      <c r="D459" s="57"/>
      <c r="E459" s="57"/>
      <c r="F459" s="57"/>
      <c r="G459" s="57"/>
      <c r="H459" s="43"/>
      <c r="I459" s="86"/>
      <c r="J459" s="86"/>
      <c r="K459" s="86"/>
      <c r="L459" s="304"/>
      <c r="M459" s="283">
        <v>0</v>
      </c>
    </row>
    <row r="460" spans="1:13" x14ac:dyDescent="0.25">
      <c r="A460" s="284">
        <v>0</v>
      </c>
      <c r="B460" s="314" t="s">
        <v>62</v>
      </c>
      <c r="C460" s="43"/>
      <c r="D460" s="57"/>
      <c r="E460" s="57"/>
      <c r="F460" s="57"/>
      <c r="G460" s="57"/>
      <c r="H460" s="43"/>
      <c r="I460" s="86"/>
      <c r="J460" s="86"/>
      <c r="K460" s="86"/>
      <c r="L460" s="304"/>
      <c r="M460" s="283">
        <v>0</v>
      </c>
    </row>
    <row r="461" spans="1:13" x14ac:dyDescent="0.25">
      <c r="A461" s="284">
        <v>0</v>
      </c>
      <c r="B461" s="314" t="s">
        <v>63</v>
      </c>
      <c r="C461" s="43"/>
      <c r="D461" s="57"/>
      <c r="E461" s="57"/>
      <c r="F461" s="57"/>
      <c r="G461" s="57"/>
      <c r="H461" s="43"/>
      <c r="I461" s="86"/>
      <c r="J461" s="86"/>
      <c r="K461" s="86"/>
      <c r="L461" s="304"/>
      <c r="M461" s="283">
        <v>0</v>
      </c>
    </row>
    <row r="462" spans="1:13" ht="47.25" x14ac:dyDescent="0.25">
      <c r="A462" s="284">
        <v>1133</v>
      </c>
      <c r="B462" s="314" t="s">
        <v>64</v>
      </c>
      <c r="C462" s="55" t="s">
        <v>1371</v>
      </c>
      <c r="D462" s="84">
        <v>60</v>
      </c>
      <c r="E462" s="84" t="s">
        <v>291</v>
      </c>
      <c r="F462" s="84" t="s">
        <v>1372</v>
      </c>
      <c r="G462" s="136">
        <v>44594</v>
      </c>
      <c r="H462" s="43"/>
      <c r="I462" s="86"/>
      <c r="J462" s="86"/>
      <c r="K462" s="86"/>
      <c r="L462" s="304"/>
      <c r="M462" s="283">
        <v>0</v>
      </c>
    </row>
    <row r="463" spans="1:13" ht="47.25" x14ac:dyDescent="0.25">
      <c r="A463" s="284">
        <v>0</v>
      </c>
      <c r="B463" s="314" t="s">
        <v>65</v>
      </c>
      <c r="C463" s="55" t="s">
        <v>1373</v>
      </c>
      <c r="D463" s="84"/>
      <c r="E463" s="84"/>
      <c r="F463" s="84"/>
      <c r="G463" s="84"/>
      <c r="H463" s="43"/>
      <c r="I463" s="194"/>
      <c r="J463" s="194"/>
      <c r="K463" s="194"/>
      <c r="L463" s="303"/>
      <c r="M463" s="8">
        <f>SUM(M454:M462)</f>
        <v>4000</v>
      </c>
    </row>
    <row r="464" spans="1:13" x14ac:dyDescent="0.25">
      <c r="A464" s="284">
        <v>0</v>
      </c>
      <c r="B464" s="314" t="s">
        <v>66</v>
      </c>
      <c r="C464" s="43"/>
      <c r="D464" s="84"/>
      <c r="E464" s="84"/>
      <c r="F464" s="84"/>
      <c r="G464" s="84"/>
      <c r="H464" s="43"/>
      <c r="I464" s="194"/>
      <c r="J464" s="194"/>
      <c r="K464" s="194"/>
      <c r="L464" s="303"/>
      <c r="M464" s="43"/>
    </row>
    <row r="465" spans="1:13" x14ac:dyDescent="0.25">
      <c r="A465" s="284">
        <v>0</v>
      </c>
      <c r="B465" s="314" t="s">
        <v>67</v>
      </c>
      <c r="C465" s="43"/>
      <c r="D465" s="84"/>
      <c r="E465" s="84"/>
      <c r="F465" s="84"/>
      <c r="G465" s="84"/>
      <c r="H465" s="43"/>
      <c r="I465" s="194"/>
      <c r="J465" s="194"/>
      <c r="K465" s="194"/>
      <c r="L465" s="303"/>
      <c r="M465" s="43"/>
    </row>
    <row r="466" spans="1:13" ht="189" x14ac:dyDescent="0.25">
      <c r="A466" s="284">
        <v>1133</v>
      </c>
      <c r="B466" s="314" t="s">
        <v>68</v>
      </c>
      <c r="C466" s="55" t="s">
        <v>1374</v>
      </c>
      <c r="D466" s="84">
        <v>30</v>
      </c>
      <c r="E466" s="84" t="s">
        <v>1234</v>
      </c>
      <c r="F466" s="84" t="s">
        <v>1375</v>
      </c>
      <c r="G466" s="136">
        <v>44596</v>
      </c>
      <c r="H466" s="43"/>
      <c r="I466" s="194"/>
      <c r="J466" s="194"/>
      <c r="K466" s="194"/>
      <c r="L466" s="303"/>
      <c r="M466" s="43"/>
    </row>
    <row r="467" spans="1:13" ht="63" x14ac:dyDescent="0.25">
      <c r="A467" s="284">
        <v>0</v>
      </c>
      <c r="B467" s="315">
        <v>0.79166666666666663</v>
      </c>
      <c r="C467" s="55" t="s">
        <v>1376</v>
      </c>
      <c r="D467" s="84"/>
      <c r="E467" s="84"/>
      <c r="F467" s="84"/>
      <c r="G467" s="84" t="s">
        <v>1377</v>
      </c>
      <c r="H467" s="43"/>
      <c r="I467" s="194"/>
      <c r="J467" s="194"/>
      <c r="K467" s="194"/>
      <c r="L467" s="303"/>
      <c r="M467" s="43"/>
    </row>
    <row r="468" spans="1:13" x14ac:dyDescent="0.25">
      <c r="A468" s="284">
        <v>0</v>
      </c>
      <c r="B468" s="315">
        <v>0.83333333333333337</v>
      </c>
      <c r="C468" s="43"/>
      <c r="D468" s="84"/>
      <c r="E468" s="84"/>
      <c r="F468" s="84"/>
      <c r="G468" s="84"/>
      <c r="H468" s="43"/>
      <c r="I468" s="194"/>
      <c r="J468" s="194"/>
      <c r="K468" s="194"/>
      <c r="L468" s="303"/>
      <c r="M468" s="43"/>
    </row>
    <row r="469" spans="1:13" x14ac:dyDescent="0.25">
      <c r="A469" s="284">
        <v>0</v>
      </c>
      <c r="B469" s="315">
        <v>0.875</v>
      </c>
      <c r="C469" s="43"/>
      <c r="D469" s="194"/>
      <c r="E469" s="194"/>
      <c r="F469" s="194"/>
      <c r="G469" s="194"/>
      <c r="H469" s="43"/>
      <c r="I469" s="194"/>
      <c r="J469" s="194"/>
      <c r="K469" s="194"/>
      <c r="L469" s="303"/>
      <c r="M469" s="43"/>
    </row>
    <row r="470" spans="1:13" x14ac:dyDescent="0.25">
      <c r="A470" s="284">
        <v>0</v>
      </c>
      <c r="B470" s="315">
        <v>0.91666666666666663</v>
      </c>
      <c r="C470" s="43"/>
      <c r="D470" s="194"/>
      <c r="E470" s="194"/>
      <c r="F470" s="194"/>
      <c r="G470" s="194"/>
      <c r="H470" s="43"/>
      <c r="I470" s="194"/>
      <c r="J470" s="194"/>
      <c r="K470" s="194"/>
      <c r="L470" s="303"/>
      <c r="M470" s="43"/>
    </row>
    <row r="471" spans="1:13" x14ac:dyDescent="0.25">
      <c r="A471" s="265">
        <f>SUM(A455:A470)</f>
        <v>5760</v>
      </c>
      <c r="B471" s="316">
        <v>0.94791666666666663</v>
      </c>
      <c r="C471" s="43"/>
      <c r="D471" s="194"/>
      <c r="E471" s="194"/>
      <c r="F471" s="194"/>
      <c r="G471" s="194"/>
      <c r="H471" s="43"/>
      <c r="I471" s="194"/>
      <c r="J471" s="194"/>
      <c r="K471" s="194"/>
      <c r="L471" s="303"/>
      <c r="M471" s="43"/>
    </row>
    <row r="472" spans="1:13" ht="126" x14ac:dyDescent="0.25">
      <c r="A472" s="281">
        <f>A454+1</f>
        <v>44600</v>
      </c>
      <c r="B472" s="317" t="s">
        <v>54</v>
      </c>
      <c r="C472" s="55" t="s">
        <v>1378</v>
      </c>
      <c r="D472" s="84">
        <v>60</v>
      </c>
      <c r="E472" s="84" t="s">
        <v>1379</v>
      </c>
      <c r="F472" s="84" t="s">
        <v>1380</v>
      </c>
      <c r="G472" s="136">
        <v>44599</v>
      </c>
      <c r="H472" s="87" t="s">
        <v>1340</v>
      </c>
      <c r="I472" s="86"/>
      <c r="J472" s="86"/>
      <c r="K472" s="86"/>
      <c r="L472" s="86"/>
      <c r="M472" s="283">
        <v>2000</v>
      </c>
    </row>
    <row r="473" spans="1:13" x14ac:dyDescent="0.25">
      <c r="A473" s="284">
        <v>16100</v>
      </c>
      <c r="B473" s="314" t="s">
        <v>57</v>
      </c>
      <c r="C473" s="55"/>
      <c r="D473" s="84"/>
      <c r="E473" s="84"/>
      <c r="F473" s="84"/>
      <c r="G473" s="84" t="s">
        <v>452</v>
      </c>
      <c r="H473" s="43"/>
      <c r="I473" s="86"/>
      <c r="J473" s="86"/>
      <c r="K473" s="86"/>
      <c r="L473" s="86"/>
      <c r="M473" s="283">
        <v>0</v>
      </c>
    </row>
    <row r="474" spans="1:13" x14ac:dyDescent="0.25">
      <c r="A474" s="284">
        <v>0</v>
      </c>
      <c r="B474" s="314" t="s">
        <v>58</v>
      </c>
      <c r="C474" s="43"/>
      <c r="D474" s="86" t="s">
        <v>1381</v>
      </c>
      <c r="E474" s="86"/>
      <c r="F474" s="86"/>
      <c r="G474" s="304"/>
      <c r="H474" s="43"/>
      <c r="I474" s="86"/>
      <c r="J474" s="86"/>
      <c r="K474" s="86"/>
      <c r="L474" s="86"/>
      <c r="M474" s="283">
        <v>0</v>
      </c>
    </row>
    <row r="475" spans="1:13" x14ac:dyDescent="0.25">
      <c r="A475" s="284">
        <v>0</v>
      </c>
      <c r="B475" s="314" t="s">
        <v>59</v>
      </c>
      <c r="C475" s="43"/>
      <c r="D475" s="86" t="s">
        <v>1382</v>
      </c>
      <c r="E475" s="86"/>
      <c r="F475" s="86"/>
      <c r="G475" s="304"/>
      <c r="H475" s="43"/>
      <c r="I475" s="86"/>
      <c r="J475" s="86"/>
      <c r="K475" s="86"/>
      <c r="L475" s="86"/>
      <c r="M475" s="283">
        <v>0</v>
      </c>
    </row>
    <row r="476" spans="1:13" x14ac:dyDescent="0.25">
      <c r="A476" s="284">
        <v>0</v>
      </c>
      <c r="B476" s="314" t="s">
        <v>60</v>
      </c>
      <c r="C476" s="43"/>
      <c r="D476" s="86"/>
      <c r="E476" s="86"/>
      <c r="F476" s="86"/>
      <c r="G476" s="304"/>
      <c r="H476" s="43"/>
      <c r="I476" s="65"/>
      <c r="J476" s="65"/>
      <c r="K476" s="65"/>
      <c r="L476" s="65"/>
      <c r="M476" s="283">
        <v>0</v>
      </c>
    </row>
    <row r="477" spans="1:13" ht="47.25" x14ac:dyDescent="0.25">
      <c r="A477" s="284">
        <v>0</v>
      </c>
      <c r="B477" s="314" t="s">
        <v>61</v>
      </c>
      <c r="C477" s="43"/>
      <c r="D477" s="86"/>
      <c r="E477" s="86"/>
      <c r="F477" s="86"/>
      <c r="G477" s="86"/>
      <c r="H477" s="55" t="s">
        <v>1383</v>
      </c>
      <c r="I477" s="57">
        <v>54</v>
      </c>
      <c r="J477" s="57" t="s">
        <v>248</v>
      </c>
      <c r="K477" s="57" t="s">
        <v>1384</v>
      </c>
      <c r="L477" s="125">
        <v>44600</v>
      </c>
      <c r="M477" s="283">
        <v>1485</v>
      </c>
    </row>
    <row r="478" spans="1:13" ht="31.5" x14ac:dyDescent="0.25">
      <c r="A478" s="284">
        <v>0</v>
      </c>
      <c r="B478" s="314" t="s">
        <v>62</v>
      </c>
      <c r="C478" s="43"/>
      <c r="D478" s="86"/>
      <c r="E478" s="86"/>
      <c r="F478" s="86">
        <v>2</v>
      </c>
      <c r="G478" s="86"/>
      <c r="H478" s="55" t="s">
        <v>1385</v>
      </c>
      <c r="I478" s="57"/>
      <c r="J478" s="57"/>
      <c r="K478" s="57">
        <v>2</v>
      </c>
      <c r="L478" s="57" t="s">
        <v>1344</v>
      </c>
      <c r="M478" s="283">
        <v>0</v>
      </c>
    </row>
    <row r="479" spans="1:13" x14ac:dyDescent="0.25">
      <c r="A479" s="284">
        <v>0</v>
      </c>
      <c r="B479" s="314" t="s">
        <v>63</v>
      </c>
      <c r="C479" s="43"/>
      <c r="D479" s="86"/>
      <c r="E479" s="86"/>
      <c r="F479" s="86">
        <v>3</v>
      </c>
      <c r="G479" s="86"/>
      <c r="H479" s="43"/>
      <c r="I479" s="65"/>
      <c r="J479" s="65"/>
      <c r="K479" s="65">
        <v>3</v>
      </c>
      <c r="L479" s="82"/>
      <c r="M479" s="283">
        <v>0</v>
      </c>
    </row>
    <row r="480" spans="1:13" x14ac:dyDescent="0.25">
      <c r="A480" s="284">
        <v>0</v>
      </c>
      <c r="B480" s="314" t="s">
        <v>64</v>
      </c>
      <c r="C480" s="43"/>
      <c r="D480" s="86"/>
      <c r="E480" s="86"/>
      <c r="F480" s="86">
        <v>4</v>
      </c>
      <c r="G480" s="86"/>
      <c r="H480" s="43"/>
      <c r="I480" s="65"/>
      <c r="J480" s="65"/>
      <c r="K480" s="65"/>
      <c r="L480" s="82"/>
      <c r="M480" s="283">
        <v>0</v>
      </c>
    </row>
    <row r="481" spans="1:13" x14ac:dyDescent="0.25">
      <c r="A481" s="284">
        <v>0</v>
      </c>
      <c r="B481" s="314" t="s">
        <v>65</v>
      </c>
      <c r="C481" s="43"/>
      <c r="D481" s="86"/>
      <c r="E481" s="86"/>
      <c r="F481" s="86">
        <v>5</v>
      </c>
      <c r="G481" s="86"/>
      <c r="H481" s="43"/>
      <c r="I481" s="194"/>
      <c r="J481" s="194"/>
      <c r="K481" s="194"/>
      <c r="L481" s="303"/>
      <c r="M481" s="8">
        <f>SUM(M472:M480)</f>
        <v>3485</v>
      </c>
    </row>
    <row r="482" spans="1:13" x14ac:dyDescent="0.25">
      <c r="A482" s="284">
        <v>0</v>
      </c>
      <c r="B482" s="314" t="s">
        <v>66</v>
      </c>
      <c r="C482" s="43"/>
      <c r="D482" s="86"/>
      <c r="E482" s="86"/>
      <c r="F482" s="86">
        <v>6</v>
      </c>
      <c r="G482" s="86"/>
      <c r="H482" s="43"/>
      <c r="I482" s="194"/>
      <c r="J482" s="194"/>
      <c r="K482" s="194"/>
      <c r="L482" s="303"/>
      <c r="M482" s="43"/>
    </row>
    <row r="483" spans="1:13" x14ac:dyDescent="0.25">
      <c r="A483" s="284">
        <v>0</v>
      </c>
      <c r="B483" s="314" t="s">
        <v>67</v>
      </c>
      <c r="C483" s="43"/>
      <c r="D483" s="86"/>
      <c r="E483" s="86"/>
      <c r="F483" s="86">
        <v>7</v>
      </c>
      <c r="G483" s="86"/>
      <c r="H483" s="43"/>
      <c r="I483" s="194"/>
      <c r="J483" s="194"/>
      <c r="K483" s="194"/>
      <c r="L483" s="303"/>
      <c r="M483" s="43"/>
    </row>
    <row r="484" spans="1:13" x14ac:dyDescent="0.25">
      <c r="A484" s="284">
        <v>0</v>
      </c>
      <c r="B484" s="314" t="s">
        <v>68</v>
      </c>
      <c r="C484" s="43"/>
      <c r="D484" s="86"/>
      <c r="E484" s="86"/>
      <c r="F484" s="86">
        <v>8</v>
      </c>
      <c r="G484" s="86"/>
      <c r="H484" s="43"/>
      <c r="I484" s="194"/>
      <c r="J484" s="194"/>
      <c r="K484" s="194"/>
      <c r="L484" s="303"/>
      <c r="M484" s="43"/>
    </row>
    <row r="485" spans="1:13" x14ac:dyDescent="0.25">
      <c r="A485" s="284">
        <v>0</v>
      </c>
      <c r="B485" s="315">
        <v>0.79166666666666663</v>
      </c>
      <c r="C485" s="43"/>
      <c r="D485" s="86"/>
      <c r="E485" s="86"/>
      <c r="F485" s="86"/>
      <c r="G485" s="86"/>
      <c r="H485" s="43"/>
      <c r="I485" s="194"/>
      <c r="J485" s="194"/>
      <c r="K485" s="194"/>
      <c r="L485" s="303"/>
      <c r="M485" s="43"/>
    </row>
    <row r="486" spans="1:13" x14ac:dyDescent="0.25">
      <c r="A486" s="284">
        <v>0</v>
      </c>
      <c r="B486" s="315">
        <v>0.83333333333333337</v>
      </c>
      <c r="C486" s="43"/>
      <c r="D486" s="86"/>
      <c r="E486" s="86"/>
      <c r="F486" s="86"/>
      <c r="G486" s="86"/>
      <c r="H486" s="43"/>
      <c r="I486" s="194"/>
      <c r="J486" s="194"/>
      <c r="K486" s="194"/>
      <c r="L486" s="303"/>
      <c r="M486" s="43"/>
    </row>
    <row r="487" spans="1:13" x14ac:dyDescent="0.25">
      <c r="A487" s="284">
        <v>0</v>
      </c>
      <c r="B487" s="315">
        <v>0.875</v>
      </c>
      <c r="C487" s="43"/>
      <c r="D487" s="86"/>
      <c r="E487" s="86"/>
      <c r="F487" s="86"/>
      <c r="G487" s="86"/>
      <c r="H487" s="43"/>
      <c r="I487" s="194"/>
      <c r="J487" s="194"/>
      <c r="K487" s="194"/>
      <c r="L487" s="303"/>
      <c r="M487" s="43"/>
    </row>
    <row r="488" spans="1:13" x14ac:dyDescent="0.25">
      <c r="A488" s="284">
        <v>0</v>
      </c>
      <c r="B488" s="315">
        <v>0.91666666666666663</v>
      </c>
      <c r="C488" s="43"/>
      <c r="D488" s="86"/>
      <c r="E488" s="86"/>
      <c r="F488" s="86"/>
      <c r="G488" s="86"/>
      <c r="H488" s="43"/>
      <c r="I488" s="194"/>
      <c r="J488" s="194"/>
      <c r="K488" s="194"/>
      <c r="L488" s="303"/>
      <c r="M488" s="43"/>
    </row>
    <row r="489" spans="1:13" x14ac:dyDescent="0.25">
      <c r="A489" s="265">
        <f>SUM(A473:A488)</f>
        <v>16100</v>
      </c>
      <c r="B489" s="316">
        <v>0.94791666666666663</v>
      </c>
      <c r="C489" s="43"/>
      <c r="D489" s="86"/>
      <c r="E489" s="86"/>
      <c r="F489" s="86"/>
      <c r="G489" s="86"/>
      <c r="H489" s="43"/>
      <c r="I489" s="194"/>
      <c r="J489" s="194"/>
      <c r="K489" s="194"/>
      <c r="L489" s="303"/>
      <c r="M489" s="43"/>
    </row>
    <row r="490" spans="1:13" ht="47.25" x14ac:dyDescent="0.25">
      <c r="A490" s="281">
        <f>A472+1</f>
        <v>44601</v>
      </c>
      <c r="B490" s="317" t="s">
        <v>54</v>
      </c>
      <c r="C490" s="43"/>
      <c r="D490" s="86"/>
      <c r="E490" s="86"/>
      <c r="F490" s="86">
        <v>9</v>
      </c>
      <c r="G490" s="86"/>
      <c r="H490" s="55" t="s">
        <v>1386</v>
      </c>
      <c r="I490" s="57">
        <v>58</v>
      </c>
      <c r="J490" s="57" t="s">
        <v>1271</v>
      </c>
      <c r="K490" s="57" t="s">
        <v>1387</v>
      </c>
      <c r="L490" s="125">
        <v>44601</v>
      </c>
      <c r="M490" s="283">
        <v>3047</v>
      </c>
    </row>
    <row r="491" spans="1:13" ht="31.5" x14ac:dyDescent="0.25">
      <c r="A491" s="284">
        <v>5000</v>
      </c>
      <c r="B491" s="314" t="s">
        <v>57</v>
      </c>
      <c r="C491" s="43"/>
      <c r="D491" s="86"/>
      <c r="E491" s="86"/>
      <c r="F491" s="86">
        <v>10</v>
      </c>
      <c r="G491" s="86"/>
      <c r="H491" s="55" t="s">
        <v>1388</v>
      </c>
      <c r="I491" s="57"/>
      <c r="J491" s="57"/>
      <c r="K491" s="57">
        <v>2</v>
      </c>
      <c r="L491" s="57" t="s">
        <v>555</v>
      </c>
      <c r="M491" s="283">
        <v>0</v>
      </c>
    </row>
    <row r="492" spans="1:13" x14ac:dyDescent="0.25">
      <c r="A492" s="284">
        <v>0</v>
      </c>
      <c r="B492" s="314" t="s">
        <v>58</v>
      </c>
      <c r="C492" s="43"/>
      <c r="D492" s="86"/>
      <c r="E492" s="86"/>
      <c r="F492" s="86">
        <v>11</v>
      </c>
      <c r="G492" s="86"/>
      <c r="H492" s="43"/>
      <c r="I492" s="65"/>
      <c r="J492" s="65"/>
      <c r="K492" s="65">
        <v>3</v>
      </c>
      <c r="L492" s="82"/>
      <c r="M492" s="283">
        <v>0</v>
      </c>
    </row>
    <row r="493" spans="1:13" x14ac:dyDescent="0.25">
      <c r="A493" s="284">
        <v>0</v>
      </c>
      <c r="B493" s="314" t="s">
        <v>59</v>
      </c>
      <c r="C493" s="43"/>
      <c r="D493" s="86"/>
      <c r="E493" s="86"/>
      <c r="F493" s="86">
        <v>12</v>
      </c>
      <c r="G493" s="86"/>
      <c r="H493" s="43"/>
      <c r="I493" s="65"/>
      <c r="J493" s="65"/>
      <c r="K493" s="65">
        <v>4</v>
      </c>
      <c r="L493" s="82"/>
      <c r="M493" s="283">
        <v>0</v>
      </c>
    </row>
    <row r="494" spans="1:13" x14ac:dyDescent="0.25">
      <c r="A494" s="284">
        <v>3729</v>
      </c>
      <c r="B494" s="314" t="s">
        <v>60</v>
      </c>
      <c r="C494" s="43"/>
      <c r="D494" s="86"/>
      <c r="E494" s="86"/>
      <c r="F494" s="86">
        <v>13</v>
      </c>
      <c r="G494" s="86"/>
      <c r="H494" s="43"/>
      <c r="I494" s="65"/>
      <c r="J494" s="65"/>
      <c r="K494" s="65">
        <v>5</v>
      </c>
      <c r="L494" s="82"/>
      <c r="M494" s="283">
        <v>0</v>
      </c>
    </row>
    <row r="495" spans="1:13" ht="47.25" x14ac:dyDescent="0.25">
      <c r="A495" s="284">
        <v>0</v>
      </c>
      <c r="B495" s="314" t="s">
        <v>61</v>
      </c>
      <c r="C495" s="43"/>
      <c r="D495" s="86"/>
      <c r="E495" s="86"/>
      <c r="F495" s="86">
        <v>14</v>
      </c>
      <c r="G495" s="86"/>
      <c r="H495" s="55" t="s">
        <v>1389</v>
      </c>
      <c r="I495" s="57">
        <v>60</v>
      </c>
      <c r="J495" s="57" t="s">
        <v>1167</v>
      </c>
      <c r="K495" s="57" t="s">
        <v>1390</v>
      </c>
      <c r="L495" s="125">
        <v>44602</v>
      </c>
      <c r="M495" s="283">
        <v>0</v>
      </c>
    </row>
    <row r="496" spans="1:13" ht="47.25" x14ac:dyDescent="0.25">
      <c r="A496" s="284">
        <v>0</v>
      </c>
      <c r="B496" s="314" t="s">
        <v>62</v>
      </c>
      <c r="C496" s="43"/>
      <c r="D496" s="86"/>
      <c r="E496" s="86"/>
      <c r="F496" s="86"/>
      <c r="G496" s="86"/>
      <c r="H496" s="55" t="s">
        <v>1391</v>
      </c>
      <c r="I496" s="57"/>
      <c r="J496" s="57"/>
      <c r="K496" s="57"/>
      <c r="L496" s="57"/>
      <c r="M496" s="283">
        <v>0</v>
      </c>
    </row>
    <row r="497" spans="1:13" x14ac:dyDescent="0.25">
      <c r="A497" s="284">
        <v>0</v>
      </c>
      <c r="B497" s="314" t="s">
        <v>63</v>
      </c>
      <c r="C497" s="43"/>
      <c r="D497" s="86"/>
      <c r="E497" s="86"/>
      <c r="F497" s="86"/>
      <c r="G497" s="86"/>
      <c r="H497" s="43"/>
      <c r="I497" s="65"/>
      <c r="J497" s="65"/>
      <c r="K497" s="65"/>
      <c r="L497" s="65"/>
      <c r="M497" s="283">
        <v>0</v>
      </c>
    </row>
    <row r="498" spans="1:13" ht="157.5" x14ac:dyDescent="0.25">
      <c r="A498" s="284">
        <v>2438</v>
      </c>
      <c r="B498" s="314" t="s">
        <v>64</v>
      </c>
      <c r="C498" s="55" t="s">
        <v>1392</v>
      </c>
      <c r="D498" s="84">
        <v>60</v>
      </c>
      <c r="E498" s="84" t="s">
        <v>1393</v>
      </c>
      <c r="F498" s="84" t="s">
        <v>1394</v>
      </c>
      <c r="G498" s="136">
        <v>44602</v>
      </c>
      <c r="H498" s="43"/>
      <c r="I498" s="65"/>
      <c r="J498" s="65"/>
      <c r="K498" s="65"/>
      <c r="L498" s="82"/>
      <c r="M498" s="283">
        <v>0</v>
      </c>
    </row>
    <row r="499" spans="1:13" ht="63" x14ac:dyDescent="0.25">
      <c r="A499" s="284">
        <v>0</v>
      </c>
      <c r="B499" s="314" t="s">
        <v>65</v>
      </c>
      <c r="C499" s="55" t="s">
        <v>1395</v>
      </c>
      <c r="D499" s="84" t="s">
        <v>1396</v>
      </c>
      <c r="E499" s="84" t="s">
        <v>1397</v>
      </c>
      <c r="F499" s="84">
        <v>2</v>
      </c>
      <c r="G499" s="84" t="s">
        <v>929</v>
      </c>
      <c r="H499" s="43"/>
      <c r="I499" s="65"/>
      <c r="J499" s="65"/>
      <c r="K499" s="65"/>
      <c r="L499" s="82"/>
      <c r="M499" s="8">
        <f>SUM(M490:M498)</f>
        <v>3047</v>
      </c>
    </row>
    <row r="500" spans="1:13" x14ac:dyDescent="0.25">
      <c r="A500" s="284">
        <v>0</v>
      </c>
      <c r="B500" s="314" t="s">
        <v>66</v>
      </c>
      <c r="C500" s="318" t="s">
        <v>1398</v>
      </c>
      <c r="D500" s="86"/>
      <c r="E500" s="86"/>
      <c r="F500" s="86">
        <v>3</v>
      </c>
      <c r="G500" s="304"/>
      <c r="H500" s="43"/>
      <c r="I500" s="194"/>
      <c r="J500" s="194"/>
      <c r="K500" s="194"/>
      <c r="L500" s="303"/>
      <c r="M500" s="43"/>
    </row>
    <row r="501" spans="1:13" x14ac:dyDescent="0.25">
      <c r="A501" s="284">
        <v>4000</v>
      </c>
      <c r="B501" s="314" t="s">
        <v>67</v>
      </c>
      <c r="C501" s="319" t="s">
        <v>1399</v>
      </c>
      <c r="D501" s="86"/>
      <c r="E501" s="86"/>
      <c r="F501" s="86">
        <v>4</v>
      </c>
      <c r="G501" s="86"/>
      <c r="H501" s="43"/>
      <c r="I501" s="194"/>
      <c r="J501" s="194"/>
      <c r="K501" s="194"/>
      <c r="L501" s="303"/>
      <c r="M501" s="43"/>
    </row>
    <row r="502" spans="1:13" x14ac:dyDescent="0.25">
      <c r="A502" s="284">
        <v>0</v>
      </c>
      <c r="B502" s="314" t="s">
        <v>68</v>
      </c>
      <c r="C502" s="43"/>
      <c r="D502" s="86"/>
      <c r="E502" s="86"/>
      <c r="F502" s="86"/>
      <c r="G502" s="86"/>
      <c r="H502" s="43"/>
      <c r="I502" s="194"/>
      <c r="J502" s="194"/>
      <c r="K502" s="194"/>
      <c r="L502" s="303"/>
      <c r="M502" s="43"/>
    </row>
    <row r="503" spans="1:13" x14ac:dyDescent="0.25">
      <c r="A503" s="284">
        <v>0</v>
      </c>
      <c r="B503" s="315">
        <v>0.79166666666666663</v>
      </c>
      <c r="C503" s="43"/>
      <c r="D503" s="86"/>
      <c r="E503" s="86"/>
      <c r="F503" s="86"/>
      <c r="G503" s="86"/>
      <c r="H503" s="43"/>
      <c r="I503" s="194"/>
      <c r="J503" s="194"/>
      <c r="K503" s="194"/>
      <c r="L503" s="303"/>
      <c r="M503" s="43"/>
    </row>
    <row r="504" spans="1:13" x14ac:dyDescent="0.25">
      <c r="A504" s="284">
        <v>0</v>
      </c>
      <c r="B504" s="315">
        <v>0.83333333333333337</v>
      </c>
      <c r="C504" s="43"/>
      <c r="D504" s="86"/>
      <c r="E504" s="86"/>
      <c r="F504" s="86"/>
      <c r="G504" s="86"/>
      <c r="H504" s="43"/>
      <c r="I504" s="194"/>
      <c r="J504" s="194"/>
      <c r="K504" s="194"/>
      <c r="L504" s="303"/>
      <c r="M504" s="43"/>
    </row>
    <row r="505" spans="1:13" x14ac:dyDescent="0.25">
      <c r="A505" s="284">
        <v>0</v>
      </c>
      <c r="B505" s="315">
        <v>0.875</v>
      </c>
      <c r="C505" s="43"/>
      <c r="D505" s="194"/>
      <c r="E505" s="194"/>
      <c r="F505" s="194"/>
      <c r="G505" s="194"/>
      <c r="H505" s="43"/>
      <c r="I505" s="194"/>
      <c r="J505" s="194"/>
      <c r="K505" s="194"/>
      <c r="L505" s="303"/>
      <c r="M505" s="43"/>
    </row>
    <row r="506" spans="1:13" x14ac:dyDescent="0.25">
      <c r="A506" s="284">
        <v>0</v>
      </c>
      <c r="B506" s="315">
        <v>0.91666666666666663</v>
      </c>
      <c r="C506" s="43"/>
      <c r="D506" s="194"/>
      <c r="E506" s="194"/>
      <c r="F506" s="194"/>
      <c r="G506" s="194"/>
      <c r="H506" s="43"/>
      <c r="I506" s="194"/>
      <c r="J506" s="194"/>
      <c r="K506" s="194"/>
      <c r="L506" s="303"/>
      <c r="M506" s="43"/>
    </row>
    <row r="507" spans="1:13" x14ac:dyDescent="0.25">
      <c r="A507" s="265">
        <f>SUM(A491:A506)</f>
        <v>15167</v>
      </c>
      <c r="B507" s="316">
        <v>0.94791666666666663</v>
      </c>
      <c r="C507" s="43"/>
      <c r="D507" s="194"/>
      <c r="E507" s="194"/>
      <c r="F507" s="194"/>
      <c r="G507" s="194"/>
      <c r="H507" s="43"/>
      <c r="I507" s="194"/>
      <c r="J507" s="194"/>
      <c r="K507" s="194"/>
      <c r="L507" s="303"/>
      <c r="M507" s="43"/>
    </row>
    <row r="508" spans="1:13" ht="94.5" x14ac:dyDescent="0.25">
      <c r="A508" s="281">
        <f>A490+1</f>
        <v>44602</v>
      </c>
      <c r="B508" s="317" t="s">
        <v>54</v>
      </c>
      <c r="C508" s="55" t="s">
        <v>1400</v>
      </c>
      <c r="D508" s="84">
        <v>60</v>
      </c>
      <c r="E508" s="84" t="s">
        <v>151</v>
      </c>
      <c r="F508" s="84" t="s">
        <v>1401</v>
      </c>
      <c r="G508" s="313">
        <v>44601</v>
      </c>
      <c r="H508" s="43" t="s">
        <v>1402</v>
      </c>
      <c r="I508" s="84"/>
      <c r="J508" s="84"/>
      <c r="K508" s="84"/>
      <c r="L508" s="84"/>
      <c r="M508" s="283">
        <v>4000</v>
      </c>
    </row>
    <row r="509" spans="1:13" ht="63" x14ac:dyDescent="0.25">
      <c r="A509" s="284">
        <v>3729</v>
      </c>
      <c r="B509" s="314" t="s">
        <v>57</v>
      </c>
      <c r="C509" s="55" t="s">
        <v>1403</v>
      </c>
      <c r="D509" s="84"/>
      <c r="E509" s="84" t="s">
        <v>1397</v>
      </c>
      <c r="F509" s="84">
        <v>2</v>
      </c>
      <c r="G509" s="84" t="s">
        <v>1404</v>
      </c>
      <c r="H509" s="43"/>
      <c r="I509" s="84"/>
      <c r="J509" s="84"/>
      <c r="K509" s="84"/>
      <c r="L509" s="84"/>
      <c r="M509" s="283">
        <v>0</v>
      </c>
    </row>
    <row r="510" spans="1:13" x14ac:dyDescent="0.25">
      <c r="A510" s="284">
        <v>0</v>
      </c>
      <c r="B510" s="314" t="s">
        <v>58</v>
      </c>
      <c r="C510" s="43"/>
      <c r="D510" s="65"/>
      <c r="E510" s="65"/>
      <c r="F510" s="65">
        <v>3</v>
      </c>
      <c r="G510" s="82"/>
      <c r="H510" s="43"/>
      <c r="I510" s="84"/>
      <c r="J510" s="84"/>
      <c r="K510" s="84"/>
      <c r="L510" s="84"/>
      <c r="M510" s="283">
        <v>0</v>
      </c>
    </row>
    <row r="511" spans="1:13" x14ac:dyDescent="0.25">
      <c r="A511" s="284">
        <v>0</v>
      </c>
      <c r="B511" s="314" t="s">
        <v>59</v>
      </c>
      <c r="C511" s="43"/>
      <c r="D511" s="65"/>
      <c r="E511" s="65"/>
      <c r="F511" s="65">
        <v>4</v>
      </c>
      <c r="G511" s="82"/>
      <c r="H511" s="43"/>
      <c r="I511" s="84"/>
      <c r="J511" s="84"/>
      <c r="K511" s="84"/>
      <c r="L511" s="84"/>
      <c r="M511" s="283">
        <v>0</v>
      </c>
    </row>
    <row r="512" spans="1:13" ht="63" x14ac:dyDescent="0.25">
      <c r="A512" s="284">
        <v>3700</v>
      </c>
      <c r="B512" s="314" t="s">
        <v>60</v>
      </c>
      <c r="C512" s="55" t="s">
        <v>1405</v>
      </c>
      <c r="D512" s="84">
        <v>60</v>
      </c>
      <c r="E512" s="84" t="s">
        <v>248</v>
      </c>
      <c r="F512" s="84" t="s">
        <v>1406</v>
      </c>
      <c r="G512" s="136">
        <v>44602</v>
      </c>
      <c r="H512" s="43"/>
      <c r="I512" s="84"/>
      <c r="J512" s="84"/>
      <c r="K512" s="84"/>
      <c r="L512" s="84"/>
      <c r="M512" s="283">
        <v>0</v>
      </c>
    </row>
    <row r="513" spans="1:13" ht="78.75" x14ac:dyDescent="0.25">
      <c r="A513" s="284">
        <v>0</v>
      </c>
      <c r="B513" s="314" t="s">
        <v>61</v>
      </c>
      <c r="C513" s="55" t="s">
        <v>1407</v>
      </c>
      <c r="D513" s="84"/>
      <c r="E513" s="84"/>
      <c r="F513" s="84">
        <v>2</v>
      </c>
      <c r="G513" s="84" t="s">
        <v>555</v>
      </c>
      <c r="H513" s="43"/>
      <c r="I513" s="84"/>
      <c r="J513" s="84"/>
      <c r="K513" s="84"/>
      <c r="L513" s="84"/>
      <c r="M513" s="283">
        <v>0</v>
      </c>
    </row>
    <row r="514" spans="1:13" x14ac:dyDescent="0.25">
      <c r="A514" s="284">
        <v>0</v>
      </c>
      <c r="B514" s="314" t="s">
        <v>62</v>
      </c>
      <c r="C514" s="43"/>
      <c r="D514" s="86"/>
      <c r="E514" s="86"/>
      <c r="F514" s="86">
        <v>3</v>
      </c>
      <c r="G514" s="304"/>
      <c r="H514" s="43"/>
      <c r="I514" s="86"/>
      <c r="J514" s="86"/>
      <c r="K514" s="86"/>
      <c r="L514" s="86"/>
      <c r="M514" s="283">
        <v>0</v>
      </c>
    </row>
    <row r="515" spans="1:13" ht="78.75" x14ac:dyDescent="0.25">
      <c r="A515" s="284">
        <v>7000</v>
      </c>
      <c r="B515" s="314" t="s">
        <v>63</v>
      </c>
      <c r="C515" s="55" t="s">
        <v>1408</v>
      </c>
      <c r="D515" s="84">
        <v>56</v>
      </c>
      <c r="E515" s="84" t="s">
        <v>1409</v>
      </c>
      <c r="F515" s="84" t="s">
        <v>1410</v>
      </c>
      <c r="G515" s="136">
        <v>44601</v>
      </c>
      <c r="H515" s="43"/>
      <c r="I515" s="86"/>
      <c r="J515" s="86"/>
      <c r="K515" s="86"/>
      <c r="L515" s="86"/>
      <c r="M515" s="283">
        <v>0</v>
      </c>
    </row>
    <row r="516" spans="1:13" ht="126" x14ac:dyDescent="0.25">
      <c r="A516" s="284">
        <v>0</v>
      </c>
      <c r="B516" s="314" t="s">
        <v>64</v>
      </c>
      <c r="C516" s="55" t="s">
        <v>1411</v>
      </c>
      <c r="D516" s="84"/>
      <c r="E516" s="84"/>
      <c r="F516" s="84">
        <v>2</v>
      </c>
      <c r="G516" s="84"/>
      <c r="H516" s="43"/>
      <c r="I516" s="86"/>
      <c r="J516" s="86"/>
      <c r="K516" s="86"/>
      <c r="L516" s="86"/>
      <c r="M516" s="283">
        <v>0</v>
      </c>
    </row>
    <row r="517" spans="1:13" x14ac:dyDescent="0.25">
      <c r="A517" s="284">
        <v>0</v>
      </c>
      <c r="B517" s="314" t="s">
        <v>65</v>
      </c>
      <c r="C517" s="55"/>
      <c r="D517" s="84"/>
      <c r="E517" s="84"/>
      <c r="F517" s="84">
        <v>3</v>
      </c>
      <c r="G517" s="84"/>
      <c r="H517" s="43"/>
      <c r="I517" s="86"/>
      <c r="J517" s="86"/>
      <c r="K517" s="86"/>
      <c r="L517" s="304"/>
      <c r="M517" s="8">
        <f>SUM(M508:M516)</f>
        <v>4000</v>
      </c>
    </row>
    <row r="518" spans="1:13" x14ac:dyDescent="0.25">
      <c r="A518" s="284">
        <v>0</v>
      </c>
      <c r="B518" s="314" t="s">
        <v>66</v>
      </c>
      <c r="C518" s="55"/>
      <c r="D518" s="84"/>
      <c r="E518" s="84"/>
      <c r="F518" s="84">
        <v>4</v>
      </c>
      <c r="G518" s="84"/>
      <c r="H518" s="43"/>
      <c r="I518" s="86"/>
      <c r="J518" s="86"/>
      <c r="K518" s="86"/>
      <c r="L518" s="304"/>
      <c r="M518" s="43"/>
    </row>
    <row r="519" spans="1:13" x14ac:dyDescent="0.25">
      <c r="A519" s="284">
        <v>0</v>
      </c>
      <c r="B519" s="314" t="s">
        <v>67</v>
      </c>
      <c r="C519" s="55"/>
      <c r="D519" s="84"/>
      <c r="E519" s="84"/>
      <c r="F519" s="84">
        <v>5</v>
      </c>
      <c r="G519" s="84"/>
      <c r="H519" s="43"/>
      <c r="I519" s="86"/>
      <c r="J519" s="86"/>
      <c r="K519" s="86"/>
      <c r="L519" s="304"/>
      <c r="M519" s="43"/>
    </row>
    <row r="520" spans="1:13" x14ac:dyDescent="0.25">
      <c r="A520" s="284">
        <v>0</v>
      </c>
      <c r="B520" s="314" t="s">
        <v>68</v>
      </c>
      <c r="C520" s="55"/>
      <c r="D520" s="84"/>
      <c r="E520" s="84"/>
      <c r="F520" s="84">
        <v>6</v>
      </c>
      <c r="G520" s="84"/>
      <c r="H520" s="43"/>
      <c r="I520" s="86"/>
      <c r="J520" s="86"/>
      <c r="K520" s="86"/>
      <c r="L520" s="304"/>
      <c r="M520" s="43"/>
    </row>
    <row r="521" spans="1:13" x14ac:dyDescent="0.25">
      <c r="A521" s="284">
        <v>0</v>
      </c>
      <c r="B521" s="315">
        <v>0.79166666666666663</v>
      </c>
      <c r="C521" s="55"/>
      <c r="D521" s="84"/>
      <c r="E521" s="84"/>
      <c r="F521" s="84">
        <v>7</v>
      </c>
      <c r="G521" s="84"/>
      <c r="H521" s="43"/>
      <c r="I521" s="86"/>
      <c r="J521" s="86"/>
      <c r="K521" s="86"/>
      <c r="L521" s="304"/>
      <c r="M521" s="43"/>
    </row>
    <row r="522" spans="1:13" x14ac:dyDescent="0.25">
      <c r="A522" s="284">
        <v>0</v>
      </c>
      <c r="B522" s="315">
        <v>0.83333333333333337</v>
      </c>
      <c r="C522" s="43"/>
      <c r="D522" s="86"/>
      <c r="E522" s="86"/>
      <c r="F522" s="86"/>
      <c r="G522" s="65"/>
      <c r="H522" s="43"/>
      <c r="I522" s="86"/>
      <c r="J522" s="86"/>
      <c r="K522" s="86"/>
      <c r="L522" s="304"/>
      <c r="M522" s="43"/>
    </row>
    <row r="523" spans="1:13" x14ac:dyDescent="0.25">
      <c r="A523" s="284">
        <v>0</v>
      </c>
      <c r="B523" s="315">
        <v>0.875</v>
      </c>
      <c r="C523" s="43"/>
      <c r="D523" s="86"/>
      <c r="E523" s="86"/>
      <c r="F523" s="86"/>
      <c r="G523" s="65"/>
      <c r="H523" s="43"/>
      <c r="I523" s="86"/>
      <c r="J523" s="86"/>
      <c r="K523" s="86"/>
      <c r="L523" s="304"/>
      <c r="M523" s="43"/>
    </row>
    <row r="524" spans="1:13" x14ac:dyDescent="0.25">
      <c r="A524" s="284">
        <v>0</v>
      </c>
      <c r="B524" s="315">
        <v>0.91666666666666663</v>
      </c>
      <c r="C524" s="43"/>
      <c r="D524" s="86"/>
      <c r="E524" s="86"/>
      <c r="F524" s="86"/>
      <c r="G524" s="65"/>
      <c r="H524" s="43"/>
      <c r="I524" s="86"/>
      <c r="J524" s="86"/>
      <c r="K524" s="86"/>
      <c r="L524" s="304"/>
      <c r="M524" s="43"/>
    </row>
    <row r="525" spans="1:13" x14ac:dyDescent="0.25">
      <c r="A525" s="265">
        <f>SUM(A509:A524)</f>
        <v>14429</v>
      </c>
      <c r="B525" s="316">
        <v>0.94791666666666663</v>
      </c>
      <c r="C525" s="43"/>
      <c r="D525" s="86"/>
      <c r="E525" s="86"/>
      <c r="F525" s="86"/>
      <c r="G525" s="65"/>
      <c r="H525" s="43"/>
      <c r="I525" s="86"/>
      <c r="J525" s="86"/>
      <c r="K525" s="86"/>
      <c r="L525" s="304"/>
      <c r="M525" s="43"/>
    </row>
    <row r="526" spans="1:13" x14ac:dyDescent="0.25">
      <c r="A526" s="281">
        <f>A508+1</f>
        <v>44603</v>
      </c>
      <c r="B526" s="317" t="s">
        <v>54</v>
      </c>
      <c r="C526" s="87" t="s">
        <v>1412</v>
      </c>
      <c r="D526" s="84"/>
      <c r="E526" s="84"/>
      <c r="F526" s="84">
        <v>8</v>
      </c>
      <c r="G526" s="57"/>
      <c r="H526" s="43" t="s">
        <v>1402</v>
      </c>
      <c r="I526" s="86"/>
      <c r="J526" s="86"/>
      <c r="K526" s="86"/>
      <c r="L526" s="304"/>
      <c r="M526" s="283">
        <v>2100</v>
      </c>
    </row>
    <row r="527" spans="1:13" x14ac:dyDescent="0.25">
      <c r="A527" s="284">
        <v>70000</v>
      </c>
      <c r="B527" s="314" t="s">
        <v>57</v>
      </c>
      <c r="C527" s="43"/>
      <c r="D527" s="84"/>
      <c r="E527" s="84"/>
      <c r="F527" s="84">
        <v>9</v>
      </c>
      <c r="G527" s="57"/>
      <c r="H527" s="43"/>
      <c r="I527" s="86"/>
      <c r="J527" s="86"/>
      <c r="K527" s="86"/>
      <c r="L527" s="304"/>
      <c r="M527" s="283">
        <v>0</v>
      </c>
    </row>
    <row r="528" spans="1:13" x14ac:dyDescent="0.25">
      <c r="A528" s="284">
        <v>0</v>
      </c>
      <c r="B528" s="314" t="s">
        <v>58</v>
      </c>
      <c r="C528" s="43"/>
      <c r="D528" s="84"/>
      <c r="E528" s="84"/>
      <c r="F528" s="84">
        <v>10</v>
      </c>
      <c r="G528" s="57"/>
      <c r="H528" s="43"/>
      <c r="I528" s="86"/>
      <c r="J528" s="86"/>
      <c r="K528" s="86"/>
      <c r="L528" s="86"/>
      <c r="M528" s="283">
        <v>0</v>
      </c>
    </row>
    <row r="529" spans="1:13" x14ac:dyDescent="0.25">
      <c r="A529" s="284">
        <v>0</v>
      </c>
      <c r="B529" s="314" t="s">
        <v>59</v>
      </c>
      <c r="C529" s="43"/>
      <c r="D529" s="84"/>
      <c r="E529" s="84"/>
      <c r="F529" s="84">
        <v>11</v>
      </c>
      <c r="G529" s="57"/>
      <c r="H529" s="43"/>
      <c r="I529" s="86"/>
      <c r="J529" s="86"/>
      <c r="K529" s="86"/>
      <c r="L529" s="86"/>
      <c r="M529" s="283">
        <v>0</v>
      </c>
    </row>
    <row r="530" spans="1:13" ht="47.25" x14ac:dyDescent="0.25">
      <c r="A530" s="284">
        <v>0</v>
      </c>
      <c r="B530" s="314" t="s">
        <v>60</v>
      </c>
      <c r="C530" s="43"/>
      <c r="D530" s="84"/>
      <c r="E530" s="84"/>
      <c r="F530" s="84">
        <v>12</v>
      </c>
      <c r="G530" s="57"/>
      <c r="H530" s="55" t="s">
        <v>1413</v>
      </c>
      <c r="I530" s="57">
        <v>48</v>
      </c>
      <c r="J530" s="57" t="s">
        <v>70</v>
      </c>
      <c r="K530" s="57" t="s">
        <v>1414</v>
      </c>
      <c r="L530" s="125">
        <v>44609</v>
      </c>
      <c r="M530" s="283">
        <v>933</v>
      </c>
    </row>
    <row r="531" spans="1:13" ht="31.5" x14ac:dyDescent="0.25">
      <c r="A531" s="284">
        <v>0</v>
      </c>
      <c r="B531" s="314" t="s">
        <v>61</v>
      </c>
      <c r="C531" s="43"/>
      <c r="D531" s="84"/>
      <c r="E531" s="84"/>
      <c r="F531" s="84">
        <v>13</v>
      </c>
      <c r="G531" s="57"/>
      <c r="H531" s="55" t="s">
        <v>1415</v>
      </c>
      <c r="I531" s="57"/>
      <c r="J531" s="57"/>
      <c r="K531" s="57"/>
      <c r="L531" s="57" t="s">
        <v>1416</v>
      </c>
      <c r="M531" s="283">
        <v>0</v>
      </c>
    </row>
    <row r="532" spans="1:13" x14ac:dyDescent="0.25">
      <c r="A532" s="284">
        <v>0</v>
      </c>
      <c r="B532" s="314" t="s">
        <v>62</v>
      </c>
      <c r="C532" s="43"/>
      <c r="D532" s="84"/>
      <c r="E532" s="84"/>
      <c r="F532" s="84">
        <v>14</v>
      </c>
      <c r="G532" s="57"/>
      <c r="H532" s="43"/>
      <c r="I532" s="65"/>
      <c r="J532" s="65"/>
      <c r="K532" s="65"/>
      <c r="L532" s="65"/>
      <c r="M532" s="283">
        <v>0</v>
      </c>
    </row>
    <row r="533" spans="1:13" x14ac:dyDescent="0.25">
      <c r="A533" s="284">
        <v>0</v>
      </c>
      <c r="B533" s="314" t="s">
        <v>63</v>
      </c>
      <c r="C533" s="43"/>
      <c r="D533" s="86" t="s">
        <v>1417</v>
      </c>
      <c r="E533" s="86"/>
      <c r="F533" s="86"/>
      <c r="G533" s="65"/>
      <c r="H533" s="43"/>
      <c r="I533" s="65"/>
      <c r="J533" s="65"/>
      <c r="K533" s="65"/>
      <c r="L533" s="65"/>
      <c r="M533" s="283">
        <v>0</v>
      </c>
    </row>
    <row r="534" spans="1:13" x14ac:dyDescent="0.25">
      <c r="A534" s="284">
        <v>0</v>
      </c>
      <c r="B534" s="314" t="s">
        <v>64</v>
      </c>
      <c r="C534" s="43"/>
      <c r="D534" s="86" t="s">
        <v>1418</v>
      </c>
      <c r="E534" s="86"/>
      <c r="F534" s="86"/>
      <c r="G534" s="65"/>
      <c r="H534" s="43"/>
      <c r="I534" s="65"/>
      <c r="J534" s="65"/>
      <c r="K534" s="65"/>
      <c r="L534" s="65"/>
      <c r="M534" s="283">
        <v>0</v>
      </c>
    </row>
    <row r="535" spans="1:13" x14ac:dyDescent="0.25">
      <c r="A535" s="284">
        <v>0</v>
      </c>
      <c r="B535" s="314" t="s">
        <v>65</v>
      </c>
      <c r="C535" s="43"/>
      <c r="D535" s="86"/>
      <c r="E535" s="86"/>
      <c r="F535" s="86"/>
      <c r="G535" s="65"/>
      <c r="H535" s="43"/>
      <c r="I535" s="65"/>
      <c r="J535" s="65"/>
      <c r="K535" s="65"/>
      <c r="L535" s="82"/>
      <c r="M535" s="8">
        <f>SUM(M526:M534)</f>
        <v>3033</v>
      </c>
    </row>
    <row r="536" spans="1:13" x14ac:dyDescent="0.25">
      <c r="A536" s="284">
        <v>0</v>
      </c>
      <c r="B536" s="314" t="s">
        <v>66</v>
      </c>
      <c r="C536" s="43"/>
      <c r="D536" s="86"/>
      <c r="E536" s="86"/>
      <c r="F536" s="86"/>
      <c r="G536" s="65"/>
      <c r="H536" s="43"/>
      <c r="I536" s="65"/>
      <c r="J536" s="65"/>
      <c r="K536" s="65"/>
      <c r="L536" s="82"/>
      <c r="M536" s="43"/>
    </row>
    <row r="537" spans="1:13" x14ac:dyDescent="0.25">
      <c r="A537" s="284">
        <v>0</v>
      </c>
      <c r="B537" s="314" t="s">
        <v>67</v>
      </c>
      <c r="C537" s="43"/>
      <c r="D537" s="86"/>
      <c r="E537" s="86"/>
      <c r="F537" s="86"/>
      <c r="G537" s="65"/>
      <c r="H537" s="43"/>
      <c r="I537" s="65"/>
      <c r="J537" s="65"/>
      <c r="K537" s="65"/>
      <c r="L537" s="82"/>
      <c r="M537" s="43"/>
    </row>
    <row r="538" spans="1:13" x14ac:dyDescent="0.25">
      <c r="A538" s="284">
        <v>0</v>
      </c>
      <c r="B538" s="314" t="s">
        <v>68</v>
      </c>
      <c r="C538" s="43"/>
      <c r="D538" s="86"/>
      <c r="E538" s="86"/>
      <c r="F538" s="86"/>
      <c r="G538" s="65"/>
      <c r="H538" s="43"/>
      <c r="I538" s="65"/>
      <c r="J538" s="65"/>
      <c r="K538" s="65"/>
      <c r="L538" s="82"/>
      <c r="M538" s="43"/>
    </row>
    <row r="539" spans="1:13" x14ac:dyDescent="0.25">
      <c r="A539" s="284">
        <v>0</v>
      </c>
      <c r="B539" s="315">
        <v>0.79166666666666663</v>
      </c>
      <c r="C539" s="43"/>
      <c r="D539" s="86"/>
      <c r="E539" s="86"/>
      <c r="F539" s="86"/>
      <c r="G539" s="65"/>
      <c r="H539" s="43"/>
      <c r="I539" s="65"/>
      <c r="J539" s="65"/>
      <c r="K539" s="65"/>
      <c r="L539" s="82"/>
      <c r="M539" s="43"/>
    </row>
    <row r="540" spans="1:13" x14ac:dyDescent="0.25">
      <c r="A540" s="284">
        <v>0</v>
      </c>
      <c r="B540" s="315">
        <v>0.83333333333333337</v>
      </c>
      <c r="C540" s="43"/>
      <c r="D540" s="86"/>
      <c r="E540" s="86"/>
      <c r="F540" s="86"/>
      <c r="G540" s="65"/>
      <c r="H540" s="43"/>
      <c r="I540" s="65"/>
      <c r="J540" s="65"/>
      <c r="K540" s="65"/>
      <c r="L540" s="82"/>
      <c r="M540" s="43"/>
    </row>
    <row r="541" spans="1:13" x14ac:dyDescent="0.25">
      <c r="A541" s="284">
        <v>0</v>
      </c>
      <c r="B541" s="315">
        <v>0.875</v>
      </c>
      <c r="C541" s="43"/>
      <c r="D541" s="86"/>
      <c r="E541" s="86"/>
      <c r="F541" s="86"/>
      <c r="G541" s="65"/>
      <c r="H541" s="43"/>
      <c r="I541" s="65"/>
      <c r="J541" s="65"/>
      <c r="K541" s="65"/>
      <c r="L541" s="82"/>
      <c r="M541" s="43"/>
    </row>
    <row r="542" spans="1:13" x14ac:dyDescent="0.25">
      <c r="A542" s="284">
        <v>0</v>
      </c>
      <c r="B542" s="315">
        <v>0.91666666666666663</v>
      </c>
      <c r="C542" s="43"/>
      <c r="D542" s="86"/>
      <c r="E542" s="86"/>
      <c r="F542" s="86"/>
      <c r="G542" s="65"/>
      <c r="H542" s="43"/>
      <c r="I542" s="65"/>
      <c r="J542" s="65"/>
      <c r="K542" s="65"/>
      <c r="L542" s="82"/>
      <c r="M542" s="43"/>
    </row>
    <row r="543" spans="1:13" x14ac:dyDescent="0.25">
      <c r="A543" s="265">
        <f>SUM(A527:A542)</f>
        <v>70000</v>
      </c>
      <c r="B543" s="316">
        <v>0.94791666666666663</v>
      </c>
      <c r="C543" s="43"/>
      <c r="D543" s="86"/>
      <c r="E543" s="86"/>
      <c r="F543" s="86"/>
      <c r="G543" s="65"/>
      <c r="H543" s="43"/>
      <c r="I543" s="65"/>
      <c r="J543" s="65"/>
      <c r="K543" s="65"/>
      <c r="L543" s="82"/>
      <c r="M543" s="43"/>
    </row>
    <row r="544" spans="1:13" ht="47.25" x14ac:dyDescent="0.25">
      <c r="A544" s="281">
        <f>A526+3</f>
        <v>44606</v>
      </c>
      <c r="B544" s="296" t="s">
        <v>54</v>
      </c>
      <c r="C544" s="43"/>
      <c r="D544" s="86"/>
      <c r="E544" s="86"/>
      <c r="F544" s="86"/>
      <c r="G544" s="86"/>
      <c r="H544" s="55" t="s">
        <v>1419</v>
      </c>
      <c r="I544" s="57">
        <v>60</v>
      </c>
      <c r="J544" s="57" t="s">
        <v>100</v>
      </c>
      <c r="K544" s="57" t="s">
        <v>1420</v>
      </c>
      <c r="L544" s="125">
        <v>44603</v>
      </c>
      <c r="M544" s="283">
        <v>4000</v>
      </c>
    </row>
    <row r="545" spans="1:13" x14ac:dyDescent="0.25">
      <c r="A545" s="284">
        <v>1208</v>
      </c>
      <c r="B545" s="314" t="s">
        <v>57</v>
      </c>
      <c r="C545" s="43"/>
      <c r="D545" s="86"/>
      <c r="E545" s="86"/>
      <c r="F545" s="86"/>
      <c r="G545" s="86"/>
      <c r="H545" s="43"/>
      <c r="I545" s="65"/>
      <c r="J545" s="65"/>
      <c r="K545" s="65"/>
      <c r="L545" s="65"/>
      <c r="M545" s="283">
        <v>0</v>
      </c>
    </row>
    <row r="546" spans="1:13" x14ac:dyDescent="0.25">
      <c r="A546" s="284">
        <v>0</v>
      </c>
      <c r="B546" s="314" t="s">
        <v>58</v>
      </c>
      <c r="C546" s="43"/>
      <c r="D546" s="86"/>
      <c r="E546" s="86"/>
      <c r="F546" s="86"/>
      <c r="G546" s="86"/>
      <c r="H546" s="43"/>
      <c r="I546" s="65"/>
      <c r="J546" s="65"/>
      <c r="K546" s="65"/>
      <c r="L546" s="65"/>
      <c r="M546" s="283">
        <v>0</v>
      </c>
    </row>
    <row r="547" spans="1:13" x14ac:dyDescent="0.25">
      <c r="A547" s="284">
        <v>6051</v>
      </c>
      <c r="B547" s="314" t="s">
        <v>59</v>
      </c>
      <c r="C547" s="43"/>
      <c r="D547" s="86"/>
      <c r="E547" s="86"/>
      <c r="F547" s="86"/>
      <c r="G547" s="86"/>
      <c r="H547" s="43"/>
      <c r="I547" s="65"/>
      <c r="J547" s="65"/>
      <c r="K547" s="65"/>
      <c r="L547" s="65"/>
      <c r="M547" s="283">
        <v>0</v>
      </c>
    </row>
    <row r="548" spans="1:13" ht="141.75" x14ac:dyDescent="0.25">
      <c r="A548" s="284">
        <v>0</v>
      </c>
      <c r="B548" s="314" t="s">
        <v>60</v>
      </c>
      <c r="C548" s="55" t="s">
        <v>1421</v>
      </c>
      <c r="D548" s="57">
        <v>36</v>
      </c>
      <c r="E548" s="57" t="s">
        <v>1422</v>
      </c>
      <c r="F548" s="57" t="s">
        <v>1423</v>
      </c>
      <c r="G548" s="57" t="s">
        <v>1424</v>
      </c>
      <c r="H548" s="43"/>
      <c r="I548" s="65"/>
      <c r="J548" s="65"/>
      <c r="K548" s="65"/>
      <c r="L548" s="65"/>
      <c r="M548" s="283">
        <v>0</v>
      </c>
    </row>
    <row r="549" spans="1:13" ht="47.25" x14ac:dyDescent="0.25">
      <c r="A549" s="284">
        <v>0</v>
      </c>
      <c r="B549" s="314" t="s">
        <v>61</v>
      </c>
      <c r="C549" s="55" t="s">
        <v>1425</v>
      </c>
      <c r="D549" s="65"/>
      <c r="E549" s="65" t="s">
        <v>1397</v>
      </c>
      <c r="F549" s="65"/>
      <c r="G549" s="82"/>
      <c r="H549" s="43"/>
      <c r="I549" s="65"/>
      <c r="J549" s="65"/>
      <c r="K549" s="65"/>
      <c r="L549" s="65"/>
      <c r="M549" s="283">
        <v>0</v>
      </c>
    </row>
    <row r="550" spans="1:13" x14ac:dyDescent="0.25">
      <c r="A550" s="284">
        <v>0</v>
      </c>
      <c r="B550" s="314" t="s">
        <v>62</v>
      </c>
      <c r="C550" s="43"/>
      <c r="D550" s="65"/>
      <c r="E550" s="65"/>
      <c r="F550" s="65"/>
      <c r="G550" s="82"/>
      <c r="H550" s="43"/>
      <c r="I550" s="65"/>
      <c r="J550" s="65"/>
      <c r="K550" s="65"/>
      <c r="L550" s="65"/>
      <c r="M550" s="283">
        <v>0</v>
      </c>
    </row>
    <row r="551" spans="1:13" x14ac:dyDescent="0.25">
      <c r="A551" s="284">
        <v>0</v>
      </c>
      <c r="B551" s="314" t="s">
        <v>63</v>
      </c>
      <c r="C551" s="43"/>
      <c r="D551" s="65"/>
      <c r="E551" s="65"/>
      <c r="F551" s="65"/>
      <c r="G551" s="65"/>
      <c r="H551" s="43"/>
      <c r="I551" s="65"/>
      <c r="J551" s="65"/>
      <c r="K551" s="65"/>
      <c r="L551" s="65"/>
      <c r="M551" s="283">
        <v>0</v>
      </c>
    </row>
    <row r="552" spans="1:13" ht="94.5" x14ac:dyDescent="0.25">
      <c r="A552" s="284">
        <v>2000</v>
      </c>
      <c r="B552" s="314" t="s">
        <v>64</v>
      </c>
      <c r="C552" s="55" t="s">
        <v>1426</v>
      </c>
      <c r="D552" s="84">
        <v>30</v>
      </c>
      <c r="E552" s="84" t="s">
        <v>1427</v>
      </c>
      <c r="F552" s="84" t="s">
        <v>1428</v>
      </c>
      <c r="G552" s="136">
        <v>44609</v>
      </c>
      <c r="H552" s="43"/>
      <c r="I552" s="86"/>
      <c r="J552" s="86"/>
      <c r="K552" s="86"/>
      <c r="L552" s="86"/>
      <c r="M552" s="283">
        <v>0</v>
      </c>
    </row>
    <row r="553" spans="1:13" ht="94.5" x14ac:dyDescent="0.25">
      <c r="A553" s="284">
        <v>0</v>
      </c>
      <c r="B553" s="314" t="s">
        <v>65</v>
      </c>
      <c r="C553" s="55" t="s">
        <v>1429</v>
      </c>
      <c r="D553" s="84"/>
      <c r="E553" s="84"/>
      <c r="F553" s="84">
        <v>2</v>
      </c>
      <c r="G553" s="84" t="s">
        <v>1416</v>
      </c>
      <c r="H553" s="43"/>
      <c r="I553" s="194"/>
      <c r="J553" s="194"/>
      <c r="K553" s="194"/>
      <c r="L553" s="303"/>
      <c r="M553" s="8">
        <f>SUM(M544:M552)</f>
        <v>4000</v>
      </c>
    </row>
    <row r="554" spans="1:13" x14ac:dyDescent="0.25">
      <c r="A554" s="284">
        <v>0</v>
      </c>
      <c r="B554" s="314" t="s">
        <v>66</v>
      </c>
      <c r="C554" s="43"/>
      <c r="D554" s="84"/>
      <c r="E554" s="84"/>
      <c r="F554" s="84"/>
      <c r="G554" s="84"/>
      <c r="H554" s="43"/>
      <c r="I554" s="194"/>
      <c r="J554" s="194"/>
      <c r="K554" s="194"/>
      <c r="L554" s="303"/>
      <c r="M554" s="43"/>
    </row>
    <row r="555" spans="1:13" x14ac:dyDescent="0.25">
      <c r="A555" s="284">
        <v>0</v>
      </c>
      <c r="B555" s="314" t="s">
        <v>67</v>
      </c>
      <c r="C555" s="43"/>
      <c r="D555" s="84"/>
      <c r="E555" s="84"/>
      <c r="F555" s="84"/>
      <c r="G555" s="84"/>
      <c r="H555" s="43"/>
      <c r="I555" s="194"/>
      <c r="J555" s="194"/>
      <c r="K555" s="194"/>
      <c r="L555" s="303"/>
      <c r="M555" s="43"/>
    </row>
    <row r="556" spans="1:13" x14ac:dyDescent="0.25">
      <c r="A556" s="284">
        <v>0</v>
      </c>
      <c r="B556" s="314" t="s">
        <v>68</v>
      </c>
      <c r="C556" s="43"/>
      <c r="D556" s="84"/>
      <c r="E556" s="84"/>
      <c r="F556" s="84"/>
      <c r="G556" s="84"/>
      <c r="H556" s="43"/>
      <c r="I556" s="194"/>
      <c r="J556" s="194"/>
      <c r="K556" s="194"/>
      <c r="L556" s="303"/>
      <c r="M556" s="43"/>
    </row>
    <row r="557" spans="1:13" x14ac:dyDescent="0.25">
      <c r="A557" s="284">
        <v>0</v>
      </c>
      <c r="B557" s="315">
        <v>0.79166666666666663</v>
      </c>
      <c r="C557" s="43"/>
      <c r="D557" s="84"/>
      <c r="E557" s="84"/>
      <c r="F557" s="84"/>
      <c r="G557" s="84"/>
      <c r="H557" s="43"/>
      <c r="I557" s="194"/>
      <c r="J557" s="194"/>
      <c r="K557" s="194"/>
      <c r="L557" s="303"/>
      <c r="M557" s="43"/>
    </row>
    <row r="558" spans="1:13" x14ac:dyDescent="0.25">
      <c r="A558" s="284">
        <v>0</v>
      </c>
      <c r="B558" s="315">
        <v>0.83333333333333337</v>
      </c>
      <c r="C558" s="43"/>
      <c r="D558" s="84"/>
      <c r="E558" s="84"/>
      <c r="F558" s="84"/>
      <c r="G558" s="84"/>
      <c r="H558" s="43"/>
      <c r="I558" s="194"/>
      <c r="J558" s="194"/>
      <c r="K558" s="194"/>
      <c r="L558" s="303"/>
      <c r="M558" s="43"/>
    </row>
    <row r="559" spans="1:13" x14ac:dyDescent="0.25">
      <c r="A559" s="284">
        <v>0</v>
      </c>
      <c r="B559" s="315">
        <v>0.875</v>
      </c>
      <c r="C559" s="43"/>
      <c r="D559" s="194"/>
      <c r="E559" s="194"/>
      <c r="F559" s="194"/>
      <c r="G559" s="194"/>
      <c r="H559" s="43"/>
      <c r="I559" s="194"/>
      <c r="J559" s="194"/>
      <c r="K559" s="194"/>
      <c r="L559" s="303"/>
      <c r="M559" s="43"/>
    </row>
    <row r="560" spans="1:13" x14ac:dyDescent="0.25">
      <c r="A560" s="284">
        <v>0</v>
      </c>
      <c r="B560" s="315">
        <v>0.91666666666666663</v>
      </c>
      <c r="C560" s="43"/>
      <c r="D560" s="194"/>
      <c r="E560" s="194"/>
      <c r="F560" s="194"/>
      <c r="G560" s="194"/>
      <c r="H560" s="43"/>
      <c r="I560" s="194"/>
      <c r="J560" s="194"/>
      <c r="K560" s="194"/>
      <c r="L560" s="303"/>
      <c r="M560" s="43"/>
    </row>
    <row r="561" spans="1:13" x14ac:dyDescent="0.25">
      <c r="A561" s="265">
        <f>SUM(A545:A560)</f>
        <v>9259</v>
      </c>
      <c r="B561" s="316">
        <v>0.94791666666666663</v>
      </c>
      <c r="C561" s="43"/>
      <c r="D561" s="194"/>
      <c r="E561" s="194"/>
      <c r="F561" s="194"/>
      <c r="G561" s="194"/>
      <c r="H561" s="43"/>
      <c r="I561" s="194"/>
      <c r="J561" s="194"/>
      <c r="K561" s="194"/>
      <c r="L561" s="303"/>
      <c r="M561" s="43"/>
    </row>
    <row r="562" spans="1:13" ht="63" x14ac:dyDescent="0.25">
      <c r="A562" s="281">
        <f>A544+1</f>
        <v>44607</v>
      </c>
      <c r="B562" s="317" t="s">
        <v>54</v>
      </c>
      <c r="C562" s="43"/>
      <c r="D562" s="86"/>
      <c r="E562" s="86"/>
      <c r="F562" s="86">
        <v>3</v>
      </c>
      <c r="G562" s="304"/>
      <c r="H562" s="55" t="s">
        <v>1430</v>
      </c>
      <c r="I562" s="84">
        <v>36</v>
      </c>
      <c r="J562" s="84" t="s">
        <v>1145</v>
      </c>
      <c r="K562" s="84" t="s">
        <v>1431</v>
      </c>
      <c r="L562" s="136">
        <v>44609</v>
      </c>
      <c r="M562" s="283">
        <v>514</v>
      </c>
    </row>
    <row r="563" spans="1:13" ht="31.5" x14ac:dyDescent="0.25">
      <c r="A563" s="284">
        <v>4000</v>
      </c>
      <c r="B563" s="314" t="s">
        <v>57</v>
      </c>
      <c r="C563" s="43"/>
      <c r="D563" s="86"/>
      <c r="E563" s="86"/>
      <c r="F563" s="86">
        <v>4</v>
      </c>
      <c r="G563" s="304"/>
      <c r="H563" s="55" t="s">
        <v>1432</v>
      </c>
      <c r="I563" s="84"/>
      <c r="J563" s="84"/>
      <c r="K563" s="84"/>
      <c r="L563" s="84" t="s">
        <v>613</v>
      </c>
      <c r="M563" s="283">
        <v>0</v>
      </c>
    </row>
    <row r="564" spans="1:13" x14ac:dyDescent="0.25">
      <c r="A564" s="284">
        <v>0</v>
      </c>
      <c r="B564" s="314" t="s">
        <v>58</v>
      </c>
      <c r="C564" s="43"/>
      <c r="D564" s="86"/>
      <c r="E564" s="86"/>
      <c r="F564" s="86">
        <v>5</v>
      </c>
      <c r="G564" s="304"/>
      <c r="H564" s="55"/>
      <c r="I564" s="84"/>
      <c r="J564" s="84"/>
      <c r="K564" s="84"/>
      <c r="L564" s="84"/>
      <c r="M564" s="283">
        <v>0</v>
      </c>
    </row>
    <row r="565" spans="1:13" ht="47.25" x14ac:dyDescent="0.25">
      <c r="A565" s="284">
        <v>0</v>
      </c>
      <c r="B565" s="314" t="s">
        <v>59</v>
      </c>
      <c r="C565" s="43"/>
      <c r="D565" s="86"/>
      <c r="E565" s="86"/>
      <c r="F565" s="86">
        <v>6</v>
      </c>
      <c r="G565" s="86"/>
      <c r="H565" s="55" t="s">
        <v>1433</v>
      </c>
      <c r="I565" s="84">
        <v>60</v>
      </c>
      <c r="J565" s="84" t="s">
        <v>204</v>
      </c>
      <c r="K565" s="84" t="s">
        <v>1434</v>
      </c>
      <c r="L565" s="136">
        <v>44613</v>
      </c>
      <c r="M565" s="283">
        <v>563</v>
      </c>
    </row>
    <row r="566" spans="1:13" ht="31.5" x14ac:dyDescent="0.25">
      <c r="A566" s="284">
        <v>0</v>
      </c>
      <c r="B566" s="314" t="s">
        <v>60</v>
      </c>
      <c r="C566" s="43"/>
      <c r="D566" s="86"/>
      <c r="E566" s="86"/>
      <c r="F566" s="86">
        <v>7</v>
      </c>
      <c r="G566" s="86"/>
      <c r="H566" s="55" t="s">
        <v>1435</v>
      </c>
      <c r="I566" s="84"/>
      <c r="J566" s="84"/>
      <c r="K566" s="84"/>
      <c r="L566" s="84" t="s">
        <v>1436</v>
      </c>
      <c r="M566" s="283">
        <v>0</v>
      </c>
    </row>
    <row r="567" spans="1:13" x14ac:dyDescent="0.25">
      <c r="A567" s="284">
        <v>0</v>
      </c>
      <c r="B567" s="314" t="s">
        <v>61</v>
      </c>
      <c r="C567" s="43"/>
      <c r="D567" s="86"/>
      <c r="E567" s="86"/>
      <c r="F567" s="86"/>
      <c r="G567" s="86"/>
      <c r="H567" s="43"/>
      <c r="I567" s="86"/>
      <c r="J567" s="86"/>
      <c r="K567" s="86"/>
      <c r="L567" s="304"/>
      <c r="M567" s="283">
        <v>0</v>
      </c>
    </row>
    <row r="568" spans="1:13" x14ac:dyDescent="0.25">
      <c r="A568" s="284">
        <v>0</v>
      </c>
      <c r="B568" s="314" t="s">
        <v>62</v>
      </c>
      <c r="C568" s="43"/>
      <c r="D568" s="86"/>
      <c r="E568" s="86"/>
      <c r="F568" s="86"/>
      <c r="G568" s="86"/>
      <c r="H568" s="43"/>
      <c r="I568" s="86"/>
      <c r="J568" s="86"/>
      <c r="K568" s="86"/>
      <c r="L568" s="304"/>
      <c r="M568" s="283">
        <v>0</v>
      </c>
    </row>
    <row r="569" spans="1:13" x14ac:dyDescent="0.25">
      <c r="A569" s="284">
        <v>0</v>
      </c>
      <c r="B569" s="314" t="s">
        <v>63</v>
      </c>
      <c r="C569" s="43"/>
      <c r="D569" s="86"/>
      <c r="E569" s="86"/>
      <c r="F569" s="86"/>
      <c r="G569" s="86"/>
      <c r="H569" s="43"/>
      <c r="I569" s="86"/>
      <c r="J569" s="86"/>
      <c r="K569" s="86"/>
      <c r="L569" s="304"/>
      <c r="M569" s="283">
        <v>0</v>
      </c>
    </row>
    <row r="570" spans="1:13" ht="141.75" x14ac:dyDescent="0.25">
      <c r="A570" s="284">
        <v>4000</v>
      </c>
      <c r="B570" s="314" t="s">
        <v>64</v>
      </c>
      <c r="C570" s="55" t="s">
        <v>1437</v>
      </c>
      <c r="D570" s="57">
        <v>60</v>
      </c>
      <c r="E570" s="57" t="s">
        <v>1438</v>
      </c>
      <c r="F570" s="57" t="s">
        <v>1439</v>
      </c>
      <c r="G570" s="125">
        <v>44606</v>
      </c>
      <c r="H570" s="43"/>
      <c r="I570" s="86"/>
      <c r="J570" s="86"/>
      <c r="K570" s="86"/>
      <c r="L570" s="304"/>
      <c r="M570" s="283">
        <v>0</v>
      </c>
    </row>
    <row r="571" spans="1:13" ht="94.5" x14ac:dyDescent="0.25">
      <c r="A571" s="284">
        <v>0</v>
      </c>
      <c r="B571" s="314" t="s">
        <v>65</v>
      </c>
      <c r="C571" s="55" t="s">
        <v>1440</v>
      </c>
      <c r="D571" s="65"/>
      <c r="E571" s="65"/>
      <c r="F571" s="65">
        <v>2</v>
      </c>
      <c r="G571" s="65"/>
      <c r="H571" s="43"/>
      <c r="I571" s="194"/>
      <c r="J571" s="194"/>
      <c r="K571" s="194"/>
      <c r="L571" s="303"/>
      <c r="M571" s="8">
        <f>SUM(M562:M570)</f>
        <v>1077</v>
      </c>
    </row>
    <row r="572" spans="1:13" x14ac:dyDescent="0.25">
      <c r="A572" s="284">
        <v>0</v>
      </c>
      <c r="B572" s="314" t="s">
        <v>66</v>
      </c>
      <c r="C572" s="43"/>
      <c r="D572" s="65"/>
      <c r="E572" s="65"/>
      <c r="F572" s="65">
        <v>3</v>
      </c>
      <c r="G572" s="65"/>
      <c r="H572" s="43"/>
      <c r="I572" s="194"/>
      <c r="J572" s="194"/>
      <c r="K572" s="194"/>
      <c r="L572" s="303"/>
      <c r="M572" s="43"/>
    </row>
    <row r="573" spans="1:13" x14ac:dyDescent="0.25">
      <c r="A573" s="284">
        <v>0</v>
      </c>
      <c r="B573" s="314" t="s">
        <v>67</v>
      </c>
      <c r="C573" s="43"/>
      <c r="D573" s="65"/>
      <c r="E573" s="65"/>
      <c r="F573" s="65">
        <v>4</v>
      </c>
      <c r="G573" s="65"/>
      <c r="H573" s="43"/>
      <c r="I573" s="194"/>
      <c r="J573" s="194"/>
      <c r="K573" s="194"/>
      <c r="L573" s="303"/>
      <c r="M573" s="43"/>
    </row>
    <row r="574" spans="1:13" x14ac:dyDescent="0.25">
      <c r="A574" s="284">
        <v>0</v>
      </c>
      <c r="B574" s="314" t="s">
        <v>68</v>
      </c>
      <c r="C574" s="43"/>
      <c r="D574" s="65"/>
      <c r="E574" s="65"/>
      <c r="F574" s="65">
        <v>5</v>
      </c>
      <c r="G574" s="65"/>
      <c r="H574" s="43"/>
      <c r="I574" s="194"/>
      <c r="J574" s="194"/>
      <c r="K574" s="194"/>
      <c r="L574" s="303"/>
      <c r="M574" s="43"/>
    </row>
    <row r="575" spans="1:13" x14ac:dyDescent="0.25">
      <c r="A575" s="284">
        <v>0</v>
      </c>
      <c r="B575" s="315">
        <v>0.79166666666666663</v>
      </c>
      <c r="C575" s="43"/>
      <c r="D575" s="65"/>
      <c r="E575" s="65"/>
      <c r="F575" s="65">
        <v>6</v>
      </c>
      <c r="G575" s="65"/>
      <c r="H575" s="43"/>
      <c r="I575" s="194"/>
      <c r="J575" s="194"/>
      <c r="K575" s="194"/>
      <c r="L575" s="303"/>
      <c r="M575" s="43"/>
    </row>
    <row r="576" spans="1:13" x14ac:dyDescent="0.25">
      <c r="A576" s="284">
        <v>0</v>
      </c>
      <c r="B576" s="315">
        <v>0.83333333333333337</v>
      </c>
      <c r="C576" s="43"/>
      <c r="D576" s="194"/>
      <c r="E576" s="194"/>
      <c r="F576" s="194"/>
      <c r="G576" s="194"/>
      <c r="H576" s="43"/>
      <c r="I576" s="194"/>
      <c r="J576" s="194"/>
      <c r="K576" s="194"/>
      <c r="L576" s="303"/>
      <c r="M576" s="43"/>
    </row>
    <row r="577" spans="1:13" x14ac:dyDescent="0.25">
      <c r="A577" s="284">
        <v>0</v>
      </c>
      <c r="B577" s="315">
        <v>0.875</v>
      </c>
      <c r="C577" s="43"/>
      <c r="D577" s="194"/>
      <c r="E577" s="194"/>
      <c r="F577" s="194"/>
      <c r="G577" s="194"/>
      <c r="H577" s="43"/>
      <c r="I577" s="194"/>
      <c r="J577" s="194"/>
      <c r="K577" s="194"/>
      <c r="L577" s="303"/>
      <c r="M577" s="43"/>
    </row>
    <row r="578" spans="1:13" x14ac:dyDescent="0.25">
      <c r="A578" s="284">
        <v>0</v>
      </c>
      <c r="B578" s="315">
        <v>0.91666666666666663</v>
      </c>
      <c r="C578" s="43"/>
      <c r="D578" s="194"/>
      <c r="E578" s="194"/>
      <c r="F578" s="194"/>
      <c r="G578" s="194"/>
      <c r="H578" s="43"/>
      <c r="I578" s="194"/>
      <c r="J578" s="194"/>
      <c r="K578" s="194"/>
      <c r="L578" s="303"/>
      <c r="M578" s="43"/>
    </row>
    <row r="579" spans="1:13" x14ac:dyDescent="0.25">
      <c r="A579" s="265">
        <f>SUM(A563:A578)</f>
        <v>8000</v>
      </c>
      <c r="B579" s="316">
        <v>0.94791666666666663</v>
      </c>
      <c r="C579" s="43"/>
      <c r="D579" s="194"/>
      <c r="E579" s="194"/>
      <c r="F579" s="194"/>
      <c r="G579" s="194"/>
      <c r="H579" s="43"/>
      <c r="I579" s="194"/>
      <c r="J579" s="194"/>
      <c r="K579" s="194"/>
      <c r="L579" s="303"/>
      <c r="M579" s="43"/>
    </row>
    <row r="580" spans="1:13" ht="63" x14ac:dyDescent="0.25">
      <c r="A580" s="281">
        <f>A562+1</f>
        <v>44608</v>
      </c>
      <c r="B580" s="317" t="s">
        <v>54</v>
      </c>
      <c r="C580" s="87" t="s">
        <v>1441</v>
      </c>
      <c r="D580" s="65"/>
      <c r="E580" s="65"/>
      <c r="F580" s="65">
        <v>7</v>
      </c>
      <c r="G580" s="65"/>
      <c r="H580" s="55" t="s">
        <v>1442</v>
      </c>
      <c r="I580" s="57">
        <v>60</v>
      </c>
      <c r="J580" s="57" t="s">
        <v>248</v>
      </c>
      <c r="K580" s="57" t="s">
        <v>1443</v>
      </c>
      <c r="L580" s="125">
        <v>44609</v>
      </c>
      <c r="M580" s="283">
        <v>4000</v>
      </c>
    </row>
    <row r="581" spans="1:13" ht="31.5" x14ac:dyDescent="0.25">
      <c r="A581" s="284">
        <v>10000</v>
      </c>
      <c r="B581" s="314" t="s">
        <v>57</v>
      </c>
      <c r="C581" s="43"/>
      <c r="D581" s="65"/>
      <c r="E581" s="65"/>
      <c r="F581" s="65">
        <v>8</v>
      </c>
      <c r="G581" s="65"/>
      <c r="H581" s="55" t="s">
        <v>1444</v>
      </c>
      <c r="I581" s="57"/>
      <c r="J581" s="57"/>
      <c r="K581" s="57"/>
      <c r="L581" s="57" t="s">
        <v>1445</v>
      </c>
      <c r="M581" s="283">
        <v>0</v>
      </c>
    </row>
    <row r="582" spans="1:13" x14ac:dyDescent="0.25">
      <c r="A582" s="284">
        <v>0</v>
      </c>
      <c r="B582" s="314" t="s">
        <v>58</v>
      </c>
      <c r="C582" s="43"/>
      <c r="D582" s="65"/>
      <c r="E582" s="65"/>
      <c r="F582" s="65">
        <v>9</v>
      </c>
      <c r="G582" s="65"/>
      <c r="H582" s="43"/>
      <c r="I582" s="65"/>
      <c r="J582" s="65"/>
      <c r="K582" s="65"/>
      <c r="L582" s="65"/>
      <c r="M582" s="283">
        <v>0</v>
      </c>
    </row>
    <row r="583" spans="1:13" x14ac:dyDescent="0.25">
      <c r="A583" s="284">
        <v>0</v>
      </c>
      <c r="B583" s="314" t="s">
        <v>59</v>
      </c>
      <c r="C583" s="43"/>
      <c r="D583" s="65"/>
      <c r="E583" s="65"/>
      <c r="F583" s="65">
        <v>10</v>
      </c>
      <c r="G583" s="65"/>
      <c r="H583" s="43"/>
      <c r="I583" s="65"/>
      <c r="J583" s="65"/>
      <c r="K583" s="65"/>
      <c r="L583" s="65"/>
      <c r="M583" s="283">
        <v>0</v>
      </c>
    </row>
    <row r="584" spans="1:13" x14ac:dyDescent="0.25">
      <c r="A584" s="284">
        <v>0</v>
      </c>
      <c r="B584" s="314" t="s">
        <v>60</v>
      </c>
      <c r="C584" s="43"/>
      <c r="D584" s="65"/>
      <c r="E584" s="65"/>
      <c r="F584" s="65">
        <v>11</v>
      </c>
      <c r="G584" s="65"/>
      <c r="H584" s="43"/>
      <c r="I584" s="65"/>
      <c r="J584" s="65"/>
      <c r="K584" s="65"/>
      <c r="L584" s="82"/>
      <c r="M584" s="283">
        <v>0</v>
      </c>
    </row>
    <row r="585" spans="1:13" x14ac:dyDescent="0.25">
      <c r="A585" s="284">
        <v>0</v>
      </c>
      <c r="B585" s="314" t="s">
        <v>61</v>
      </c>
      <c r="C585" s="43"/>
      <c r="D585" s="65"/>
      <c r="E585" s="65"/>
      <c r="F585" s="65">
        <v>12</v>
      </c>
      <c r="G585" s="65"/>
      <c r="H585" s="43"/>
      <c r="I585" s="65"/>
      <c r="J585" s="65"/>
      <c r="K585" s="65"/>
      <c r="L585" s="82"/>
      <c r="M585" s="283">
        <v>0</v>
      </c>
    </row>
    <row r="586" spans="1:13" x14ac:dyDescent="0.25">
      <c r="A586" s="284">
        <v>0</v>
      </c>
      <c r="B586" s="314" t="s">
        <v>62</v>
      </c>
      <c r="C586" s="43"/>
      <c r="D586" s="65"/>
      <c r="E586" s="65"/>
      <c r="F586" s="65">
        <v>13</v>
      </c>
      <c r="G586" s="65"/>
      <c r="H586" s="43"/>
      <c r="I586" s="65"/>
      <c r="J586" s="65"/>
      <c r="K586" s="65"/>
      <c r="L586" s="82"/>
      <c r="M586" s="283">
        <v>0</v>
      </c>
    </row>
    <row r="587" spans="1:13" x14ac:dyDescent="0.25">
      <c r="A587" s="284">
        <v>0</v>
      </c>
      <c r="B587" s="314" t="s">
        <v>63</v>
      </c>
      <c r="C587" s="43"/>
      <c r="D587" s="65"/>
      <c r="E587" s="65"/>
      <c r="F587" s="65">
        <v>14</v>
      </c>
      <c r="G587" s="65"/>
      <c r="H587" s="43"/>
      <c r="I587" s="65"/>
      <c r="J587" s="65"/>
      <c r="K587" s="65"/>
      <c r="L587" s="82"/>
      <c r="M587" s="283">
        <v>0</v>
      </c>
    </row>
    <row r="588" spans="1:13" x14ac:dyDescent="0.25">
      <c r="A588" s="284">
        <v>0</v>
      </c>
      <c r="B588" s="314" t="s">
        <v>64</v>
      </c>
      <c r="C588" s="43"/>
      <c r="D588" s="65"/>
      <c r="E588" s="65"/>
      <c r="F588" s="65"/>
      <c r="G588" s="65"/>
      <c r="H588" s="43"/>
      <c r="I588" s="65"/>
      <c r="J588" s="65"/>
      <c r="K588" s="65"/>
      <c r="L588" s="82"/>
      <c r="M588" s="283">
        <v>0</v>
      </c>
    </row>
    <row r="589" spans="1:13" x14ac:dyDescent="0.25">
      <c r="A589" s="284">
        <v>0</v>
      </c>
      <c r="B589" s="314" t="s">
        <v>65</v>
      </c>
      <c r="C589" s="43"/>
      <c r="D589" s="65"/>
      <c r="E589" s="65"/>
      <c r="F589" s="65"/>
      <c r="G589" s="65"/>
      <c r="H589" s="43"/>
      <c r="I589" s="194"/>
      <c r="J589" s="194"/>
      <c r="K589" s="194"/>
      <c r="L589" s="303"/>
      <c r="M589" s="8">
        <f>SUM(M580:M588)</f>
        <v>4000</v>
      </c>
    </row>
    <row r="590" spans="1:13" x14ac:dyDescent="0.25">
      <c r="A590" s="284">
        <v>0</v>
      </c>
      <c r="B590" s="314" t="s">
        <v>66</v>
      </c>
      <c r="C590" s="43"/>
      <c r="D590" s="65"/>
      <c r="E590" s="65"/>
      <c r="F590" s="65"/>
      <c r="G590" s="65"/>
      <c r="H590" s="43"/>
      <c r="I590" s="194"/>
      <c r="J590" s="194"/>
      <c r="K590" s="194"/>
      <c r="L590" s="303"/>
      <c r="M590" s="43"/>
    </row>
    <row r="591" spans="1:13" x14ac:dyDescent="0.25">
      <c r="A591" s="284">
        <v>0</v>
      </c>
      <c r="B591" s="314" t="s">
        <v>67</v>
      </c>
      <c r="C591" s="43"/>
      <c r="D591" s="65"/>
      <c r="E591" s="65"/>
      <c r="F591" s="65"/>
      <c r="G591" s="65"/>
      <c r="H591" s="43"/>
      <c r="I591" s="194"/>
      <c r="J591" s="194"/>
      <c r="K591" s="194"/>
      <c r="L591" s="303"/>
      <c r="M591" s="43"/>
    </row>
    <row r="592" spans="1:13" ht="63" x14ac:dyDescent="0.25">
      <c r="A592" s="284">
        <v>0</v>
      </c>
      <c r="B592" s="314" t="s">
        <v>68</v>
      </c>
      <c r="C592" s="55" t="s">
        <v>1446</v>
      </c>
      <c r="D592" s="57">
        <v>60</v>
      </c>
      <c r="E592" s="57" t="s">
        <v>1447</v>
      </c>
      <c r="F592" s="57" t="s">
        <v>1448</v>
      </c>
      <c r="G592" s="125">
        <v>44609</v>
      </c>
      <c r="H592" s="43"/>
      <c r="I592" s="194"/>
      <c r="J592" s="194"/>
      <c r="K592" s="194"/>
      <c r="L592" s="303"/>
      <c r="M592" s="43"/>
    </row>
    <row r="593" spans="1:13" x14ac:dyDescent="0.25">
      <c r="A593" s="284">
        <v>0</v>
      </c>
      <c r="B593" s="315">
        <v>0.79166666666666663</v>
      </c>
      <c r="C593" s="55"/>
      <c r="D593" s="65" t="s">
        <v>1449</v>
      </c>
      <c r="E593" s="65"/>
      <c r="F593" s="65">
        <v>2</v>
      </c>
      <c r="G593" s="65"/>
      <c r="H593" s="43"/>
      <c r="I593" s="194"/>
      <c r="J593" s="194"/>
      <c r="K593" s="194"/>
      <c r="L593" s="303"/>
      <c r="M593" s="43"/>
    </row>
    <row r="594" spans="1:13" x14ac:dyDescent="0.25">
      <c r="A594" s="284">
        <v>0</v>
      </c>
      <c r="B594" s="315">
        <v>0.83333333333333337</v>
      </c>
      <c r="C594" s="43"/>
      <c r="D594" s="65"/>
      <c r="E594" s="65"/>
      <c r="F594" s="65"/>
      <c r="G594" s="65"/>
      <c r="H594" s="43"/>
      <c r="I594" s="194"/>
      <c r="J594" s="194"/>
      <c r="K594" s="194"/>
      <c r="L594" s="303"/>
      <c r="M594" s="43"/>
    </row>
    <row r="595" spans="1:13" x14ac:dyDescent="0.25">
      <c r="A595" s="284">
        <v>0</v>
      </c>
      <c r="B595" s="315">
        <v>0.875</v>
      </c>
      <c r="C595" s="43"/>
      <c r="D595" s="65"/>
      <c r="E595" s="65"/>
      <c r="F595" s="65"/>
      <c r="G595" s="65"/>
      <c r="H595" s="43"/>
      <c r="I595" s="194"/>
      <c r="J595" s="194"/>
      <c r="K595" s="194"/>
      <c r="L595" s="303"/>
      <c r="M595" s="43"/>
    </row>
    <row r="596" spans="1:13" x14ac:dyDescent="0.25">
      <c r="A596" s="284">
        <v>0</v>
      </c>
      <c r="B596" s="315">
        <v>0.91666666666666663</v>
      </c>
      <c r="C596" s="43"/>
      <c r="D596" s="65"/>
      <c r="E596" s="65"/>
      <c r="F596" s="65"/>
      <c r="G596" s="65"/>
      <c r="H596" s="43"/>
      <c r="I596" s="194"/>
      <c r="J596" s="194"/>
      <c r="K596" s="194"/>
      <c r="L596" s="303"/>
      <c r="M596" s="43"/>
    </row>
    <row r="597" spans="1:13" x14ac:dyDescent="0.25">
      <c r="A597" s="265">
        <f>SUM(A581:A596)</f>
        <v>10000</v>
      </c>
      <c r="B597" s="316">
        <v>0.94791666666666663</v>
      </c>
      <c r="C597" s="43"/>
      <c r="D597" s="65"/>
      <c r="E597" s="65"/>
      <c r="F597" s="65"/>
      <c r="G597" s="65"/>
      <c r="H597" s="43"/>
      <c r="I597" s="194"/>
      <c r="J597" s="194"/>
      <c r="K597" s="194"/>
      <c r="L597" s="303"/>
      <c r="M597" s="43"/>
    </row>
    <row r="598" spans="1:13" x14ac:dyDescent="0.25">
      <c r="A598" s="281">
        <f>A580+1</f>
        <v>44609</v>
      </c>
      <c r="B598" s="317" t="s">
        <v>54</v>
      </c>
      <c r="C598" s="87" t="s">
        <v>1450</v>
      </c>
      <c r="D598" s="65"/>
      <c r="E598" s="65"/>
      <c r="F598" s="65">
        <v>3</v>
      </c>
      <c r="G598" s="65"/>
      <c r="H598" s="43"/>
      <c r="I598" s="166" t="s">
        <v>1451</v>
      </c>
      <c r="J598" s="166"/>
      <c r="K598" s="166"/>
      <c r="L598" s="166"/>
      <c r="M598" s="283">
        <v>0</v>
      </c>
    </row>
    <row r="599" spans="1:13" x14ac:dyDescent="0.25">
      <c r="A599" s="284">
        <v>0</v>
      </c>
      <c r="B599" s="314" t="s">
        <v>57</v>
      </c>
      <c r="C599" s="43"/>
      <c r="D599" s="65"/>
      <c r="E599" s="65"/>
      <c r="F599" s="65">
        <v>4</v>
      </c>
      <c r="G599" s="65"/>
      <c r="H599" s="43"/>
      <c r="I599" s="166"/>
      <c r="J599" s="166"/>
      <c r="K599" s="166"/>
      <c r="L599" s="166"/>
      <c r="M599" s="283">
        <v>0</v>
      </c>
    </row>
    <row r="600" spans="1:13" x14ac:dyDescent="0.25">
      <c r="A600" s="284">
        <v>0</v>
      </c>
      <c r="B600" s="314" t="s">
        <v>58</v>
      </c>
      <c r="C600" s="43"/>
      <c r="D600" s="65"/>
      <c r="E600" s="65"/>
      <c r="F600" s="65">
        <v>5</v>
      </c>
      <c r="G600" s="65"/>
      <c r="H600" s="43"/>
      <c r="I600" s="166"/>
      <c r="J600" s="166"/>
      <c r="K600" s="166"/>
      <c r="L600" s="166"/>
      <c r="M600" s="283">
        <v>0</v>
      </c>
    </row>
    <row r="601" spans="1:13" x14ac:dyDescent="0.25">
      <c r="A601" s="284">
        <v>0</v>
      </c>
      <c r="B601" s="314" t="s">
        <v>59</v>
      </c>
      <c r="C601" s="43"/>
      <c r="D601" s="65"/>
      <c r="E601" s="65"/>
      <c r="F601" s="65">
        <v>6</v>
      </c>
      <c r="G601" s="65"/>
      <c r="H601" s="43"/>
      <c r="I601" s="166"/>
      <c r="J601" s="166"/>
      <c r="K601" s="166"/>
      <c r="L601" s="166"/>
      <c r="M601" s="283">
        <v>0</v>
      </c>
    </row>
    <row r="602" spans="1:13" x14ac:dyDescent="0.25">
      <c r="A602" s="284">
        <v>0</v>
      </c>
      <c r="B602" s="314" t="s">
        <v>60</v>
      </c>
      <c r="C602" s="43"/>
      <c r="D602" s="65"/>
      <c r="E602" s="65"/>
      <c r="F602" s="65">
        <v>7</v>
      </c>
      <c r="G602" s="65"/>
      <c r="H602" s="43"/>
      <c r="I602" s="166"/>
      <c r="J602" s="166"/>
      <c r="K602" s="166"/>
      <c r="L602" s="166"/>
      <c r="M602" s="283">
        <v>0</v>
      </c>
    </row>
    <row r="603" spans="1:13" ht="126" x14ac:dyDescent="0.25">
      <c r="A603" s="284">
        <v>1283</v>
      </c>
      <c r="B603" s="314" t="s">
        <v>61</v>
      </c>
      <c r="C603" s="55" t="s">
        <v>1452</v>
      </c>
      <c r="D603" s="57">
        <v>36</v>
      </c>
      <c r="E603" s="57" t="s">
        <v>1085</v>
      </c>
      <c r="F603" s="57" t="s">
        <v>1453</v>
      </c>
      <c r="G603" s="125">
        <v>44610</v>
      </c>
      <c r="H603" s="43"/>
      <c r="I603" s="166"/>
      <c r="J603" s="166"/>
      <c r="K603" s="166"/>
      <c r="L603" s="166"/>
      <c r="M603" s="283">
        <v>0</v>
      </c>
    </row>
    <row r="604" spans="1:13" ht="47.25" x14ac:dyDescent="0.25">
      <c r="A604" s="284">
        <v>0</v>
      </c>
      <c r="B604" s="314" t="s">
        <v>62</v>
      </c>
      <c r="C604" s="55" t="s">
        <v>1454</v>
      </c>
      <c r="D604" s="57"/>
      <c r="E604" s="57"/>
      <c r="F604" s="57"/>
      <c r="G604" s="57" t="s">
        <v>613</v>
      </c>
      <c r="H604" s="43"/>
      <c r="I604" s="166"/>
      <c r="J604" s="166"/>
      <c r="K604" s="166"/>
      <c r="L604" s="166"/>
      <c r="M604" s="283">
        <v>0</v>
      </c>
    </row>
    <row r="605" spans="1:13" x14ac:dyDescent="0.25">
      <c r="A605" s="284">
        <v>0</v>
      </c>
      <c r="B605" s="314" t="s">
        <v>63</v>
      </c>
      <c r="C605" s="43"/>
      <c r="D605" s="65"/>
      <c r="E605" s="65"/>
      <c r="F605" s="65"/>
      <c r="G605" s="65"/>
      <c r="H605" s="43"/>
      <c r="I605" s="166"/>
      <c r="J605" s="166"/>
      <c r="K605" s="166"/>
      <c r="L605" s="166"/>
      <c r="M605" s="283">
        <v>0</v>
      </c>
    </row>
    <row r="606" spans="1:13" x14ac:dyDescent="0.25">
      <c r="A606" s="284">
        <v>0</v>
      </c>
      <c r="B606" s="314" t="s">
        <v>64</v>
      </c>
      <c r="C606" s="43"/>
      <c r="D606" s="65"/>
      <c r="E606" s="65"/>
      <c r="F606" s="65"/>
      <c r="G606" s="65"/>
      <c r="H606" s="43"/>
      <c r="I606" s="166"/>
      <c r="J606" s="166"/>
      <c r="K606" s="166"/>
      <c r="L606" s="166"/>
      <c r="M606" s="283">
        <v>0</v>
      </c>
    </row>
    <row r="607" spans="1:13" x14ac:dyDescent="0.25">
      <c r="A607" s="284">
        <v>4678</v>
      </c>
      <c r="B607" s="314" t="s">
        <v>65</v>
      </c>
      <c r="C607" s="43"/>
      <c r="D607" s="65"/>
      <c r="E607" s="65"/>
      <c r="F607" s="65"/>
      <c r="G607" s="65"/>
      <c r="H607" s="43"/>
      <c r="I607" s="194"/>
      <c r="J607" s="194"/>
      <c r="K607" s="194"/>
      <c r="L607" s="303"/>
      <c r="M607" s="8">
        <f>SUM(M598:M606)</f>
        <v>0</v>
      </c>
    </row>
    <row r="608" spans="1:13" x14ac:dyDescent="0.25">
      <c r="A608" s="284">
        <v>0</v>
      </c>
      <c r="B608" s="314" t="s">
        <v>66</v>
      </c>
      <c r="C608" s="43"/>
      <c r="D608" s="65"/>
      <c r="E608" s="65"/>
      <c r="F608" s="65"/>
      <c r="G608" s="65"/>
      <c r="H608" s="43"/>
      <c r="I608" s="194"/>
      <c r="J608" s="194"/>
      <c r="K608" s="194"/>
      <c r="L608" s="303"/>
      <c r="M608" s="43"/>
    </row>
    <row r="609" spans="1:13" x14ac:dyDescent="0.25">
      <c r="A609" s="284">
        <v>0</v>
      </c>
      <c r="B609" s="314" t="s">
        <v>67</v>
      </c>
      <c r="C609" s="43"/>
      <c r="D609" s="65"/>
      <c r="E609" s="65"/>
      <c r="F609" s="65"/>
      <c r="G609" s="65"/>
      <c r="H609" s="43"/>
      <c r="I609" s="194"/>
      <c r="J609" s="194"/>
      <c r="K609" s="194"/>
      <c r="L609" s="303"/>
      <c r="M609" s="43"/>
    </row>
    <row r="610" spans="1:13" x14ac:dyDescent="0.25">
      <c r="A610" s="284">
        <v>0</v>
      </c>
      <c r="B610" s="314" t="s">
        <v>68</v>
      </c>
      <c r="C610" s="43"/>
      <c r="D610" s="65"/>
      <c r="E610" s="65"/>
      <c r="F610" s="65"/>
      <c r="G610" s="65"/>
      <c r="H610" s="43"/>
      <c r="I610" s="194"/>
      <c r="J610" s="194"/>
      <c r="K610" s="194"/>
      <c r="L610" s="303"/>
      <c r="M610" s="43"/>
    </row>
    <row r="611" spans="1:13" x14ac:dyDescent="0.25">
      <c r="A611" s="284">
        <v>0</v>
      </c>
      <c r="B611" s="315">
        <v>0.79166666666666663</v>
      </c>
      <c r="C611" s="43"/>
      <c r="D611" s="65"/>
      <c r="E611" s="65"/>
      <c r="F611" s="65"/>
      <c r="G611" s="65"/>
      <c r="H611" s="43"/>
      <c r="I611" s="194"/>
      <c r="J611" s="194"/>
      <c r="K611" s="194"/>
      <c r="L611" s="303"/>
      <c r="M611" s="43"/>
    </row>
    <row r="612" spans="1:13" x14ac:dyDescent="0.25">
      <c r="A612" s="284">
        <v>0</v>
      </c>
      <c r="B612" s="315">
        <v>0.83333333333333337</v>
      </c>
      <c r="C612" s="43"/>
      <c r="D612" s="194"/>
      <c r="E612" s="194"/>
      <c r="F612" s="194"/>
      <c r="G612" s="194"/>
      <c r="H612" s="43"/>
      <c r="I612" s="194"/>
      <c r="J612" s="194"/>
      <c r="K612" s="194"/>
      <c r="L612" s="303"/>
      <c r="M612" s="43"/>
    </row>
    <row r="613" spans="1:13" x14ac:dyDescent="0.25">
      <c r="A613" s="284">
        <v>0</v>
      </c>
      <c r="B613" s="315">
        <v>0.875</v>
      </c>
      <c r="C613" s="43"/>
      <c r="D613" s="194"/>
      <c r="E613" s="194"/>
      <c r="F613" s="194"/>
      <c r="G613" s="194"/>
      <c r="H613" s="43"/>
      <c r="I613" s="194"/>
      <c r="J613" s="194"/>
      <c r="K613" s="194"/>
      <c r="L613" s="303"/>
      <c r="M613" s="43"/>
    </row>
    <row r="614" spans="1:13" x14ac:dyDescent="0.25">
      <c r="A614" s="284">
        <v>0</v>
      </c>
      <c r="B614" s="315">
        <v>0.91666666666666663</v>
      </c>
      <c r="C614" s="43"/>
      <c r="D614" s="194"/>
      <c r="E614" s="194"/>
      <c r="F614" s="194"/>
      <c r="G614" s="194"/>
      <c r="H614" s="43"/>
      <c r="I614" s="194"/>
      <c r="J614" s="194"/>
      <c r="K614" s="194"/>
      <c r="L614" s="303"/>
      <c r="M614" s="43"/>
    </row>
    <row r="615" spans="1:13" x14ac:dyDescent="0.25">
      <c r="A615" s="265">
        <f>SUM(A599:A614)</f>
        <v>5961</v>
      </c>
      <c r="B615" s="316">
        <v>0.94791666666666663</v>
      </c>
      <c r="C615" s="43"/>
      <c r="D615" s="194"/>
      <c r="E615" s="194"/>
      <c r="F615" s="194"/>
      <c r="G615" s="194"/>
      <c r="H615" s="43"/>
      <c r="I615" s="194"/>
      <c r="J615" s="194"/>
      <c r="K615" s="194"/>
      <c r="L615" s="303"/>
      <c r="M615" s="43"/>
    </row>
    <row r="616" spans="1:13" ht="173.25" x14ac:dyDescent="0.25">
      <c r="A616" s="281">
        <f>A598+1</f>
        <v>44610</v>
      </c>
      <c r="B616" s="317" t="s">
        <v>54</v>
      </c>
      <c r="C616" s="55" t="s">
        <v>1455</v>
      </c>
      <c r="D616" s="84">
        <v>60</v>
      </c>
      <c r="E616" s="84" t="s">
        <v>25</v>
      </c>
      <c r="F616" s="84" t="s">
        <v>1456</v>
      </c>
      <c r="G616" s="136">
        <v>44615</v>
      </c>
      <c r="H616" s="55" t="s">
        <v>1457</v>
      </c>
      <c r="I616" s="84">
        <v>48</v>
      </c>
      <c r="J616" s="84" t="s">
        <v>18</v>
      </c>
      <c r="K616" s="84" t="s">
        <v>1458</v>
      </c>
      <c r="L616" s="136">
        <v>44621</v>
      </c>
      <c r="M616" s="283">
        <v>0</v>
      </c>
    </row>
    <row r="617" spans="1:13" ht="63" x14ac:dyDescent="0.25">
      <c r="A617" s="284">
        <v>13000</v>
      </c>
      <c r="B617" s="314" t="s">
        <v>57</v>
      </c>
      <c r="C617" s="55" t="s">
        <v>1459</v>
      </c>
      <c r="D617" s="84"/>
      <c r="E617" s="84"/>
      <c r="F617" s="84"/>
      <c r="G617" s="84" t="s">
        <v>1416</v>
      </c>
      <c r="H617" s="43"/>
      <c r="I617" s="86"/>
      <c r="J617" s="86"/>
      <c r="K617" s="86"/>
      <c r="L617" s="304"/>
      <c r="M617" s="283">
        <v>0</v>
      </c>
    </row>
    <row r="618" spans="1:13" x14ac:dyDescent="0.25">
      <c r="A618" s="284">
        <v>0</v>
      </c>
      <c r="B618" s="314" t="s">
        <v>58</v>
      </c>
      <c r="C618" s="43"/>
      <c r="D618" s="86"/>
      <c r="E618" s="86"/>
      <c r="F618" s="86"/>
      <c r="G618" s="86"/>
      <c r="H618" s="43"/>
      <c r="I618" s="86"/>
      <c r="J618" s="86"/>
      <c r="K618" s="86"/>
      <c r="L618" s="304"/>
      <c r="M618" s="283">
        <v>0</v>
      </c>
    </row>
    <row r="619" spans="1:13" x14ac:dyDescent="0.25">
      <c r="A619" s="284">
        <v>0</v>
      </c>
      <c r="B619" s="314" t="s">
        <v>59</v>
      </c>
      <c r="C619" s="43"/>
      <c r="D619" s="86"/>
      <c r="E619" s="86"/>
      <c r="F619" s="86"/>
      <c r="G619" s="86"/>
      <c r="H619" s="43"/>
      <c r="I619" s="86"/>
      <c r="J619" s="86"/>
      <c r="K619" s="86"/>
      <c r="L619" s="304"/>
      <c r="M619" s="283">
        <v>0</v>
      </c>
    </row>
    <row r="620" spans="1:13" x14ac:dyDescent="0.25">
      <c r="A620" s="284">
        <v>0</v>
      </c>
      <c r="B620" s="314" t="s">
        <v>60</v>
      </c>
      <c r="C620" s="43"/>
      <c r="D620" s="86"/>
      <c r="E620" s="86"/>
      <c r="F620" s="86"/>
      <c r="G620" s="86"/>
      <c r="H620" s="43"/>
      <c r="I620" s="86"/>
      <c r="J620" s="86"/>
      <c r="K620" s="86"/>
      <c r="L620" s="304"/>
      <c r="M620" s="283">
        <v>0</v>
      </c>
    </row>
    <row r="621" spans="1:13" ht="173.25" x14ac:dyDescent="0.25">
      <c r="A621" s="284">
        <v>0</v>
      </c>
      <c r="B621" s="314" t="s">
        <v>61</v>
      </c>
      <c r="C621" s="55" t="s">
        <v>1460</v>
      </c>
      <c r="D621" s="84">
        <v>60</v>
      </c>
      <c r="E621" s="84" t="s">
        <v>1167</v>
      </c>
      <c r="F621" s="84" t="s">
        <v>1461</v>
      </c>
      <c r="G621" s="136">
        <v>44610</v>
      </c>
      <c r="H621" s="43"/>
      <c r="I621" s="86"/>
      <c r="J621" s="86"/>
      <c r="K621" s="86"/>
      <c r="L621" s="304"/>
      <c r="M621" s="283">
        <v>0</v>
      </c>
    </row>
    <row r="622" spans="1:13" ht="157.5" x14ac:dyDescent="0.25">
      <c r="A622" s="284">
        <v>0</v>
      </c>
      <c r="B622" s="314" t="s">
        <v>62</v>
      </c>
      <c r="C622" s="55" t="s">
        <v>1462</v>
      </c>
      <c r="D622" s="84"/>
      <c r="E622" s="84"/>
      <c r="F622" s="84">
        <v>2</v>
      </c>
      <c r="G622" s="84" t="s">
        <v>1416</v>
      </c>
      <c r="H622" s="43"/>
      <c r="I622" s="86"/>
      <c r="J622" s="86"/>
      <c r="K622" s="86"/>
      <c r="L622" s="304"/>
      <c r="M622" s="283">
        <v>0</v>
      </c>
    </row>
    <row r="623" spans="1:13" x14ac:dyDescent="0.25">
      <c r="A623" s="284">
        <v>0</v>
      </c>
      <c r="B623" s="314" t="s">
        <v>63</v>
      </c>
      <c r="C623" s="43"/>
      <c r="D623" s="86"/>
      <c r="E623" s="86"/>
      <c r="F623" s="86"/>
      <c r="G623" s="86"/>
      <c r="H623" s="43"/>
      <c r="I623" s="86"/>
      <c r="J623" s="86"/>
      <c r="K623" s="86"/>
      <c r="L623" s="304"/>
      <c r="M623" s="283">
        <v>0</v>
      </c>
    </row>
    <row r="624" spans="1:13" x14ac:dyDescent="0.25">
      <c r="A624" s="284">
        <v>0</v>
      </c>
      <c r="B624" s="314" t="s">
        <v>64</v>
      </c>
      <c r="C624" s="43"/>
      <c r="D624" s="320" t="s">
        <v>1463</v>
      </c>
      <c r="E624" s="166"/>
      <c r="F624" s="166"/>
      <c r="G624" s="166"/>
      <c r="H624" s="43"/>
      <c r="I624" s="86"/>
      <c r="J624" s="86"/>
      <c r="K624" s="86"/>
      <c r="L624" s="304"/>
      <c r="M624" s="283">
        <v>0</v>
      </c>
    </row>
    <row r="625" spans="1:13" x14ac:dyDescent="0.25">
      <c r="A625" s="284">
        <v>0</v>
      </c>
      <c r="B625" s="314" t="s">
        <v>65</v>
      </c>
      <c r="C625" s="43"/>
      <c r="D625" s="320" t="s">
        <v>1417</v>
      </c>
      <c r="E625" s="166"/>
      <c r="F625" s="166"/>
      <c r="G625" s="166"/>
      <c r="H625" s="43"/>
      <c r="I625" s="86"/>
      <c r="J625" s="86"/>
      <c r="K625" s="86"/>
      <c r="L625" s="304"/>
      <c r="M625" s="8">
        <f>SUM(M616:M624)</f>
        <v>0</v>
      </c>
    </row>
    <row r="626" spans="1:13" x14ac:dyDescent="0.25">
      <c r="A626" s="284">
        <v>0</v>
      </c>
      <c r="B626" s="314" t="s">
        <v>66</v>
      </c>
      <c r="C626" s="43"/>
      <c r="D626" s="166"/>
      <c r="E626" s="166"/>
      <c r="F626" s="166"/>
      <c r="G626" s="166"/>
      <c r="H626" s="43"/>
      <c r="I626" s="86"/>
      <c r="J626" s="86"/>
      <c r="K626" s="86"/>
      <c r="L626" s="304"/>
      <c r="M626" s="43"/>
    </row>
    <row r="627" spans="1:13" x14ac:dyDescent="0.25">
      <c r="A627" s="284">
        <v>0</v>
      </c>
      <c r="B627" s="314" t="s">
        <v>67</v>
      </c>
      <c r="C627" s="43"/>
      <c r="D627" s="166"/>
      <c r="E627" s="166"/>
      <c r="F627" s="166"/>
      <c r="G627" s="166"/>
      <c r="H627" s="43"/>
      <c r="I627" s="86"/>
      <c r="J627" s="86"/>
      <c r="K627" s="86"/>
      <c r="L627" s="304"/>
      <c r="M627" s="43"/>
    </row>
    <row r="628" spans="1:13" x14ac:dyDescent="0.25">
      <c r="A628" s="284">
        <v>0</v>
      </c>
      <c r="B628" s="314" t="s">
        <v>68</v>
      </c>
      <c r="C628" s="43"/>
      <c r="D628" s="166"/>
      <c r="E628" s="166"/>
      <c r="F628" s="166"/>
      <c r="G628" s="166"/>
      <c r="H628" s="43"/>
      <c r="I628" s="86"/>
      <c r="J628" s="86"/>
      <c r="K628" s="86"/>
      <c r="L628" s="304"/>
      <c r="M628" s="43"/>
    </row>
    <row r="629" spans="1:13" x14ac:dyDescent="0.25">
      <c r="A629" s="284">
        <v>0</v>
      </c>
      <c r="B629" s="315">
        <v>0.79166666666666663</v>
      </c>
      <c r="C629" s="43"/>
      <c r="D629" s="166"/>
      <c r="E629" s="166"/>
      <c r="F629" s="166"/>
      <c r="G629" s="166"/>
      <c r="H629" s="43"/>
      <c r="I629" s="86"/>
      <c r="J629" s="86"/>
      <c r="K629" s="86"/>
      <c r="L629" s="304"/>
      <c r="M629" s="43"/>
    </row>
    <row r="630" spans="1:13" x14ac:dyDescent="0.25">
      <c r="A630" s="284">
        <v>0</v>
      </c>
      <c r="B630" s="315">
        <v>0.83333333333333337</v>
      </c>
      <c r="C630" s="43"/>
      <c r="D630" s="166"/>
      <c r="E630" s="166"/>
      <c r="F630" s="166"/>
      <c r="G630" s="166"/>
      <c r="H630" s="43"/>
      <c r="I630" s="86"/>
      <c r="J630" s="86"/>
      <c r="K630" s="86"/>
      <c r="L630" s="304"/>
      <c r="M630" s="43"/>
    </row>
    <row r="631" spans="1:13" x14ac:dyDescent="0.25">
      <c r="A631" s="284">
        <v>0</v>
      </c>
      <c r="B631" s="315">
        <v>0.875</v>
      </c>
      <c r="C631" s="43"/>
      <c r="D631" s="166"/>
      <c r="E631" s="166"/>
      <c r="F631" s="166"/>
      <c r="G631" s="166"/>
      <c r="H631" s="43"/>
      <c r="I631" s="86"/>
      <c r="J631" s="86"/>
      <c r="K631" s="86"/>
      <c r="L631" s="304"/>
      <c r="M631" s="43"/>
    </row>
    <row r="632" spans="1:13" x14ac:dyDescent="0.25">
      <c r="A632" s="284">
        <v>0</v>
      </c>
      <c r="B632" s="315">
        <v>0.91666666666666663</v>
      </c>
      <c r="C632" s="43"/>
      <c r="D632" s="166"/>
      <c r="E632" s="166"/>
      <c r="F632" s="166"/>
      <c r="G632" s="166"/>
      <c r="H632" s="43"/>
      <c r="I632" s="86"/>
      <c r="J632" s="86"/>
      <c r="K632" s="86"/>
      <c r="L632" s="304"/>
      <c r="M632" s="43"/>
    </row>
    <row r="633" spans="1:13" x14ac:dyDescent="0.25">
      <c r="A633" s="265">
        <f>SUM(A617:A632)</f>
        <v>13000</v>
      </c>
      <c r="B633" s="316">
        <v>0.94791666666666663</v>
      </c>
      <c r="C633" s="43"/>
      <c r="D633" s="166"/>
      <c r="E633" s="166"/>
      <c r="F633" s="166"/>
      <c r="G633" s="166"/>
      <c r="H633" s="43"/>
      <c r="I633" s="86"/>
      <c r="J633" s="86"/>
      <c r="K633" s="86"/>
      <c r="L633" s="304"/>
      <c r="M633" s="43"/>
    </row>
    <row r="634" spans="1:13" x14ac:dyDescent="0.25">
      <c r="A634" s="281">
        <f>A616+3</f>
        <v>44613</v>
      </c>
      <c r="B634" s="296" t="s">
        <v>54</v>
      </c>
      <c r="C634" s="87" t="s">
        <v>1464</v>
      </c>
      <c r="D634" s="86"/>
      <c r="E634" s="86"/>
      <c r="F634" s="86">
        <v>3</v>
      </c>
      <c r="G634" s="86"/>
      <c r="H634" s="87" t="s">
        <v>1465</v>
      </c>
      <c r="I634" s="86"/>
      <c r="J634" s="86"/>
      <c r="K634" s="86"/>
      <c r="L634" s="86"/>
      <c r="M634" s="283">
        <v>0</v>
      </c>
    </row>
    <row r="635" spans="1:13" x14ac:dyDescent="0.25">
      <c r="A635" s="284">
        <v>24000</v>
      </c>
      <c r="B635" s="314" t="s">
        <v>57</v>
      </c>
      <c r="C635" s="43"/>
      <c r="D635" s="86"/>
      <c r="E635" s="86"/>
      <c r="F635" s="86">
        <v>4</v>
      </c>
      <c r="G635" s="86"/>
      <c r="H635" s="43"/>
      <c r="I635" s="86"/>
      <c r="J635" s="86"/>
      <c r="K635" s="86"/>
      <c r="L635" s="86"/>
      <c r="M635" s="283">
        <v>0</v>
      </c>
    </row>
    <row r="636" spans="1:13" x14ac:dyDescent="0.25">
      <c r="A636" s="284">
        <v>0</v>
      </c>
      <c r="B636" s="314" t="s">
        <v>58</v>
      </c>
      <c r="C636" s="43"/>
      <c r="D636" s="86"/>
      <c r="E636" s="86"/>
      <c r="F636" s="86">
        <v>5</v>
      </c>
      <c r="G636" s="86"/>
      <c r="H636" s="43"/>
      <c r="I636" s="86"/>
      <c r="J636" s="86"/>
      <c r="K636" s="86"/>
      <c r="L636" s="86"/>
      <c r="M636" s="283">
        <v>0</v>
      </c>
    </row>
    <row r="637" spans="1:13" x14ac:dyDescent="0.25">
      <c r="A637" s="284">
        <v>0</v>
      </c>
      <c r="B637" s="314" t="s">
        <v>59</v>
      </c>
      <c r="C637" s="43"/>
      <c r="D637" s="65"/>
      <c r="E637" s="65"/>
      <c r="F637" s="65">
        <v>6</v>
      </c>
      <c r="G637" s="65"/>
      <c r="H637" s="43"/>
      <c r="I637" s="86"/>
      <c r="J637" s="86"/>
      <c r="K637" s="86"/>
      <c r="L637" s="86"/>
      <c r="M637" s="283">
        <v>0</v>
      </c>
    </row>
    <row r="638" spans="1:13" x14ac:dyDescent="0.25">
      <c r="A638" s="284">
        <v>0</v>
      </c>
      <c r="B638" s="314" t="s">
        <v>60</v>
      </c>
      <c r="C638" s="43"/>
      <c r="D638" s="65"/>
      <c r="E638" s="65"/>
      <c r="F638" s="65">
        <v>7</v>
      </c>
      <c r="G638" s="65"/>
      <c r="H638" s="43"/>
      <c r="I638" s="86"/>
      <c r="J638" s="86"/>
      <c r="K638" s="86"/>
      <c r="L638" s="86"/>
      <c r="M638" s="283">
        <v>0</v>
      </c>
    </row>
    <row r="639" spans="1:13" x14ac:dyDescent="0.25">
      <c r="A639" s="284">
        <v>0</v>
      </c>
      <c r="B639" s="314" t="s">
        <v>61</v>
      </c>
      <c r="C639" s="43"/>
      <c r="D639" s="65"/>
      <c r="E639" s="65"/>
      <c r="F639" s="65">
        <v>8</v>
      </c>
      <c r="G639" s="65"/>
      <c r="H639" s="43"/>
      <c r="I639" s="86"/>
      <c r="J639" s="86"/>
      <c r="K639" s="86"/>
      <c r="L639" s="86"/>
      <c r="M639" s="283">
        <v>0</v>
      </c>
    </row>
    <row r="640" spans="1:13" x14ac:dyDescent="0.25">
      <c r="A640" s="284">
        <v>0</v>
      </c>
      <c r="B640" s="314" t="s">
        <v>62</v>
      </c>
      <c r="C640" s="43"/>
      <c r="D640" s="65"/>
      <c r="E640" s="65"/>
      <c r="F640" s="65">
        <v>9</v>
      </c>
      <c r="G640" s="65"/>
      <c r="H640" s="43"/>
      <c r="I640" s="86"/>
      <c r="J640" s="86"/>
      <c r="K640" s="86"/>
      <c r="L640" s="86"/>
      <c r="M640" s="283">
        <v>0</v>
      </c>
    </row>
    <row r="641" spans="1:13" x14ac:dyDescent="0.25">
      <c r="A641" s="284">
        <v>0</v>
      </c>
      <c r="B641" s="314" t="s">
        <v>63</v>
      </c>
      <c r="C641" s="43"/>
      <c r="D641" s="65"/>
      <c r="E641" s="65"/>
      <c r="F641" s="65">
        <v>10</v>
      </c>
      <c r="G641" s="65"/>
      <c r="H641" s="43"/>
      <c r="I641" s="86"/>
      <c r="J641" s="86"/>
      <c r="K641" s="86"/>
      <c r="L641" s="86"/>
      <c r="M641" s="283">
        <v>0</v>
      </c>
    </row>
    <row r="642" spans="1:13" x14ac:dyDescent="0.25">
      <c r="A642" s="284">
        <v>0</v>
      </c>
      <c r="B642" s="314" t="s">
        <v>64</v>
      </c>
      <c r="C642" s="43"/>
      <c r="D642" s="65"/>
      <c r="E642" s="65"/>
      <c r="F642" s="65">
        <v>11</v>
      </c>
      <c r="G642" s="65"/>
      <c r="H642" s="43"/>
      <c r="I642" s="86"/>
      <c r="J642" s="86"/>
      <c r="K642" s="86"/>
      <c r="L642" s="86"/>
      <c r="M642" s="283">
        <v>0</v>
      </c>
    </row>
    <row r="643" spans="1:13" x14ac:dyDescent="0.25">
      <c r="A643" s="284">
        <v>0</v>
      </c>
      <c r="B643" s="314" t="s">
        <v>65</v>
      </c>
      <c r="C643" s="43"/>
      <c r="D643" s="65"/>
      <c r="E643" s="65"/>
      <c r="F643" s="65">
        <v>12</v>
      </c>
      <c r="G643" s="65"/>
      <c r="H643" s="43"/>
      <c r="I643" s="194"/>
      <c r="J643" s="194"/>
      <c r="K643" s="194"/>
      <c r="L643" s="303"/>
      <c r="M643" s="8">
        <f>SUM(M634:M642)</f>
        <v>0</v>
      </c>
    </row>
    <row r="644" spans="1:13" x14ac:dyDescent="0.25">
      <c r="A644" s="284">
        <v>0</v>
      </c>
      <c r="B644" s="314" t="s">
        <v>66</v>
      </c>
      <c r="C644" s="43"/>
      <c r="D644" s="166" t="s">
        <v>1466</v>
      </c>
      <c r="E644" s="166"/>
      <c r="F644" s="166"/>
      <c r="G644" s="166"/>
      <c r="H644" s="43"/>
      <c r="I644" s="194"/>
      <c r="J644" s="194"/>
      <c r="K644" s="194"/>
      <c r="L644" s="303"/>
      <c r="M644" s="43"/>
    </row>
    <row r="645" spans="1:13" x14ac:dyDescent="0.25">
      <c r="A645" s="284">
        <v>0</v>
      </c>
      <c r="B645" s="314" t="s">
        <v>67</v>
      </c>
      <c r="C645" s="43"/>
      <c r="D645" s="166"/>
      <c r="E645" s="166"/>
      <c r="F645" s="166"/>
      <c r="G645" s="166"/>
      <c r="H645" s="43"/>
      <c r="I645" s="194"/>
      <c r="J645" s="194"/>
      <c r="K645" s="194"/>
      <c r="L645" s="303"/>
      <c r="M645" s="43"/>
    </row>
    <row r="646" spans="1:13" x14ac:dyDescent="0.25">
      <c r="A646" s="284">
        <v>0</v>
      </c>
      <c r="B646" s="314" t="s">
        <v>68</v>
      </c>
      <c r="C646" s="43"/>
      <c r="D646" s="166"/>
      <c r="E646" s="166"/>
      <c r="F646" s="166"/>
      <c r="G646" s="166"/>
      <c r="H646" s="43"/>
      <c r="I646" s="194"/>
      <c r="J646" s="194"/>
      <c r="K646" s="194"/>
      <c r="L646" s="303"/>
      <c r="M646" s="43"/>
    </row>
    <row r="647" spans="1:13" x14ac:dyDescent="0.25">
      <c r="A647" s="284">
        <v>0</v>
      </c>
      <c r="B647" s="315">
        <v>0.79166666666666663</v>
      </c>
      <c r="C647" s="43"/>
      <c r="D647" s="166"/>
      <c r="E647" s="166"/>
      <c r="F647" s="166"/>
      <c r="G647" s="166"/>
      <c r="H647" s="43"/>
      <c r="I647" s="194"/>
      <c r="J647" s="194"/>
      <c r="K647" s="194"/>
      <c r="L647" s="303"/>
      <c r="M647" s="43"/>
    </row>
    <row r="648" spans="1:13" x14ac:dyDescent="0.25">
      <c r="A648" s="284">
        <v>0</v>
      </c>
      <c r="B648" s="315">
        <v>0.83333333333333337</v>
      </c>
      <c r="C648" s="43"/>
      <c r="D648" s="194"/>
      <c r="E648" s="194"/>
      <c r="F648" s="194"/>
      <c r="G648" s="194"/>
      <c r="H648" s="43"/>
      <c r="I648" s="194"/>
      <c r="J648" s="194"/>
      <c r="K648" s="194"/>
      <c r="L648" s="303"/>
      <c r="M648" s="43"/>
    </row>
    <row r="649" spans="1:13" x14ac:dyDescent="0.25">
      <c r="A649" s="284">
        <v>0</v>
      </c>
      <c r="B649" s="315">
        <v>0.875</v>
      </c>
      <c r="C649" s="43"/>
      <c r="D649" s="194"/>
      <c r="E649" s="194"/>
      <c r="F649" s="194"/>
      <c r="G649" s="194"/>
      <c r="H649" s="43"/>
      <c r="I649" s="194"/>
      <c r="J649" s="194"/>
      <c r="K649" s="194"/>
      <c r="L649" s="303"/>
      <c r="M649" s="43"/>
    </row>
    <row r="650" spans="1:13" x14ac:dyDescent="0.25">
      <c r="A650" s="284">
        <v>0</v>
      </c>
      <c r="B650" s="315">
        <v>0.91666666666666663</v>
      </c>
      <c r="C650" s="43"/>
      <c r="D650" s="194"/>
      <c r="E650" s="194"/>
      <c r="F650" s="194"/>
      <c r="G650" s="194"/>
      <c r="H650" s="43"/>
      <c r="I650" s="194"/>
      <c r="J650" s="194"/>
      <c r="K650" s="194"/>
      <c r="L650" s="303"/>
      <c r="M650" s="43"/>
    </row>
    <row r="651" spans="1:13" x14ac:dyDescent="0.25">
      <c r="A651" s="265">
        <f>SUM(A635:A650)</f>
        <v>24000</v>
      </c>
      <c r="B651" s="316">
        <v>0.94791666666666663</v>
      </c>
      <c r="C651" s="43"/>
      <c r="D651" s="194"/>
      <c r="E651" s="194"/>
      <c r="F651" s="194"/>
      <c r="G651" s="194"/>
      <c r="H651" s="43"/>
      <c r="I651" s="194"/>
      <c r="J651" s="194"/>
      <c r="K651" s="194"/>
      <c r="L651" s="303"/>
      <c r="M651" s="43"/>
    </row>
    <row r="652" spans="1:13" ht="47.25" x14ac:dyDescent="0.25">
      <c r="A652" s="281">
        <f>A634+1</f>
        <v>44614</v>
      </c>
      <c r="B652" s="317" t="s">
        <v>54</v>
      </c>
      <c r="C652" s="87" t="s">
        <v>1464</v>
      </c>
      <c r="D652" s="65"/>
      <c r="E652" s="65"/>
      <c r="F652" s="65">
        <v>13</v>
      </c>
      <c r="G652" s="65"/>
      <c r="H652" s="55" t="s">
        <v>1467</v>
      </c>
      <c r="I652" s="57">
        <v>54</v>
      </c>
      <c r="J652" s="57" t="s">
        <v>248</v>
      </c>
      <c r="K652" s="57" t="s">
        <v>1468</v>
      </c>
      <c r="L652" s="125">
        <v>44614</v>
      </c>
      <c r="M652" s="283">
        <v>0</v>
      </c>
    </row>
    <row r="653" spans="1:13" ht="31.5" x14ac:dyDescent="0.25">
      <c r="A653" s="284">
        <v>10031</v>
      </c>
      <c r="B653" s="314" t="s">
        <v>57</v>
      </c>
      <c r="C653" s="43"/>
      <c r="D653" s="65"/>
      <c r="E653" s="65"/>
      <c r="F653" s="65">
        <v>14</v>
      </c>
      <c r="G653" s="65"/>
      <c r="H653" s="55" t="s">
        <v>1469</v>
      </c>
      <c r="I653" s="57"/>
      <c r="J653" s="57"/>
      <c r="K653" s="57"/>
      <c r="L653" s="57" t="s">
        <v>1416</v>
      </c>
      <c r="M653" s="283">
        <v>0</v>
      </c>
    </row>
    <row r="654" spans="1:13" x14ac:dyDescent="0.25">
      <c r="A654" s="284">
        <v>0</v>
      </c>
      <c r="B654" s="314" t="s">
        <v>58</v>
      </c>
      <c r="C654" s="43"/>
      <c r="D654" s="65"/>
      <c r="E654" s="65"/>
      <c r="F654" s="65">
        <v>15</v>
      </c>
      <c r="G654" s="65"/>
      <c r="H654" s="43"/>
      <c r="I654" s="65"/>
      <c r="J654" s="65"/>
      <c r="K654" s="65"/>
      <c r="L654" s="65"/>
      <c r="M654" s="283">
        <v>0</v>
      </c>
    </row>
    <row r="655" spans="1:13" x14ac:dyDescent="0.25">
      <c r="A655" s="284">
        <v>0</v>
      </c>
      <c r="B655" s="314" t="s">
        <v>59</v>
      </c>
      <c r="C655" s="43"/>
      <c r="D655" s="65"/>
      <c r="E655" s="65"/>
      <c r="F655" s="65">
        <v>16</v>
      </c>
      <c r="G655" s="65"/>
      <c r="H655" s="43"/>
      <c r="I655" s="65"/>
      <c r="J655" s="65"/>
      <c r="K655" s="65"/>
      <c r="L655" s="65"/>
      <c r="M655" s="283">
        <v>0</v>
      </c>
    </row>
    <row r="656" spans="1:13" ht="63" x14ac:dyDescent="0.25">
      <c r="A656" s="284">
        <v>0</v>
      </c>
      <c r="B656" s="314" t="s">
        <v>60</v>
      </c>
      <c r="C656" s="43"/>
      <c r="D656" s="65"/>
      <c r="E656" s="65"/>
      <c r="F656" s="65">
        <v>17</v>
      </c>
      <c r="G656" s="65"/>
      <c r="H656" s="55" t="s">
        <v>1470</v>
      </c>
      <c r="I656" s="56">
        <v>36</v>
      </c>
      <c r="J656" s="57" t="s">
        <v>1471</v>
      </c>
      <c r="K656" s="57" t="s">
        <v>1472</v>
      </c>
      <c r="L656" s="57" t="s">
        <v>1473</v>
      </c>
      <c r="M656" s="283">
        <v>0</v>
      </c>
    </row>
    <row r="657" spans="1:14" ht="31.5" x14ac:dyDescent="0.25">
      <c r="A657" s="284">
        <v>0</v>
      </c>
      <c r="B657" s="314" t="s">
        <v>61</v>
      </c>
      <c r="C657" s="43"/>
      <c r="D657" s="65"/>
      <c r="E657" s="65"/>
      <c r="F657" s="65">
        <v>18</v>
      </c>
      <c r="G657" s="65"/>
      <c r="H657" s="55" t="s">
        <v>1474</v>
      </c>
      <c r="I657" s="311" t="s">
        <v>1475</v>
      </c>
      <c r="J657" s="311" t="s">
        <v>1476</v>
      </c>
      <c r="K657" s="65"/>
      <c r="L657" s="57"/>
      <c r="M657" s="283">
        <v>0</v>
      </c>
    </row>
    <row r="658" spans="1:14" x14ac:dyDescent="0.25">
      <c r="A658" s="284">
        <v>0</v>
      </c>
      <c r="B658" s="314" t="s">
        <v>62</v>
      </c>
      <c r="C658" s="43"/>
      <c r="D658" s="321" t="s">
        <v>1477</v>
      </c>
      <c r="E658" s="321"/>
      <c r="F658" s="321"/>
      <c r="G658" s="321"/>
      <c r="H658" s="43"/>
      <c r="I658" s="311" t="s">
        <v>1478</v>
      </c>
      <c r="J658" s="65"/>
      <c r="K658" s="65"/>
      <c r="L658" s="65"/>
      <c r="M658" s="283">
        <v>0</v>
      </c>
    </row>
    <row r="659" spans="1:14" x14ac:dyDescent="0.25">
      <c r="A659" s="284">
        <v>0</v>
      </c>
      <c r="B659" s="314" t="s">
        <v>63</v>
      </c>
      <c r="C659" s="43"/>
      <c r="D659" s="321"/>
      <c r="E659" s="321"/>
      <c r="F659" s="321"/>
      <c r="G659" s="321"/>
      <c r="H659" s="43"/>
      <c r="I659" s="311" t="s">
        <v>1475</v>
      </c>
      <c r="J659" s="65"/>
      <c r="K659" s="65"/>
      <c r="L659" s="65"/>
      <c r="M659" s="283">
        <v>0</v>
      </c>
    </row>
    <row r="660" spans="1:14" x14ac:dyDescent="0.25">
      <c r="A660" s="284">
        <v>0</v>
      </c>
      <c r="B660" s="314" t="s">
        <v>64</v>
      </c>
      <c r="C660" s="43"/>
      <c r="D660" s="321"/>
      <c r="E660" s="321"/>
      <c r="F660" s="321"/>
      <c r="G660" s="321"/>
      <c r="H660" s="43"/>
      <c r="I660" s="65"/>
      <c r="J660" s="65"/>
      <c r="K660" s="65"/>
      <c r="L660" s="65"/>
      <c r="M660" s="283">
        <v>0</v>
      </c>
    </row>
    <row r="661" spans="1:14" x14ac:dyDescent="0.25">
      <c r="A661" s="284">
        <v>0</v>
      </c>
      <c r="B661" s="314" t="s">
        <v>65</v>
      </c>
      <c r="C661" s="43"/>
      <c r="D661" s="321"/>
      <c r="E661" s="321"/>
      <c r="F661" s="321"/>
      <c r="G661" s="321"/>
      <c r="H661" s="43"/>
      <c r="I661" s="194"/>
      <c r="J661" s="194"/>
      <c r="K661" s="194"/>
      <c r="L661" s="303"/>
      <c r="M661" s="8">
        <f>SUM(M652:M660)</f>
        <v>0</v>
      </c>
      <c r="N661" s="32"/>
    </row>
    <row r="662" spans="1:14" x14ac:dyDescent="0.25">
      <c r="A662" s="284">
        <v>3611</v>
      </c>
      <c r="B662" s="314" t="s">
        <v>66</v>
      </c>
      <c r="C662" s="43"/>
      <c r="D662" s="321"/>
      <c r="E662" s="321"/>
      <c r="F662" s="321"/>
      <c r="G662" s="321"/>
      <c r="H662" s="43"/>
      <c r="I662" s="194"/>
      <c r="J662" s="194"/>
      <c r="K662" s="194"/>
      <c r="L662" s="303"/>
      <c r="M662" s="43"/>
    </row>
    <row r="663" spans="1:14" x14ac:dyDescent="0.25">
      <c r="A663" s="284">
        <v>0</v>
      </c>
      <c r="B663" s="314" t="s">
        <v>67</v>
      </c>
      <c r="C663" s="43"/>
      <c r="D663" s="321"/>
      <c r="E663" s="321"/>
      <c r="F663" s="321"/>
      <c r="G663" s="321"/>
      <c r="H663" s="43"/>
      <c r="I663" s="194"/>
      <c r="J663" s="194"/>
      <c r="K663" s="194"/>
      <c r="L663" s="303"/>
      <c r="M663" s="43"/>
    </row>
    <row r="664" spans="1:14" x14ac:dyDescent="0.25">
      <c r="A664" s="284">
        <v>0</v>
      </c>
      <c r="B664" s="314" t="s">
        <v>68</v>
      </c>
      <c r="C664" s="43"/>
      <c r="D664" s="321"/>
      <c r="E664" s="321"/>
      <c r="F664" s="321"/>
      <c r="G664" s="321"/>
      <c r="H664" s="43"/>
      <c r="I664" s="194"/>
      <c r="J664" s="194"/>
      <c r="K664" s="194"/>
      <c r="L664" s="303"/>
      <c r="M664" s="43"/>
    </row>
    <row r="665" spans="1:14" x14ac:dyDescent="0.25">
      <c r="A665" s="284">
        <v>0</v>
      </c>
      <c r="B665" s="315">
        <v>0.79166666666666663</v>
      </c>
      <c r="C665" s="43"/>
      <c r="D665" s="321"/>
      <c r="E665" s="321"/>
      <c r="F665" s="321"/>
      <c r="G665" s="321"/>
      <c r="H665" s="43"/>
      <c r="I665" s="194"/>
      <c r="J665" s="194"/>
      <c r="K665" s="194"/>
      <c r="L665" s="303"/>
      <c r="M665" s="43"/>
    </row>
    <row r="666" spans="1:14" x14ac:dyDescent="0.25">
      <c r="A666" s="284">
        <v>0</v>
      </c>
      <c r="B666" s="315">
        <v>0.83333333333333337</v>
      </c>
      <c r="C666" s="43"/>
      <c r="D666" s="321"/>
      <c r="E666" s="321"/>
      <c r="F666" s="321"/>
      <c r="G666" s="321"/>
      <c r="H666" s="43"/>
      <c r="I666" s="194"/>
      <c r="J666" s="194"/>
      <c r="K666" s="194"/>
      <c r="L666" s="303"/>
      <c r="M666" s="43"/>
    </row>
    <row r="667" spans="1:14" x14ac:dyDescent="0.25">
      <c r="A667" s="284">
        <v>0</v>
      </c>
      <c r="B667" s="315">
        <v>0.875</v>
      </c>
      <c r="C667" s="43"/>
      <c r="D667" s="194"/>
      <c r="E667" s="194"/>
      <c r="F667" s="194"/>
      <c r="G667" s="194"/>
      <c r="H667" s="43"/>
      <c r="I667" s="194"/>
      <c r="J667" s="194"/>
      <c r="K667" s="194"/>
      <c r="L667" s="303"/>
      <c r="M667" s="43"/>
    </row>
    <row r="668" spans="1:14" x14ac:dyDescent="0.25">
      <c r="A668" s="284">
        <v>0</v>
      </c>
      <c r="B668" s="315">
        <v>0.91666666666666663</v>
      </c>
      <c r="C668" s="43"/>
      <c r="D668" s="194"/>
      <c r="E668" s="194"/>
      <c r="F668" s="194"/>
      <c r="G668" s="194"/>
      <c r="H668" s="43"/>
      <c r="I668" s="194"/>
      <c r="J668" s="194"/>
      <c r="K668" s="194"/>
      <c r="L668" s="303"/>
      <c r="M668" s="43"/>
    </row>
    <row r="669" spans="1:14" x14ac:dyDescent="0.25">
      <c r="A669" s="265">
        <f>SUM(A653:A668)</f>
        <v>13642</v>
      </c>
      <c r="B669" s="316">
        <v>0.94791666666666663</v>
      </c>
      <c r="C669" s="43"/>
      <c r="D669" s="194"/>
      <c r="E669" s="194"/>
      <c r="F669" s="194"/>
      <c r="G669" s="194"/>
      <c r="H669" s="43"/>
      <c r="I669" s="194"/>
      <c r="J669" s="194"/>
      <c r="K669" s="194"/>
      <c r="L669" s="303"/>
      <c r="M669" s="43"/>
    </row>
    <row r="670" spans="1:14" ht="110.25" x14ac:dyDescent="0.25">
      <c r="A670" s="281">
        <f>A652+1</f>
        <v>44615</v>
      </c>
      <c r="B670" s="317" t="s">
        <v>54</v>
      </c>
      <c r="C670" s="55" t="s">
        <v>1479</v>
      </c>
      <c r="D670" s="57">
        <v>60</v>
      </c>
      <c r="E670" s="57" t="s">
        <v>204</v>
      </c>
      <c r="F670" s="57" t="s">
        <v>1480</v>
      </c>
      <c r="G670" s="125">
        <v>44615</v>
      </c>
      <c r="H670" s="43"/>
      <c r="I670" s="322" t="s">
        <v>1481</v>
      </c>
      <c r="J670" s="323"/>
      <c r="K670" s="323"/>
      <c r="L670" s="323"/>
      <c r="M670" s="283">
        <v>5000</v>
      </c>
    </row>
    <row r="671" spans="1:14" ht="94.5" x14ac:dyDescent="0.25">
      <c r="A671" s="284">
        <v>10031</v>
      </c>
      <c r="B671" s="314" t="s">
        <v>57</v>
      </c>
      <c r="C671" s="55" t="s">
        <v>1482</v>
      </c>
      <c r="D671" s="57"/>
      <c r="E671" s="57"/>
      <c r="F671" s="57">
        <v>2</v>
      </c>
      <c r="G671" s="57" t="s">
        <v>1483</v>
      </c>
      <c r="H671" s="43"/>
      <c r="I671" s="323"/>
      <c r="J671" s="323"/>
      <c r="K671" s="323"/>
      <c r="L671" s="323"/>
      <c r="M671" s="283">
        <v>0</v>
      </c>
    </row>
    <row r="672" spans="1:14" x14ac:dyDescent="0.25">
      <c r="A672" s="284">
        <v>0</v>
      </c>
      <c r="B672" s="314" t="s">
        <v>58</v>
      </c>
      <c r="C672" s="43"/>
      <c r="D672" s="65"/>
      <c r="E672" s="65"/>
      <c r="F672" s="65">
        <v>3</v>
      </c>
      <c r="G672" s="65"/>
      <c r="H672" s="43"/>
      <c r="I672" s="323"/>
      <c r="J672" s="323"/>
      <c r="K672" s="323"/>
      <c r="L672" s="323"/>
      <c r="M672" s="283">
        <v>0</v>
      </c>
    </row>
    <row r="673" spans="1:16" x14ac:dyDescent="0.25">
      <c r="A673" s="284">
        <v>0</v>
      </c>
      <c r="B673" s="314" t="s">
        <v>59</v>
      </c>
      <c r="C673" s="43"/>
      <c r="D673" s="65"/>
      <c r="E673" s="65"/>
      <c r="F673" s="65">
        <v>4</v>
      </c>
      <c r="G673" s="65"/>
      <c r="H673" s="43"/>
      <c r="I673" s="323"/>
      <c r="J673" s="323"/>
      <c r="K673" s="323"/>
      <c r="L673" s="323"/>
      <c r="M673" s="283">
        <v>0</v>
      </c>
    </row>
    <row r="674" spans="1:16" x14ac:dyDescent="0.25">
      <c r="A674" s="284">
        <v>0</v>
      </c>
      <c r="B674" s="314" t="s">
        <v>60</v>
      </c>
      <c r="C674" s="43"/>
      <c r="D674" s="57"/>
      <c r="E674" s="57"/>
      <c r="F674" s="57">
        <v>5</v>
      </c>
      <c r="G674" s="57"/>
      <c r="H674" s="43"/>
      <c r="I674" s="323"/>
      <c r="J674" s="323"/>
      <c r="K674" s="323"/>
      <c r="L674" s="323"/>
      <c r="M674" s="283">
        <v>0</v>
      </c>
      <c r="P674" s="32" t="s">
        <v>1484</v>
      </c>
    </row>
    <row r="675" spans="1:16" x14ac:dyDescent="0.25">
      <c r="A675" s="284">
        <v>0</v>
      </c>
      <c r="B675" s="314" t="s">
        <v>61</v>
      </c>
      <c r="C675" s="43"/>
      <c r="D675" s="57"/>
      <c r="E675" s="57"/>
      <c r="F675" s="57"/>
      <c r="G675" s="57"/>
      <c r="H675" s="43"/>
      <c r="I675" s="323"/>
      <c r="J675" s="323"/>
      <c r="K675" s="323"/>
      <c r="L675" s="323"/>
      <c r="M675" s="283">
        <v>0</v>
      </c>
    </row>
    <row r="676" spans="1:16" x14ac:dyDescent="0.25">
      <c r="A676" s="284">
        <v>0</v>
      </c>
      <c r="B676" s="314" t="s">
        <v>62</v>
      </c>
      <c r="C676" s="43"/>
      <c r="D676" s="57"/>
      <c r="E676" s="57"/>
      <c r="F676" s="57"/>
      <c r="G676" s="57"/>
      <c r="H676" s="43"/>
      <c r="I676" s="323"/>
      <c r="J676" s="323"/>
      <c r="K676" s="323"/>
      <c r="L676" s="323"/>
      <c r="M676" s="283">
        <v>0</v>
      </c>
    </row>
    <row r="677" spans="1:16" x14ac:dyDescent="0.25">
      <c r="A677" s="284">
        <v>0</v>
      </c>
      <c r="B677" s="314" t="s">
        <v>63</v>
      </c>
      <c r="C677" s="43"/>
      <c r="D677" s="57"/>
      <c r="E677" s="57"/>
      <c r="F677" s="57"/>
      <c r="G677" s="57"/>
      <c r="H677" s="43"/>
      <c r="I677" s="323"/>
      <c r="J677" s="323"/>
      <c r="K677" s="323"/>
      <c r="L677" s="323"/>
      <c r="M677" s="283">
        <v>0</v>
      </c>
    </row>
    <row r="678" spans="1:16" ht="47.25" x14ac:dyDescent="0.25">
      <c r="A678" s="284">
        <v>8000</v>
      </c>
      <c r="B678" s="314" t="s">
        <v>64</v>
      </c>
      <c r="C678" s="55" t="s">
        <v>1485</v>
      </c>
      <c r="D678" s="57">
        <v>54</v>
      </c>
      <c r="E678" s="57" t="s">
        <v>25</v>
      </c>
      <c r="F678" s="57" t="s">
        <v>1486</v>
      </c>
      <c r="G678" s="125">
        <v>44615</v>
      </c>
      <c r="H678" s="43"/>
      <c r="I678" s="323"/>
      <c r="J678" s="323"/>
      <c r="K678" s="323"/>
      <c r="L678" s="323"/>
      <c r="M678" s="283">
        <v>0</v>
      </c>
    </row>
    <row r="679" spans="1:16" ht="47.25" x14ac:dyDescent="0.25">
      <c r="A679" s="284">
        <v>0</v>
      </c>
      <c r="B679" s="314" t="s">
        <v>65</v>
      </c>
      <c r="C679" s="55" t="s">
        <v>1487</v>
      </c>
      <c r="D679" s="57"/>
      <c r="E679" s="57"/>
      <c r="F679" s="57">
        <v>2</v>
      </c>
      <c r="G679" s="57"/>
      <c r="H679" s="43"/>
      <c r="I679" s="194"/>
      <c r="J679" s="194"/>
      <c r="K679" s="194"/>
      <c r="L679" s="303"/>
      <c r="M679" s="8">
        <f>SUM(M670:M678)</f>
        <v>5000</v>
      </c>
    </row>
    <row r="680" spans="1:16" x14ac:dyDescent="0.25">
      <c r="A680" s="284">
        <v>0</v>
      </c>
      <c r="B680" s="314" t="s">
        <v>66</v>
      </c>
      <c r="C680" s="43"/>
      <c r="D680" s="65"/>
      <c r="E680" s="65"/>
      <c r="F680" s="65">
        <v>3</v>
      </c>
      <c r="G680" s="65"/>
      <c r="H680" s="43"/>
      <c r="I680" s="194"/>
      <c r="J680" s="194"/>
      <c r="K680" s="194"/>
      <c r="L680" s="303"/>
      <c r="M680" s="43"/>
    </row>
    <row r="681" spans="1:16" x14ac:dyDescent="0.25">
      <c r="A681" s="284">
        <v>0</v>
      </c>
      <c r="B681" s="314" t="s">
        <v>67</v>
      </c>
      <c r="C681" s="43"/>
      <c r="D681" s="65"/>
      <c r="E681" s="65"/>
      <c r="F681" s="65">
        <v>4</v>
      </c>
      <c r="G681" s="65"/>
      <c r="H681" s="43"/>
      <c r="I681" s="194"/>
      <c r="J681" s="194"/>
      <c r="K681" s="194"/>
      <c r="L681" s="303"/>
      <c r="M681" s="43"/>
    </row>
    <row r="682" spans="1:16" x14ac:dyDescent="0.25">
      <c r="A682" s="284">
        <v>0</v>
      </c>
      <c r="B682" s="314" t="s">
        <v>68</v>
      </c>
      <c r="C682" s="43"/>
      <c r="D682" s="65"/>
      <c r="E682" s="65"/>
      <c r="F682" s="65">
        <v>5</v>
      </c>
      <c r="G682" s="65"/>
      <c r="H682" s="43"/>
      <c r="I682" s="194"/>
      <c r="J682" s="194"/>
      <c r="K682" s="194"/>
      <c r="L682" s="303"/>
      <c r="M682" s="43"/>
    </row>
    <row r="683" spans="1:16" x14ac:dyDescent="0.25">
      <c r="A683" s="284">
        <v>0</v>
      </c>
      <c r="B683" s="315">
        <v>0.79166666666666663</v>
      </c>
      <c r="C683" s="43"/>
      <c r="D683" s="65"/>
      <c r="E683" s="65"/>
      <c r="F683" s="65">
        <v>6</v>
      </c>
      <c r="G683" s="65"/>
      <c r="H683" s="43"/>
      <c r="I683" s="194"/>
      <c r="J683" s="194"/>
      <c r="K683" s="194"/>
      <c r="L683" s="303"/>
      <c r="M683" s="43"/>
    </row>
    <row r="684" spans="1:16" x14ac:dyDescent="0.25">
      <c r="A684" s="284">
        <v>0</v>
      </c>
      <c r="B684" s="315">
        <v>0.83333333333333337</v>
      </c>
      <c r="C684" s="43"/>
      <c r="D684" s="65"/>
      <c r="E684" s="65"/>
      <c r="F684" s="65">
        <v>7</v>
      </c>
      <c r="G684" s="65"/>
      <c r="H684" s="43"/>
      <c r="I684" s="194"/>
      <c r="J684" s="194"/>
      <c r="K684" s="194"/>
      <c r="L684" s="303"/>
      <c r="M684" s="43"/>
    </row>
    <row r="685" spans="1:16" x14ac:dyDescent="0.25">
      <c r="A685" s="284">
        <v>0</v>
      </c>
      <c r="B685" s="315">
        <v>0.875</v>
      </c>
      <c r="C685" s="43"/>
      <c r="D685" s="65"/>
      <c r="E685" s="65"/>
      <c r="F685" s="65">
        <v>8</v>
      </c>
      <c r="G685" s="65"/>
      <c r="H685" s="43"/>
      <c r="I685" s="194"/>
      <c r="J685" s="194"/>
      <c r="K685" s="194"/>
      <c r="L685" s="303"/>
      <c r="M685" s="43"/>
    </row>
    <row r="686" spans="1:16" x14ac:dyDescent="0.25">
      <c r="A686" s="284">
        <v>0</v>
      </c>
      <c r="B686" s="315">
        <v>0.91666666666666663</v>
      </c>
      <c r="C686" s="43"/>
      <c r="D686" s="194"/>
      <c r="E686" s="194"/>
      <c r="F686" s="194"/>
      <c r="G686" s="194"/>
      <c r="H686" s="43"/>
      <c r="I686" s="194"/>
      <c r="J686" s="194"/>
      <c r="K686" s="194"/>
      <c r="L686" s="303"/>
      <c r="M686" s="43"/>
    </row>
    <row r="687" spans="1:16" x14ac:dyDescent="0.25">
      <c r="A687" s="265">
        <f>SUM(A671:A686)</f>
        <v>18031</v>
      </c>
      <c r="B687" s="316">
        <v>0.94791666666666663</v>
      </c>
      <c r="C687" s="43"/>
      <c r="D687" s="194"/>
      <c r="E687" s="194"/>
      <c r="F687" s="194"/>
      <c r="G687" s="194"/>
      <c r="H687" s="43"/>
      <c r="I687" s="194"/>
      <c r="J687" s="194"/>
      <c r="K687" s="194"/>
      <c r="L687" s="303"/>
      <c r="M687" s="43"/>
    </row>
    <row r="688" spans="1:16" x14ac:dyDescent="0.25">
      <c r="A688" s="281">
        <f>A670+1</f>
        <v>44616</v>
      </c>
      <c r="B688" s="317" t="s">
        <v>54</v>
      </c>
      <c r="C688" s="43"/>
      <c r="D688" s="65"/>
      <c r="E688" s="65"/>
      <c r="F688" s="65">
        <v>9</v>
      </c>
      <c r="G688" s="65"/>
      <c r="H688" s="55" t="s">
        <v>1488</v>
      </c>
      <c r="I688" s="65"/>
      <c r="J688" s="65"/>
      <c r="K688" s="65"/>
      <c r="L688" s="65"/>
      <c r="M688" s="283">
        <v>0</v>
      </c>
    </row>
    <row r="689" spans="1:13" x14ac:dyDescent="0.25">
      <c r="A689" s="284">
        <v>1000</v>
      </c>
      <c r="B689" s="314" t="s">
        <v>57</v>
      </c>
      <c r="C689" s="43"/>
      <c r="D689" s="65"/>
      <c r="E689" s="65"/>
      <c r="F689" s="65">
        <v>10</v>
      </c>
      <c r="G689" s="65"/>
      <c r="H689" s="55"/>
      <c r="I689" s="65"/>
      <c r="J689" s="65"/>
      <c r="K689" s="65"/>
      <c r="L689" s="65"/>
      <c r="M689" s="283">
        <v>0</v>
      </c>
    </row>
    <row r="690" spans="1:13" x14ac:dyDescent="0.25">
      <c r="A690" s="284">
        <v>0</v>
      </c>
      <c r="B690" s="314" t="s">
        <v>58</v>
      </c>
      <c r="C690" s="43"/>
      <c r="D690" s="65"/>
      <c r="E690" s="65"/>
      <c r="F690" s="65">
        <v>11</v>
      </c>
      <c r="G690" s="65"/>
      <c r="H690" s="55"/>
      <c r="I690" s="65"/>
      <c r="J690" s="65"/>
      <c r="K690" s="65"/>
      <c r="L690" s="178"/>
      <c r="M690" s="283">
        <v>0</v>
      </c>
    </row>
    <row r="691" spans="1:13" ht="47.25" x14ac:dyDescent="0.25">
      <c r="A691" s="284">
        <v>3611</v>
      </c>
      <c r="B691" s="314" t="s">
        <v>59</v>
      </c>
      <c r="C691" s="55" t="s">
        <v>1489</v>
      </c>
      <c r="D691" s="57">
        <v>60</v>
      </c>
      <c r="E691" s="57" t="s">
        <v>25</v>
      </c>
      <c r="F691" s="57" t="s">
        <v>1490</v>
      </c>
      <c r="G691" s="125">
        <v>44615</v>
      </c>
      <c r="H691" s="43"/>
      <c r="I691" s="65"/>
      <c r="J691" s="65"/>
      <c r="K691" s="65"/>
      <c r="L691" s="65"/>
      <c r="M691" s="283">
        <v>0</v>
      </c>
    </row>
    <row r="692" spans="1:13" ht="47.25" x14ac:dyDescent="0.25">
      <c r="A692" s="284">
        <v>0</v>
      </c>
      <c r="B692" s="314" t="s">
        <v>60</v>
      </c>
      <c r="C692" s="55" t="s">
        <v>1491</v>
      </c>
      <c r="D692" s="57"/>
      <c r="E692" s="57"/>
      <c r="F692" s="57"/>
      <c r="G692" s="57"/>
      <c r="H692" s="43"/>
      <c r="I692" s="65"/>
      <c r="J692" s="65"/>
      <c r="K692" s="65"/>
      <c r="L692" s="65"/>
      <c r="M692" s="283">
        <v>0</v>
      </c>
    </row>
    <row r="693" spans="1:13" x14ac:dyDescent="0.25">
      <c r="A693" s="284">
        <v>0</v>
      </c>
      <c r="B693" s="314" t="s">
        <v>61</v>
      </c>
      <c r="C693" s="43"/>
      <c r="D693" s="65"/>
      <c r="E693" s="65"/>
      <c r="F693" s="65"/>
      <c r="G693" s="65"/>
      <c r="H693" s="43"/>
      <c r="I693" s="65"/>
      <c r="J693" s="65"/>
      <c r="K693" s="65"/>
      <c r="L693" s="65"/>
      <c r="M693" s="283">
        <v>0</v>
      </c>
    </row>
    <row r="694" spans="1:13" x14ac:dyDescent="0.25">
      <c r="A694" s="284">
        <v>0</v>
      </c>
      <c r="B694" s="314" t="s">
        <v>62</v>
      </c>
      <c r="C694" s="43"/>
      <c r="D694" s="65"/>
      <c r="E694" s="65"/>
      <c r="F694" s="65"/>
      <c r="G694" s="65"/>
      <c r="H694" s="43"/>
      <c r="I694" s="65"/>
      <c r="J694" s="65"/>
      <c r="K694" s="65"/>
      <c r="L694" s="65"/>
      <c r="M694" s="283">
        <v>0</v>
      </c>
    </row>
    <row r="695" spans="1:13" x14ac:dyDescent="0.25">
      <c r="A695" s="284">
        <v>0</v>
      </c>
      <c r="B695" s="314" t="s">
        <v>63</v>
      </c>
      <c r="C695" s="43"/>
      <c r="D695" s="65"/>
      <c r="E695" s="65"/>
      <c r="F695" s="65"/>
      <c r="G695" s="65"/>
      <c r="H695" s="43"/>
      <c r="I695" s="65"/>
      <c r="J695" s="65"/>
      <c r="K695" s="65"/>
      <c r="L695" s="65"/>
      <c r="M695" s="283">
        <v>0</v>
      </c>
    </row>
    <row r="696" spans="1:13" ht="94.5" x14ac:dyDescent="0.25">
      <c r="A696" s="284">
        <v>6000</v>
      </c>
      <c r="B696" s="314" t="s">
        <v>64</v>
      </c>
      <c r="C696" s="55" t="s">
        <v>1492</v>
      </c>
      <c r="D696" s="84">
        <v>49.125</v>
      </c>
      <c r="E696" s="84" t="s">
        <v>1234</v>
      </c>
      <c r="F696" s="84" t="s">
        <v>1493</v>
      </c>
      <c r="G696" s="136">
        <v>44615</v>
      </c>
      <c r="H696" s="43"/>
      <c r="I696" s="65"/>
      <c r="J696" s="65"/>
      <c r="K696" s="65"/>
      <c r="L696" s="65"/>
      <c r="M696" s="283">
        <v>0</v>
      </c>
    </row>
    <row r="697" spans="1:13" x14ac:dyDescent="0.25">
      <c r="A697" s="284">
        <v>0</v>
      </c>
      <c r="B697" s="314" t="s">
        <v>65</v>
      </c>
      <c r="C697" s="55"/>
      <c r="D697" s="84"/>
      <c r="E697" s="84"/>
      <c r="F697" s="84">
        <v>2</v>
      </c>
      <c r="G697" s="84" t="s">
        <v>649</v>
      </c>
      <c r="H697" s="43"/>
      <c r="I697" s="65"/>
      <c r="J697" s="65"/>
      <c r="K697" s="65"/>
      <c r="L697" s="82"/>
      <c r="M697" s="8">
        <f>SUM(M688:M696)</f>
        <v>0</v>
      </c>
    </row>
    <row r="698" spans="1:13" x14ac:dyDescent="0.25">
      <c r="A698" s="284">
        <v>0</v>
      </c>
      <c r="B698" s="314" t="s">
        <v>66</v>
      </c>
      <c r="C698" s="43"/>
      <c r="D698" s="86"/>
      <c r="E698" s="86"/>
      <c r="F698" s="86">
        <v>3</v>
      </c>
      <c r="G698" s="304"/>
      <c r="H698" s="43"/>
      <c r="I698" s="65"/>
      <c r="J698" s="65"/>
      <c r="K698" s="65"/>
      <c r="L698" s="82"/>
      <c r="M698" s="43"/>
    </row>
    <row r="699" spans="1:13" x14ac:dyDescent="0.25">
      <c r="A699" s="284">
        <v>0</v>
      </c>
      <c r="B699" s="314" t="s">
        <v>67</v>
      </c>
      <c r="C699" s="43"/>
      <c r="D699" s="86"/>
      <c r="E699" s="86"/>
      <c r="F699" s="86">
        <v>4</v>
      </c>
      <c r="G699" s="304"/>
      <c r="H699" s="43"/>
      <c r="I699" s="65"/>
      <c r="J699" s="65"/>
      <c r="K699" s="65"/>
      <c r="L699" s="82"/>
      <c r="M699" s="43"/>
    </row>
    <row r="700" spans="1:13" x14ac:dyDescent="0.25">
      <c r="A700" s="284">
        <v>0</v>
      </c>
      <c r="B700" s="314" t="s">
        <v>68</v>
      </c>
      <c r="C700" s="43"/>
      <c r="D700" s="86"/>
      <c r="E700" s="86"/>
      <c r="F700" s="86">
        <v>5</v>
      </c>
      <c r="G700" s="86"/>
      <c r="H700" s="43"/>
      <c r="I700" s="65"/>
      <c r="J700" s="65"/>
      <c r="K700" s="65"/>
      <c r="L700" s="82"/>
      <c r="M700" s="43"/>
    </row>
    <row r="701" spans="1:13" x14ac:dyDescent="0.25">
      <c r="A701" s="284">
        <v>0</v>
      </c>
      <c r="B701" s="315">
        <v>0.79166666666666663</v>
      </c>
      <c r="C701" s="43"/>
      <c r="D701" s="86"/>
      <c r="E701" s="86"/>
      <c r="F701" s="86">
        <v>6</v>
      </c>
      <c r="G701" s="86"/>
      <c r="H701" s="43"/>
      <c r="I701" s="65"/>
      <c r="J701" s="65"/>
      <c r="K701" s="65"/>
      <c r="L701" s="82"/>
      <c r="M701" s="43"/>
    </row>
    <row r="702" spans="1:13" x14ac:dyDescent="0.25">
      <c r="A702" s="284">
        <v>0</v>
      </c>
      <c r="B702" s="315">
        <v>0.83333333333333337</v>
      </c>
      <c r="C702" s="43"/>
      <c r="D702" s="86"/>
      <c r="E702" s="86"/>
      <c r="F702" s="86"/>
      <c r="G702" s="86"/>
      <c r="H702" s="43"/>
      <c r="I702" s="65"/>
      <c r="J702" s="65"/>
      <c r="K702" s="65"/>
      <c r="L702" s="82"/>
      <c r="M702" s="43"/>
    </row>
    <row r="703" spans="1:13" x14ac:dyDescent="0.25">
      <c r="A703" s="284">
        <v>0</v>
      </c>
      <c r="B703" s="315">
        <v>0.875</v>
      </c>
      <c r="C703" s="43"/>
      <c r="D703" s="86"/>
      <c r="E703" s="86"/>
      <c r="F703" s="86"/>
      <c r="G703" s="86"/>
      <c r="H703" s="43"/>
      <c r="I703" s="65"/>
      <c r="J703" s="65"/>
      <c r="K703" s="65"/>
      <c r="L703" s="82"/>
      <c r="M703" s="43"/>
    </row>
    <row r="704" spans="1:13" x14ac:dyDescent="0.25">
      <c r="A704" s="284">
        <v>0</v>
      </c>
      <c r="B704" s="315">
        <v>0.91666666666666663</v>
      </c>
      <c r="C704" s="43"/>
      <c r="D704" s="86"/>
      <c r="E704" s="86"/>
      <c r="F704" s="86"/>
      <c r="G704" s="86"/>
      <c r="H704" s="43"/>
      <c r="I704" s="65"/>
      <c r="J704" s="65"/>
      <c r="K704" s="65"/>
      <c r="L704" s="82"/>
      <c r="M704" s="43"/>
    </row>
    <row r="705" spans="1:13" x14ac:dyDescent="0.25">
      <c r="A705" s="265">
        <f>SUM(A689:A704)</f>
        <v>10611</v>
      </c>
      <c r="B705" s="316">
        <v>0.94791666666666663</v>
      </c>
      <c r="C705" s="43"/>
      <c r="D705" s="86"/>
      <c r="E705" s="86"/>
      <c r="F705" s="86"/>
      <c r="G705" s="86"/>
      <c r="H705" s="43"/>
      <c r="I705" s="65"/>
      <c r="J705" s="65"/>
      <c r="K705" s="65"/>
      <c r="L705" s="82"/>
      <c r="M705" s="43"/>
    </row>
    <row r="706" spans="1:13" ht="173.25" x14ac:dyDescent="0.25">
      <c r="A706" s="281">
        <f>A688+1</f>
        <v>44617</v>
      </c>
      <c r="B706" s="317" t="s">
        <v>54</v>
      </c>
      <c r="C706" s="55" t="s">
        <v>1494</v>
      </c>
      <c r="D706" s="84">
        <v>60</v>
      </c>
      <c r="E706" s="84" t="s">
        <v>1148</v>
      </c>
      <c r="F706" s="84" t="s">
        <v>1495</v>
      </c>
      <c r="G706" s="136">
        <v>44621</v>
      </c>
      <c r="H706" s="55" t="s">
        <v>1488</v>
      </c>
      <c r="I706" s="65"/>
      <c r="J706" s="65"/>
      <c r="K706" s="65"/>
      <c r="L706" s="65"/>
      <c r="M706" s="283">
        <v>0</v>
      </c>
    </row>
    <row r="707" spans="1:13" ht="110.25" x14ac:dyDescent="0.25">
      <c r="A707" s="284">
        <v>7477</v>
      </c>
      <c r="B707" s="314" t="s">
        <v>57</v>
      </c>
      <c r="C707" s="55" t="s">
        <v>1496</v>
      </c>
      <c r="D707" s="84"/>
      <c r="E707" s="84"/>
      <c r="F707" s="84">
        <v>2</v>
      </c>
      <c r="G707" s="84"/>
      <c r="H707" s="43"/>
      <c r="I707" s="65"/>
      <c r="J707" s="65"/>
      <c r="K707" s="65"/>
      <c r="L707" s="65"/>
      <c r="M707" s="283">
        <v>0</v>
      </c>
    </row>
    <row r="708" spans="1:13" ht="47.25" x14ac:dyDescent="0.25">
      <c r="A708" s="284">
        <v>0</v>
      </c>
      <c r="B708" s="314" t="s">
        <v>58</v>
      </c>
      <c r="C708" s="43"/>
      <c r="D708" s="86"/>
      <c r="E708" s="86"/>
      <c r="F708" s="86">
        <v>3</v>
      </c>
      <c r="G708" s="86"/>
      <c r="H708" s="55" t="s">
        <v>1497</v>
      </c>
      <c r="I708" s="84">
        <v>60</v>
      </c>
      <c r="J708" s="84" t="s">
        <v>248</v>
      </c>
      <c r="K708" s="84" t="s">
        <v>1498</v>
      </c>
      <c r="L708" s="136">
        <v>44621</v>
      </c>
      <c r="M708" s="283">
        <v>0</v>
      </c>
    </row>
    <row r="709" spans="1:13" ht="31.5" x14ac:dyDescent="0.25">
      <c r="A709" s="284">
        <v>0</v>
      </c>
      <c r="B709" s="314" t="s">
        <v>59</v>
      </c>
      <c r="C709" s="43"/>
      <c r="D709" s="86"/>
      <c r="E709" s="86"/>
      <c r="F709" s="86">
        <v>4</v>
      </c>
      <c r="G709" s="86"/>
      <c r="H709" s="55" t="s">
        <v>1499</v>
      </c>
      <c r="I709" s="84"/>
      <c r="J709" s="84"/>
      <c r="K709" s="84"/>
      <c r="L709" s="84" t="s">
        <v>1500</v>
      </c>
      <c r="M709" s="283">
        <v>0</v>
      </c>
    </row>
    <row r="710" spans="1:13" x14ac:dyDescent="0.25">
      <c r="A710" s="284">
        <v>0</v>
      </c>
      <c r="B710" s="314" t="s">
        <v>60</v>
      </c>
      <c r="C710" s="43"/>
      <c r="D710" s="86"/>
      <c r="E710" s="86"/>
      <c r="F710" s="86">
        <v>5</v>
      </c>
      <c r="G710" s="86"/>
      <c r="H710" s="43"/>
      <c r="I710" s="86"/>
      <c r="J710" s="86"/>
      <c r="K710" s="86"/>
      <c r="L710" s="86"/>
      <c r="M710" s="283">
        <v>0</v>
      </c>
    </row>
    <row r="711" spans="1:13" ht="47.25" x14ac:dyDescent="0.25">
      <c r="A711" s="284">
        <v>0</v>
      </c>
      <c r="B711" s="314" t="s">
        <v>61</v>
      </c>
      <c r="C711" s="43"/>
      <c r="D711" s="86"/>
      <c r="E711" s="86"/>
      <c r="F711" s="86">
        <v>6</v>
      </c>
      <c r="G711" s="86"/>
      <c r="H711" s="55" t="s">
        <v>1501</v>
      </c>
      <c r="I711" s="57">
        <v>60</v>
      </c>
      <c r="J711" s="57" t="s">
        <v>85</v>
      </c>
      <c r="K711" s="57" t="s">
        <v>1502</v>
      </c>
      <c r="L711" s="125">
        <v>44621</v>
      </c>
      <c r="M711" s="283">
        <v>0</v>
      </c>
    </row>
    <row r="712" spans="1:13" ht="31.5" x14ac:dyDescent="0.25">
      <c r="A712" s="284">
        <v>0</v>
      </c>
      <c r="B712" s="314" t="s">
        <v>62</v>
      </c>
      <c r="C712" s="43"/>
      <c r="D712" s="86"/>
      <c r="E712" s="86"/>
      <c r="F712" s="86">
        <v>7</v>
      </c>
      <c r="G712" s="86"/>
      <c r="H712" s="55" t="s">
        <v>1503</v>
      </c>
      <c r="I712" s="65"/>
      <c r="J712" s="65"/>
      <c r="K712" s="65"/>
      <c r="L712" s="65"/>
      <c r="M712" s="283">
        <v>0</v>
      </c>
    </row>
    <row r="713" spans="1:13" x14ac:dyDescent="0.25">
      <c r="A713" s="284">
        <v>0</v>
      </c>
      <c r="B713" s="314" t="s">
        <v>63</v>
      </c>
      <c r="C713" s="43"/>
      <c r="D713" s="86"/>
      <c r="E713" s="86"/>
      <c r="F713" s="86">
        <v>8</v>
      </c>
      <c r="G713" s="86"/>
      <c r="H713" s="43"/>
      <c r="I713" s="65"/>
      <c r="J713" s="65"/>
      <c r="K713" s="65"/>
      <c r="L713" s="65"/>
      <c r="M713" s="283">
        <v>0</v>
      </c>
    </row>
    <row r="714" spans="1:13" x14ac:dyDescent="0.25">
      <c r="A714" s="284">
        <v>3057</v>
      </c>
      <c r="B714" s="314" t="s">
        <v>64</v>
      </c>
      <c r="C714" s="43"/>
      <c r="D714" s="86"/>
      <c r="E714" s="86"/>
      <c r="F714" s="86">
        <v>9</v>
      </c>
      <c r="G714" s="86"/>
      <c r="H714" s="43"/>
      <c r="I714" s="65"/>
      <c r="J714" s="65"/>
      <c r="K714" s="65"/>
      <c r="L714" s="65"/>
      <c r="M714" s="283">
        <v>0</v>
      </c>
    </row>
    <row r="715" spans="1:13" x14ac:dyDescent="0.25">
      <c r="A715" s="284">
        <v>0</v>
      </c>
      <c r="B715" s="314" t="s">
        <v>65</v>
      </c>
      <c r="C715" s="43"/>
      <c r="D715" s="86"/>
      <c r="E715" s="86"/>
      <c r="F715" s="86">
        <v>10</v>
      </c>
      <c r="G715" s="86"/>
      <c r="H715" s="43"/>
      <c r="I715" s="194"/>
      <c r="J715" s="194"/>
      <c r="K715" s="194"/>
      <c r="L715" s="303"/>
      <c r="M715" s="8">
        <f>SUM(M706:M714)</f>
        <v>0</v>
      </c>
    </row>
    <row r="716" spans="1:13" x14ac:dyDescent="0.25">
      <c r="A716" s="284">
        <v>0</v>
      </c>
      <c r="B716" s="314" t="s">
        <v>66</v>
      </c>
      <c r="C716" s="43"/>
      <c r="D716" s="86"/>
      <c r="E716" s="86"/>
      <c r="F716" s="86">
        <v>11</v>
      </c>
      <c r="G716" s="86"/>
      <c r="H716" s="43"/>
      <c r="I716" s="194"/>
      <c r="J716" s="194"/>
      <c r="K716" s="194"/>
      <c r="L716" s="303"/>
      <c r="M716" s="43"/>
    </row>
    <row r="717" spans="1:13" x14ac:dyDescent="0.25">
      <c r="A717" s="284">
        <v>0</v>
      </c>
      <c r="B717" s="314" t="s">
        <v>67</v>
      </c>
      <c r="C717" s="43"/>
      <c r="D717" s="86"/>
      <c r="E717" s="86"/>
      <c r="F717" s="86">
        <v>12</v>
      </c>
      <c r="G717" s="86"/>
      <c r="H717" s="43"/>
      <c r="I717" s="194"/>
      <c r="J717" s="194"/>
      <c r="K717" s="194"/>
      <c r="L717" s="303"/>
      <c r="M717" s="43"/>
    </row>
    <row r="718" spans="1:13" x14ac:dyDescent="0.25">
      <c r="A718" s="284">
        <v>0</v>
      </c>
      <c r="B718" s="314" t="s">
        <v>68</v>
      </c>
      <c r="C718" s="43"/>
      <c r="D718" s="86"/>
      <c r="E718" s="86"/>
      <c r="F718" s="86"/>
      <c r="G718" s="86"/>
      <c r="H718" s="43"/>
      <c r="I718" s="194"/>
      <c r="J718" s="194"/>
      <c r="K718" s="194"/>
      <c r="L718" s="303"/>
      <c r="M718" s="43"/>
    </row>
    <row r="719" spans="1:13" x14ac:dyDescent="0.25">
      <c r="A719" s="284">
        <v>3000</v>
      </c>
      <c r="B719" s="315">
        <v>0.79166666666666663</v>
      </c>
      <c r="C719" s="43"/>
      <c r="D719" s="86"/>
      <c r="E719" s="86"/>
      <c r="F719" s="86"/>
      <c r="G719" s="86"/>
      <c r="H719" s="43"/>
      <c r="I719" s="194"/>
      <c r="J719" s="194"/>
      <c r="K719" s="194"/>
      <c r="L719" s="303"/>
      <c r="M719" s="43"/>
    </row>
    <row r="720" spans="1:13" x14ac:dyDescent="0.25">
      <c r="A720" s="284">
        <v>0</v>
      </c>
      <c r="B720" s="315">
        <v>0.83333333333333337</v>
      </c>
      <c r="C720" s="43"/>
      <c r="D720" s="86"/>
      <c r="E720" s="86"/>
      <c r="F720" s="86"/>
      <c r="G720" s="86"/>
      <c r="H720" s="43"/>
      <c r="I720" s="194"/>
      <c r="J720" s="194"/>
      <c r="K720" s="194"/>
      <c r="L720" s="303"/>
      <c r="M720" s="43"/>
    </row>
    <row r="721" spans="1:13" x14ac:dyDescent="0.25">
      <c r="A721" s="284">
        <v>0</v>
      </c>
      <c r="B721" s="315">
        <v>0.875</v>
      </c>
      <c r="C721" s="43"/>
      <c r="D721" s="86"/>
      <c r="E721" s="86"/>
      <c r="F721" s="86"/>
      <c r="G721" s="86"/>
      <c r="H721" s="43"/>
      <c r="I721" s="194"/>
      <c r="J721" s="194"/>
      <c r="K721" s="194"/>
      <c r="L721" s="303"/>
      <c r="M721" s="43"/>
    </row>
    <row r="722" spans="1:13" x14ac:dyDescent="0.25">
      <c r="A722" s="284">
        <v>0</v>
      </c>
      <c r="B722" s="315">
        <v>0.91666666666666663</v>
      </c>
      <c r="C722" s="43"/>
      <c r="D722" s="194"/>
      <c r="E722" s="194"/>
      <c r="F722" s="194"/>
      <c r="G722" s="194"/>
      <c r="H722" s="43"/>
      <c r="I722" s="194"/>
      <c r="J722" s="194"/>
      <c r="K722" s="194"/>
      <c r="L722" s="303"/>
      <c r="M722" s="43"/>
    </row>
    <row r="723" spans="1:13" x14ac:dyDescent="0.25">
      <c r="A723" s="265">
        <f>SUM(A707:A722)</f>
        <v>13534</v>
      </c>
      <c r="B723" s="316">
        <v>0.94791666666666663</v>
      </c>
      <c r="C723" s="43"/>
      <c r="D723" s="194"/>
      <c r="E723" s="194"/>
      <c r="F723" s="194"/>
      <c r="G723" s="194"/>
      <c r="H723" s="43"/>
      <c r="I723" s="194"/>
      <c r="J723" s="194"/>
      <c r="K723" s="194"/>
      <c r="L723" s="303"/>
      <c r="M723" s="43"/>
    </row>
    <row r="724" spans="1:13" x14ac:dyDescent="0.25">
      <c r="A724" s="281">
        <f>A706+3</f>
        <v>44620</v>
      </c>
      <c r="B724" s="296" t="s">
        <v>54</v>
      </c>
      <c r="C724" s="43"/>
      <c r="D724" s="86"/>
      <c r="E724" s="86"/>
      <c r="F724" s="86"/>
      <c r="G724" s="86"/>
      <c r="H724" s="43"/>
      <c r="I724" s="86"/>
      <c r="J724" s="86"/>
      <c r="K724" s="86"/>
      <c r="L724" s="86"/>
      <c r="M724" s="283">
        <v>0</v>
      </c>
    </row>
    <row r="725" spans="1:13" x14ac:dyDescent="0.25">
      <c r="A725" s="284">
        <v>0</v>
      </c>
      <c r="B725" s="314" t="s">
        <v>57</v>
      </c>
      <c r="C725" s="43"/>
      <c r="D725" s="86"/>
      <c r="E725" s="86"/>
      <c r="F725" s="86"/>
      <c r="G725" s="86"/>
      <c r="H725" s="43"/>
      <c r="I725" s="86"/>
      <c r="J725" s="86"/>
      <c r="K725" s="86"/>
      <c r="L725" s="86"/>
      <c r="M725" s="283">
        <v>0</v>
      </c>
    </row>
    <row r="726" spans="1:13" x14ac:dyDescent="0.25">
      <c r="A726" s="284">
        <v>0</v>
      </c>
      <c r="B726" s="314" t="s">
        <v>58</v>
      </c>
      <c r="C726" s="43"/>
      <c r="D726" s="86"/>
      <c r="E726" s="86"/>
      <c r="F726" s="86"/>
      <c r="G726" s="86"/>
      <c r="H726" s="43"/>
      <c r="I726" s="86"/>
      <c r="J726" s="86"/>
      <c r="K726" s="86"/>
      <c r="L726" s="86"/>
      <c r="M726" s="283">
        <v>0</v>
      </c>
    </row>
    <row r="727" spans="1:13" ht="204.75" x14ac:dyDescent="0.25">
      <c r="A727" s="284">
        <v>6000</v>
      </c>
      <c r="B727" s="314" t="s">
        <v>59</v>
      </c>
      <c r="C727" s="55" t="s">
        <v>1504</v>
      </c>
      <c r="D727" s="84">
        <v>48</v>
      </c>
      <c r="E727" s="84" t="s">
        <v>1505</v>
      </c>
      <c r="F727" s="84" t="s">
        <v>1506</v>
      </c>
      <c r="G727" s="136">
        <v>44620</v>
      </c>
      <c r="H727" s="55" t="s">
        <v>1507</v>
      </c>
      <c r="I727" s="57">
        <v>40</v>
      </c>
      <c r="J727" s="57" t="s">
        <v>1271</v>
      </c>
      <c r="K727" s="57" t="s">
        <v>1508</v>
      </c>
      <c r="L727" s="125">
        <v>44620</v>
      </c>
      <c r="M727" s="283">
        <v>3500</v>
      </c>
    </row>
    <row r="728" spans="1:13" ht="47.25" x14ac:dyDescent="0.25">
      <c r="A728" s="284">
        <v>0</v>
      </c>
      <c r="B728" s="314" t="s">
        <v>60</v>
      </c>
      <c r="C728" s="55" t="s">
        <v>1509</v>
      </c>
      <c r="D728" s="84"/>
      <c r="E728" s="84"/>
      <c r="F728" s="84">
        <v>2</v>
      </c>
      <c r="G728" s="84" t="s">
        <v>649</v>
      </c>
      <c r="H728" s="55" t="s">
        <v>1510</v>
      </c>
      <c r="I728" s="57"/>
      <c r="J728" s="57"/>
      <c r="K728" s="57">
        <v>2</v>
      </c>
      <c r="L728" s="57"/>
      <c r="M728" s="283">
        <v>0</v>
      </c>
    </row>
    <row r="729" spans="1:13" x14ac:dyDescent="0.25">
      <c r="A729" s="284">
        <v>0</v>
      </c>
      <c r="B729" s="314" t="s">
        <v>61</v>
      </c>
      <c r="C729" s="43"/>
      <c r="D729" s="86"/>
      <c r="E729" s="86"/>
      <c r="F729" s="86">
        <v>3</v>
      </c>
      <c r="G729" s="86"/>
      <c r="H729" s="43"/>
      <c r="I729" s="65"/>
      <c r="J729" s="65"/>
      <c r="K729" s="65">
        <v>3</v>
      </c>
      <c r="L729" s="65"/>
      <c r="M729" s="283">
        <v>0</v>
      </c>
    </row>
    <row r="730" spans="1:13" x14ac:dyDescent="0.25">
      <c r="A730" s="284">
        <v>0</v>
      </c>
      <c r="B730" s="314" t="s">
        <v>62</v>
      </c>
      <c r="C730" s="43"/>
      <c r="D730" s="86"/>
      <c r="E730" s="86"/>
      <c r="F730" s="86">
        <v>4</v>
      </c>
      <c r="G730" s="86"/>
      <c r="H730" s="43"/>
      <c r="I730" s="65"/>
      <c r="J730" s="65"/>
      <c r="K730" s="65">
        <v>4</v>
      </c>
      <c r="L730" s="65"/>
      <c r="M730" s="283">
        <v>0</v>
      </c>
    </row>
    <row r="731" spans="1:13" x14ac:dyDescent="0.25">
      <c r="A731" s="284">
        <v>0</v>
      </c>
      <c r="B731" s="314" t="s">
        <v>63</v>
      </c>
      <c r="C731" s="43"/>
      <c r="D731" s="86"/>
      <c r="E731" s="86"/>
      <c r="F731" s="86">
        <v>5</v>
      </c>
      <c r="G731" s="86"/>
      <c r="H731" s="43"/>
      <c r="I731" s="65"/>
      <c r="J731" s="65"/>
      <c r="K731" s="65"/>
      <c r="L731" s="65"/>
      <c r="M731" s="283">
        <v>0</v>
      </c>
    </row>
    <row r="732" spans="1:13" x14ac:dyDescent="0.25">
      <c r="A732" s="284">
        <v>0</v>
      </c>
      <c r="B732" s="314" t="s">
        <v>64</v>
      </c>
      <c r="C732" s="43"/>
      <c r="D732" s="86"/>
      <c r="E732" s="86"/>
      <c r="F732" s="86">
        <v>6</v>
      </c>
      <c r="G732" s="86"/>
      <c r="H732" s="43"/>
      <c r="I732" s="65"/>
      <c r="J732" s="65"/>
      <c r="K732" s="65"/>
      <c r="L732" s="65"/>
      <c r="M732" s="283">
        <v>0</v>
      </c>
    </row>
    <row r="733" spans="1:13" x14ac:dyDescent="0.25">
      <c r="A733" s="284">
        <v>0</v>
      </c>
      <c r="B733" s="314" t="s">
        <v>65</v>
      </c>
      <c r="C733" s="43"/>
      <c r="D733" s="86"/>
      <c r="E733" s="86"/>
      <c r="F733" s="86">
        <v>7</v>
      </c>
      <c r="G733" s="86"/>
      <c r="H733" s="43"/>
      <c r="I733" s="194"/>
      <c r="J733" s="194"/>
      <c r="K733" s="194"/>
      <c r="L733" s="303"/>
      <c r="M733" s="8">
        <f>SUM(M724:M732)</f>
        <v>3500</v>
      </c>
    </row>
    <row r="734" spans="1:13" x14ac:dyDescent="0.25">
      <c r="A734" s="284">
        <v>0</v>
      </c>
      <c r="B734" s="314" t="s">
        <v>66</v>
      </c>
      <c r="C734" s="43"/>
      <c r="D734" s="86"/>
      <c r="E734" s="86"/>
      <c r="F734" s="86">
        <v>8</v>
      </c>
      <c r="G734" s="86"/>
      <c r="H734" s="43"/>
      <c r="I734" s="194"/>
      <c r="J734" s="194"/>
      <c r="K734" s="194"/>
      <c r="L734" s="303"/>
      <c r="M734" s="43"/>
    </row>
    <row r="735" spans="1:13" x14ac:dyDescent="0.25">
      <c r="A735" s="284">
        <v>0</v>
      </c>
      <c r="B735" s="314" t="s">
        <v>67</v>
      </c>
      <c r="C735" s="43"/>
      <c r="D735" s="86"/>
      <c r="E735" s="86"/>
      <c r="F735" s="86">
        <v>9</v>
      </c>
      <c r="G735" s="86"/>
      <c r="H735" s="43"/>
      <c r="I735" s="194"/>
      <c r="J735" s="194"/>
      <c r="K735" s="194"/>
      <c r="L735" s="303"/>
      <c r="M735" s="43"/>
    </row>
    <row r="736" spans="1:13" x14ac:dyDescent="0.25">
      <c r="A736" s="284">
        <v>0</v>
      </c>
      <c r="B736" s="314" t="s">
        <v>68</v>
      </c>
      <c r="C736" s="43"/>
      <c r="D736" s="86"/>
      <c r="E736" s="86"/>
      <c r="F736" s="86">
        <v>10</v>
      </c>
      <c r="G736" s="86"/>
      <c r="H736" s="43"/>
      <c r="I736" s="194"/>
      <c r="J736" s="194"/>
      <c r="K736" s="194"/>
      <c r="L736" s="303"/>
      <c r="M736" s="43"/>
    </row>
    <row r="737" spans="1:13" x14ac:dyDescent="0.25">
      <c r="A737" s="284">
        <v>0</v>
      </c>
      <c r="B737" s="315">
        <v>0.79166666666666663</v>
      </c>
      <c r="C737" s="43"/>
      <c r="D737" s="86"/>
      <c r="E737" s="86"/>
      <c r="F737" s="86">
        <v>11</v>
      </c>
      <c r="G737" s="86"/>
      <c r="H737" s="43"/>
      <c r="I737" s="194"/>
      <c r="J737" s="194"/>
      <c r="K737" s="194"/>
      <c r="L737" s="303"/>
      <c r="M737" s="43"/>
    </row>
    <row r="738" spans="1:13" x14ac:dyDescent="0.25">
      <c r="A738" s="284">
        <v>0</v>
      </c>
      <c r="B738" s="315">
        <v>0.83333333333333337</v>
      </c>
      <c r="C738" s="43"/>
      <c r="D738" s="86"/>
      <c r="E738" s="86"/>
      <c r="F738" s="86"/>
      <c r="G738" s="86"/>
      <c r="H738" s="43"/>
      <c r="I738" s="194"/>
      <c r="J738" s="194"/>
      <c r="K738" s="194"/>
      <c r="L738" s="303"/>
      <c r="M738" s="43"/>
    </row>
    <row r="739" spans="1:13" x14ac:dyDescent="0.25">
      <c r="A739" s="284">
        <v>0</v>
      </c>
      <c r="B739" s="315">
        <v>0.875</v>
      </c>
      <c r="C739" s="43"/>
      <c r="D739" s="194"/>
      <c r="E739" s="194"/>
      <c r="F739" s="194"/>
      <c r="G739" s="194"/>
      <c r="H739" s="43"/>
      <c r="I739" s="194"/>
      <c r="J739" s="194"/>
      <c r="K739" s="194"/>
      <c r="L739" s="303"/>
      <c r="M739" s="43"/>
    </row>
    <row r="740" spans="1:13" x14ac:dyDescent="0.25">
      <c r="A740" s="284">
        <v>0</v>
      </c>
      <c r="B740" s="315">
        <v>0.91666666666666663</v>
      </c>
      <c r="C740" s="43"/>
      <c r="D740" s="194"/>
      <c r="E740" s="194"/>
      <c r="F740" s="194"/>
      <c r="G740" s="194"/>
      <c r="H740" s="43"/>
      <c r="I740" s="194"/>
      <c r="J740" s="194"/>
      <c r="K740" s="194"/>
      <c r="L740" s="303"/>
      <c r="M740" s="43"/>
    </row>
    <row r="741" spans="1:13" x14ac:dyDescent="0.25">
      <c r="A741" s="265">
        <f>SUM(A725:A740)</f>
        <v>6000</v>
      </c>
      <c r="B741" s="316">
        <v>0.94791666666666663</v>
      </c>
      <c r="C741" s="43"/>
      <c r="D741" s="194"/>
      <c r="E741" s="194"/>
      <c r="F741" s="194"/>
      <c r="G741" s="194"/>
      <c r="H741" s="43"/>
      <c r="I741" s="194"/>
      <c r="J741" s="194"/>
      <c r="K741" s="194"/>
      <c r="L741" s="303"/>
      <c r="M741" s="43"/>
    </row>
    <row r="742" spans="1:13" ht="47.25" x14ac:dyDescent="0.25">
      <c r="A742" s="281">
        <f>A724+1</f>
        <v>44621</v>
      </c>
      <c r="B742" s="317" t="s">
        <v>54</v>
      </c>
      <c r="C742" s="176" t="s">
        <v>1511</v>
      </c>
      <c r="D742" s="56">
        <v>52</v>
      </c>
      <c r="E742" s="57" t="s">
        <v>1512</v>
      </c>
      <c r="F742" s="57" t="s">
        <v>1513</v>
      </c>
      <c r="G742" s="57" t="s">
        <v>1514</v>
      </c>
      <c r="H742" s="43"/>
      <c r="I742" s="65"/>
      <c r="J742" s="65"/>
      <c r="K742" s="65">
        <v>5</v>
      </c>
      <c r="L742" s="65"/>
      <c r="M742" s="283">
        <v>2000</v>
      </c>
    </row>
    <row r="743" spans="1:13" ht="47.25" x14ac:dyDescent="0.25">
      <c r="A743" s="284">
        <v>11450</v>
      </c>
      <c r="B743" s="314" t="s">
        <v>57</v>
      </c>
      <c r="C743" s="43"/>
      <c r="D743" s="65"/>
      <c r="E743" s="65"/>
      <c r="F743" s="65">
        <v>2</v>
      </c>
      <c r="G743" s="57" t="s">
        <v>1515</v>
      </c>
      <c r="H743" s="43"/>
      <c r="I743" s="65"/>
      <c r="J743" s="65"/>
      <c r="K743" s="65"/>
      <c r="L743" s="65"/>
      <c r="M743" s="283">
        <v>0</v>
      </c>
    </row>
    <row r="744" spans="1:13" ht="110.25" x14ac:dyDescent="0.25">
      <c r="A744" s="284">
        <v>0</v>
      </c>
      <c r="B744" s="314" t="s">
        <v>58</v>
      </c>
      <c r="C744" s="43"/>
      <c r="D744" s="65"/>
      <c r="E744" s="65"/>
      <c r="F744" s="65">
        <v>3</v>
      </c>
      <c r="G744" s="65"/>
      <c r="H744" s="55" t="s">
        <v>1516</v>
      </c>
      <c r="I744" s="57">
        <v>58</v>
      </c>
      <c r="J744" s="57" t="s">
        <v>1202</v>
      </c>
      <c r="K744" s="57" t="s">
        <v>1517</v>
      </c>
      <c r="L744" s="125">
        <v>44620</v>
      </c>
      <c r="M744" s="283">
        <v>1500</v>
      </c>
    </row>
    <row r="745" spans="1:13" x14ac:dyDescent="0.25">
      <c r="A745" s="284">
        <v>0</v>
      </c>
      <c r="B745" s="314" t="s">
        <v>59</v>
      </c>
      <c r="C745" s="43"/>
      <c r="D745" s="65"/>
      <c r="E745" s="65"/>
      <c r="F745" s="65">
        <v>4</v>
      </c>
      <c r="G745" s="65"/>
      <c r="H745" s="55"/>
      <c r="I745" s="57"/>
      <c r="J745" s="57"/>
      <c r="K745" s="57">
        <v>2</v>
      </c>
      <c r="L745" s="57"/>
      <c r="M745" s="283">
        <v>0</v>
      </c>
    </row>
    <row r="746" spans="1:13" x14ac:dyDescent="0.25">
      <c r="A746" s="284">
        <v>0</v>
      </c>
      <c r="B746" s="314" t="s">
        <v>60</v>
      </c>
      <c r="C746" s="43"/>
      <c r="D746" s="65"/>
      <c r="E746" s="65"/>
      <c r="F746" s="65">
        <v>5</v>
      </c>
      <c r="G746" s="65"/>
      <c r="H746" s="43"/>
      <c r="I746" s="65"/>
      <c r="J746" s="65"/>
      <c r="K746" s="65">
        <v>3</v>
      </c>
      <c r="L746" s="65"/>
      <c r="M746" s="283">
        <v>0</v>
      </c>
    </row>
    <row r="747" spans="1:13" x14ac:dyDescent="0.25">
      <c r="A747" s="284">
        <v>0</v>
      </c>
      <c r="B747" s="314" t="s">
        <v>61</v>
      </c>
      <c r="C747" s="43"/>
      <c r="D747" s="65"/>
      <c r="E747" s="65"/>
      <c r="F747" s="65">
        <v>6</v>
      </c>
      <c r="G747" s="65"/>
      <c r="H747" s="43"/>
      <c r="I747" s="65"/>
      <c r="J747" s="65"/>
      <c r="K747" s="65">
        <v>4</v>
      </c>
      <c r="L747" s="65"/>
      <c r="M747" s="283">
        <v>0</v>
      </c>
    </row>
    <row r="748" spans="1:13" x14ac:dyDescent="0.25">
      <c r="A748" s="284">
        <v>0</v>
      </c>
      <c r="B748" s="314" t="s">
        <v>62</v>
      </c>
      <c r="C748" s="43"/>
      <c r="D748" s="65"/>
      <c r="E748" s="65"/>
      <c r="F748" s="65">
        <v>7</v>
      </c>
      <c r="G748" s="65"/>
      <c r="H748" s="43"/>
      <c r="I748" s="65"/>
      <c r="J748" s="65"/>
      <c r="K748" s="65">
        <v>5</v>
      </c>
      <c r="L748" s="65"/>
      <c r="M748" s="283">
        <v>0</v>
      </c>
    </row>
    <row r="749" spans="1:13" x14ac:dyDescent="0.25">
      <c r="A749" s="284">
        <v>0</v>
      </c>
      <c r="B749" s="314" t="s">
        <v>63</v>
      </c>
      <c r="C749" s="43"/>
      <c r="D749" s="65"/>
      <c r="E749" s="65"/>
      <c r="F749" s="65">
        <v>8</v>
      </c>
      <c r="G749" s="65"/>
      <c r="H749" s="43"/>
      <c r="I749" s="65"/>
      <c r="J749" s="65"/>
      <c r="K749" s="65"/>
      <c r="L749" s="65"/>
      <c r="M749" s="283">
        <v>0</v>
      </c>
    </row>
    <row r="750" spans="1:13" x14ac:dyDescent="0.25">
      <c r="A750" s="284">
        <v>7000</v>
      </c>
      <c r="B750" s="314" t="s">
        <v>64</v>
      </c>
      <c r="C750" s="43"/>
      <c r="D750" s="65"/>
      <c r="E750" s="65"/>
      <c r="F750" s="65"/>
      <c r="G750" s="65"/>
      <c r="H750" s="43"/>
      <c r="I750" s="194"/>
      <c r="J750" s="194"/>
      <c r="K750" s="194"/>
      <c r="L750" s="194"/>
      <c r="M750" s="283">
        <v>0</v>
      </c>
    </row>
    <row r="751" spans="1:13" x14ac:dyDescent="0.25">
      <c r="A751" s="284">
        <v>0</v>
      </c>
      <c r="B751" s="314" t="s">
        <v>65</v>
      </c>
      <c r="C751" s="43"/>
      <c r="D751" s="65"/>
      <c r="E751" s="65"/>
      <c r="F751" s="65"/>
      <c r="G751" s="65"/>
      <c r="H751" s="43"/>
      <c r="I751" s="194"/>
      <c r="J751" s="194"/>
      <c r="K751" s="194"/>
      <c r="L751" s="303"/>
      <c r="M751" s="8">
        <f>SUM(M742:M750)</f>
        <v>3500</v>
      </c>
    </row>
    <row r="752" spans="1:13" x14ac:dyDescent="0.25">
      <c r="A752" s="284">
        <v>0</v>
      </c>
      <c r="B752" s="314" t="s">
        <v>66</v>
      </c>
      <c r="C752" s="43"/>
      <c r="D752" s="65"/>
      <c r="E752" s="65"/>
      <c r="F752" s="65"/>
      <c r="G752" s="65"/>
      <c r="H752" s="43"/>
      <c r="I752" s="194"/>
      <c r="J752" s="194"/>
      <c r="K752" s="194"/>
      <c r="L752" s="303"/>
      <c r="M752" s="43"/>
    </row>
    <row r="753" spans="1:13" x14ac:dyDescent="0.25">
      <c r="A753" s="284">
        <v>0</v>
      </c>
      <c r="B753" s="314" t="s">
        <v>67</v>
      </c>
      <c r="C753" s="43"/>
      <c r="D753" s="65"/>
      <c r="E753" s="65"/>
      <c r="F753" s="65"/>
      <c r="G753" s="65"/>
      <c r="H753" s="43"/>
      <c r="I753" s="194"/>
      <c r="J753" s="194"/>
      <c r="K753" s="194"/>
      <c r="L753" s="303"/>
      <c r="M753" s="43"/>
    </row>
    <row r="754" spans="1:13" x14ac:dyDescent="0.25">
      <c r="A754" s="284">
        <v>0</v>
      </c>
      <c r="B754" s="314" t="s">
        <v>68</v>
      </c>
      <c r="C754" s="43"/>
      <c r="D754" s="65"/>
      <c r="E754" s="65"/>
      <c r="F754" s="65"/>
      <c r="G754" s="65"/>
      <c r="H754" s="43"/>
      <c r="I754" s="194"/>
      <c r="J754" s="194"/>
      <c r="K754" s="194"/>
      <c r="L754" s="303"/>
      <c r="M754" s="43"/>
    </row>
    <row r="755" spans="1:13" x14ac:dyDescent="0.25">
      <c r="A755" s="284">
        <v>0</v>
      </c>
      <c r="B755" s="315">
        <v>0.79166666666666663</v>
      </c>
      <c r="C755" s="43"/>
      <c r="D755" s="65"/>
      <c r="E755" s="65"/>
      <c r="F755" s="65"/>
      <c r="G755" s="65"/>
      <c r="H755" s="43"/>
      <c r="I755" s="194"/>
      <c r="J755" s="194"/>
      <c r="K755" s="194"/>
      <c r="L755" s="303"/>
      <c r="M755" s="43"/>
    </row>
    <row r="756" spans="1:13" x14ac:dyDescent="0.25">
      <c r="A756" s="284">
        <v>0</v>
      </c>
      <c r="B756" s="315">
        <v>0.83333333333333337</v>
      </c>
      <c r="C756" s="43"/>
      <c r="D756" s="65"/>
      <c r="E756" s="65"/>
      <c r="F756" s="65"/>
      <c r="G756" s="65"/>
      <c r="H756" s="43"/>
      <c r="I756" s="194"/>
      <c r="J756" s="194"/>
      <c r="K756" s="194"/>
      <c r="L756" s="303"/>
      <c r="M756" s="43"/>
    </row>
    <row r="757" spans="1:13" x14ac:dyDescent="0.25">
      <c r="A757" s="284">
        <v>0</v>
      </c>
      <c r="B757" s="315">
        <v>0.875</v>
      </c>
      <c r="C757" s="43"/>
      <c r="D757" s="65"/>
      <c r="E757" s="65"/>
      <c r="F757" s="65"/>
      <c r="G757" s="65"/>
      <c r="H757" s="43"/>
      <c r="I757" s="194"/>
      <c r="J757" s="194"/>
      <c r="K757" s="194"/>
      <c r="L757" s="303"/>
      <c r="M757" s="43"/>
    </row>
    <row r="758" spans="1:13" x14ac:dyDescent="0.25">
      <c r="A758" s="284">
        <v>0</v>
      </c>
      <c r="B758" s="315">
        <v>0.91666666666666663</v>
      </c>
      <c r="C758" s="43"/>
      <c r="D758" s="65"/>
      <c r="E758" s="65"/>
      <c r="F758" s="65"/>
      <c r="G758" s="65"/>
      <c r="H758" s="43"/>
      <c r="I758" s="194"/>
      <c r="J758" s="194"/>
      <c r="K758" s="194"/>
      <c r="L758" s="303"/>
      <c r="M758" s="43"/>
    </row>
    <row r="759" spans="1:13" x14ac:dyDescent="0.25">
      <c r="A759" s="265">
        <f>SUM(A743:A758)</f>
        <v>18450</v>
      </c>
      <c r="B759" s="316">
        <v>0.94791666666666663</v>
      </c>
      <c r="C759" s="43"/>
      <c r="D759" s="65"/>
      <c r="E759" s="65"/>
      <c r="F759" s="65"/>
      <c r="G759" s="65"/>
      <c r="H759" s="43"/>
      <c r="I759" s="194"/>
      <c r="J759" s="194"/>
      <c r="K759" s="194"/>
      <c r="L759" s="303"/>
      <c r="M759" s="43"/>
    </row>
    <row r="760" spans="1:13" ht="173.25" x14ac:dyDescent="0.25">
      <c r="A760" s="281">
        <f>A742+1</f>
        <v>44622</v>
      </c>
      <c r="B760" s="317" t="s">
        <v>54</v>
      </c>
      <c r="C760" s="55" t="s">
        <v>1518</v>
      </c>
      <c r="D760" s="57">
        <v>60</v>
      </c>
      <c r="E760" s="57" t="s">
        <v>1167</v>
      </c>
      <c r="F760" s="57" t="s">
        <v>1519</v>
      </c>
      <c r="G760" s="125">
        <v>44621</v>
      </c>
      <c r="H760" s="87" t="s">
        <v>1520</v>
      </c>
      <c r="I760" s="65"/>
      <c r="J760" s="65"/>
      <c r="K760" s="65">
        <v>6</v>
      </c>
      <c r="L760" s="65"/>
      <c r="M760" s="283">
        <v>3500</v>
      </c>
    </row>
    <row r="761" spans="1:13" ht="94.5" x14ac:dyDescent="0.25">
      <c r="A761" s="284">
        <v>15539</v>
      </c>
      <c r="B761" s="314" t="s">
        <v>57</v>
      </c>
      <c r="C761" s="55" t="s">
        <v>1521</v>
      </c>
      <c r="D761" s="57"/>
      <c r="E761" s="57"/>
      <c r="F761" s="57">
        <v>2</v>
      </c>
      <c r="G761" s="57" t="s">
        <v>1522</v>
      </c>
      <c r="H761" s="43"/>
      <c r="I761" s="65"/>
      <c r="J761" s="65"/>
      <c r="K761" s="65">
        <v>7</v>
      </c>
      <c r="L761" s="65"/>
      <c r="M761" s="283">
        <v>0</v>
      </c>
    </row>
    <row r="762" spans="1:13" ht="47.25" x14ac:dyDescent="0.25">
      <c r="A762" s="284">
        <v>0</v>
      </c>
      <c r="B762" s="314" t="s">
        <v>58</v>
      </c>
      <c r="C762" s="43"/>
      <c r="D762" s="65"/>
      <c r="E762" s="65"/>
      <c r="F762" s="65">
        <v>3</v>
      </c>
      <c r="G762" s="65"/>
      <c r="H762" s="55" t="s">
        <v>1523</v>
      </c>
      <c r="I762" s="57">
        <v>52.5</v>
      </c>
      <c r="J762" s="57" t="s">
        <v>1281</v>
      </c>
      <c r="K762" s="57" t="s">
        <v>1524</v>
      </c>
      <c r="L762" s="125">
        <v>44616</v>
      </c>
      <c r="M762" s="283">
        <v>0</v>
      </c>
    </row>
    <row r="763" spans="1:13" x14ac:dyDescent="0.25">
      <c r="A763" s="284">
        <v>0</v>
      </c>
      <c r="B763" s="314" t="s">
        <v>59</v>
      </c>
      <c r="C763" s="43"/>
      <c r="D763" s="65"/>
      <c r="E763" s="65"/>
      <c r="F763" s="65">
        <v>4</v>
      </c>
      <c r="G763" s="65"/>
      <c r="H763" s="55" t="s">
        <v>1525</v>
      </c>
      <c r="I763" s="57"/>
      <c r="J763" s="57"/>
      <c r="K763" s="57">
        <v>2</v>
      </c>
      <c r="L763" s="57" t="s">
        <v>1483</v>
      </c>
      <c r="M763" s="283">
        <v>0</v>
      </c>
    </row>
    <row r="764" spans="1:13" x14ac:dyDescent="0.25">
      <c r="A764" s="284">
        <v>0</v>
      </c>
      <c r="B764" s="314" t="s">
        <v>60</v>
      </c>
      <c r="C764" s="43"/>
      <c r="D764" s="65"/>
      <c r="E764" s="65"/>
      <c r="F764" s="65">
        <v>5</v>
      </c>
      <c r="G764" s="65"/>
      <c r="H764" s="43"/>
      <c r="I764" s="65"/>
      <c r="J764" s="65"/>
      <c r="K764" s="65">
        <v>3</v>
      </c>
      <c r="L764" s="65"/>
      <c r="M764" s="283">
        <v>600</v>
      </c>
    </row>
    <row r="765" spans="1:13" ht="47.25" x14ac:dyDescent="0.25">
      <c r="A765" s="284">
        <v>11450</v>
      </c>
      <c r="B765" s="314" t="s">
        <v>61</v>
      </c>
      <c r="C765" s="43"/>
      <c r="D765" s="65"/>
      <c r="E765" s="65"/>
      <c r="F765" s="65"/>
      <c r="G765" s="65"/>
      <c r="H765" s="55" t="s">
        <v>1526</v>
      </c>
      <c r="I765" s="57">
        <v>48</v>
      </c>
      <c r="J765" s="57" t="s">
        <v>91</v>
      </c>
      <c r="K765" s="57" t="s">
        <v>1527</v>
      </c>
      <c r="L765" s="125">
        <v>44624</v>
      </c>
      <c r="M765" s="283">
        <v>0</v>
      </c>
    </row>
    <row r="766" spans="1:13" ht="31.5" x14ac:dyDescent="0.25">
      <c r="A766" s="284">
        <v>0</v>
      </c>
      <c r="B766" s="314" t="s">
        <v>62</v>
      </c>
      <c r="C766" s="43"/>
      <c r="D766" s="65"/>
      <c r="E766" s="65"/>
      <c r="F766" s="65"/>
      <c r="G766" s="65"/>
      <c r="H766" s="55" t="s">
        <v>1528</v>
      </c>
      <c r="I766" s="57"/>
      <c r="J766" s="57"/>
      <c r="K766" s="57"/>
      <c r="L766" s="57" t="s">
        <v>1522</v>
      </c>
      <c r="M766" s="283">
        <v>0</v>
      </c>
    </row>
    <row r="767" spans="1:13" x14ac:dyDescent="0.25">
      <c r="A767" s="284">
        <v>0</v>
      </c>
      <c r="B767" s="314" t="s">
        <v>63</v>
      </c>
      <c r="C767" s="43"/>
      <c r="D767" s="65"/>
      <c r="E767" s="65"/>
      <c r="F767" s="65"/>
      <c r="G767" s="65"/>
      <c r="H767" s="43"/>
      <c r="I767" s="57"/>
      <c r="J767" s="57"/>
      <c r="K767" s="57"/>
      <c r="L767" s="57"/>
      <c r="M767" s="283">
        <v>0</v>
      </c>
    </row>
    <row r="768" spans="1:13" x14ac:dyDescent="0.25">
      <c r="A768" s="284">
        <v>0</v>
      </c>
      <c r="B768" s="314" t="s">
        <v>64</v>
      </c>
      <c r="C768" s="43"/>
      <c r="D768" s="65"/>
      <c r="E768" s="65"/>
      <c r="F768" s="65"/>
      <c r="G768" s="65"/>
      <c r="H768" s="43"/>
      <c r="I768" s="57"/>
      <c r="J768" s="57"/>
      <c r="K768" s="57"/>
      <c r="L768" s="57"/>
      <c r="M768" s="283">
        <v>0</v>
      </c>
    </row>
    <row r="769" spans="1:13" x14ac:dyDescent="0.25">
      <c r="A769" s="284">
        <v>0</v>
      </c>
      <c r="B769" s="314" t="s">
        <v>65</v>
      </c>
      <c r="C769" s="43"/>
      <c r="D769" s="65"/>
      <c r="E769" s="65"/>
      <c r="F769" s="65"/>
      <c r="G769" s="65"/>
      <c r="H769" s="43"/>
      <c r="I769" s="194"/>
      <c r="J769" s="194"/>
      <c r="K769" s="194"/>
      <c r="L769" s="303"/>
      <c r="M769" s="8">
        <f>SUM(M760:M768)</f>
        <v>4100</v>
      </c>
    </row>
    <row r="770" spans="1:13" x14ac:dyDescent="0.25">
      <c r="A770" s="284">
        <v>0</v>
      </c>
      <c r="B770" s="314" t="s">
        <v>66</v>
      </c>
      <c r="C770" s="43" t="s">
        <v>1529</v>
      </c>
      <c r="D770" s="57"/>
      <c r="E770" s="57"/>
      <c r="F770" s="57">
        <v>6</v>
      </c>
      <c r="G770" s="57"/>
      <c r="H770" s="43"/>
      <c r="I770" s="194"/>
      <c r="J770" s="194"/>
      <c r="K770" s="194"/>
      <c r="L770" s="303"/>
      <c r="M770" s="43"/>
    </row>
    <row r="771" spans="1:13" x14ac:dyDescent="0.25">
      <c r="A771" s="284">
        <v>0</v>
      </c>
      <c r="B771" s="314" t="s">
        <v>67</v>
      </c>
      <c r="C771" s="43"/>
      <c r="D771" s="57"/>
      <c r="E771" s="57"/>
      <c r="F771" s="57">
        <v>7</v>
      </c>
      <c r="G771" s="57"/>
      <c r="H771" s="43"/>
      <c r="I771" s="194"/>
      <c r="J771" s="194"/>
      <c r="K771" s="194"/>
      <c r="L771" s="303"/>
      <c r="M771" s="43"/>
    </row>
    <row r="772" spans="1:13" x14ac:dyDescent="0.25">
      <c r="A772" s="284">
        <v>0</v>
      </c>
      <c r="B772" s="314" t="s">
        <v>68</v>
      </c>
      <c r="C772" s="43"/>
      <c r="D772" s="57"/>
      <c r="E772" s="57"/>
      <c r="F772" s="57">
        <v>8</v>
      </c>
      <c r="G772" s="57"/>
      <c r="H772" s="43"/>
      <c r="I772" s="194"/>
      <c r="J772" s="194"/>
      <c r="K772" s="194"/>
      <c r="L772" s="303"/>
      <c r="M772" s="43"/>
    </row>
    <row r="773" spans="1:13" x14ac:dyDescent="0.25">
      <c r="A773" s="284">
        <v>0</v>
      </c>
      <c r="B773" s="315">
        <v>0.79166666666666663</v>
      </c>
      <c r="C773" s="43"/>
      <c r="D773" s="57"/>
      <c r="E773" s="57"/>
      <c r="F773" s="57">
        <v>9</v>
      </c>
      <c r="G773" s="57"/>
      <c r="H773" s="43"/>
      <c r="I773" s="194"/>
      <c r="J773" s="194"/>
      <c r="K773" s="194"/>
      <c r="L773" s="303"/>
      <c r="M773" s="43"/>
    </row>
    <row r="774" spans="1:13" x14ac:dyDescent="0.25">
      <c r="A774" s="284">
        <v>0</v>
      </c>
      <c r="B774" s="315">
        <v>0.83333333333333337</v>
      </c>
      <c r="C774" s="43"/>
      <c r="D774" s="57"/>
      <c r="E774" s="57"/>
      <c r="F774" s="57">
        <v>10</v>
      </c>
      <c r="G774" s="57"/>
      <c r="H774" s="43"/>
      <c r="I774" s="194"/>
      <c r="J774" s="194"/>
      <c r="K774" s="194"/>
      <c r="L774" s="303"/>
      <c r="M774" s="43"/>
    </row>
    <row r="775" spans="1:13" x14ac:dyDescent="0.25">
      <c r="A775" s="284">
        <v>0</v>
      </c>
      <c r="B775" s="315">
        <v>0.875</v>
      </c>
      <c r="C775" s="43"/>
      <c r="D775" s="65"/>
      <c r="E775" s="65"/>
      <c r="F775" s="65"/>
      <c r="G775" s="65"/>
      <c r="H775" s="43"/>
      <c r="I775" s="194"/>
      <c r="J775" s="194"/>
      <c r="K775" s="194"/>
      <c r="L775" s="303"/>
      <c r="M775" s="43"/>
    </row>
    <row r="776" spans="1:13" x14ac:dyDescent="0.25">
      <c r="A776" s="284">
        <v>0</v>
      </c>
      <c r="B776" s="315">
        <v>0.91666666666666663</v>
      </c>
      <c r="C776" s="43"/>
      <c r="D776" s="65"/>
      <c r="E776" s="65"/>
      <c r="F776" s="65"/>
      <c r="G776" s="65"/>
      <c r="H776" s="43"/>
      <c r="I776" s="194"/>
      <c r="J776" s="194"/>
      <c r="K776" s="194"/>
      <c r="L776" s="303"/>
      <c r="M776" s="43"/>
    </row>
    <row r="777" spans="1:13" x14ac:dyDescent="0.25">
      <c r="A777" s="265">
        <f>SUM(A761:A776)</f>
        <v>26989</v>
      </c>
      <c r="B777" s="316">
        <v>0.94791666666666663</v>
      </c>
      <c r="C777" s="43"/>
      <c r="D777" s="65"/>
      <c r="E777" s="65"/>
      <c r="F777" s="65"/>
      <c r="G777" s="65"/>
      <c r="H777" s="43"/>
      <c r="I777" s="194"/>
      <c r="J777" s="194"/>
      <c r="K777" s="194"/>
      <c r="L777" s="303"/>
      <c r="M777" s="43"/>
    </row>
    <row r="778" spans="1:13" ht="63" x14ac:dyDescent="0.25">
      <c r="A778" s="281">
        <f>A760+1</f>
        <v>44623</v>
      </c>
      <c r="B778" s="317" t="s">
        <v>54</v>
      </c>
      <c r="C778" s="55" t="s">
        <v>1530</v>
      </c>
      <c r="D778" s="56">
        <v>50</v>
      </c>
      <c r="E778" s="57" t="s">
        <v>1531</v>
      </c>
      <c r="F778" s="57" t="s">
        <v>1532</v>
      </c>
      <c r="G778" s="57" t="s">
        <v>1533</v>
      </c>
      <c r="H778" s="55" t="s">
        <v>1534</v>
      </c>
      <c r="I778" s="57">
        <v>60</v>
      </c>
      <c r="J778" s="57" t="s">
        <v>1535</v>
      </c>
      <c r="K778" s="57" t="s">
        <v>1536</v>
      </c>
      <c r="L778" s="125">
        <v>44622</v>
      </c>
      <c r="M778" s="283">
        <v>1000</v>
      </c>
    </row>
    <row r="779" spans="1:13" ht="173.25" x14ac:dyDescent="0.25">
      <c r="A779" s="284">
        <v>25000</v>
      </c>
      <c r="B779" s="314" t="s">
        <v>57</v>
      </c>
      <c r="C779" s="55" t="s">
        <v>1537</v>
      </c>
      <c r="D779" s="311" t="s">
        <v>1475</v>
      </c>
      <c r="E779" s="65"/>
      <c r="F779" s="65">
        <v>2</v>
      </c>
      <c r="G779" s="57" t="s">
        <v>1538</v>
      </c>
      <c r="H779" s="55" t="s">
        <v>1539</v>
      </c>
      <c r="I779" s="57"/>
      <c r="J779" s="57"/>
      <c r="K779" s="57"/>
      <c r="L779" s="178" t="s">
        <v>1522</v>
      </c>
      <c r="M779" s="283">
        <v>0</v>
      </c>
    </row>
    <row r="780" spans="1:13" x14ac:dyDescent="0.25">
      <c r="A780" s="284">
        <v>0</v>
      </c>
      <c r="B780" s="314" t="s">
        <v>58</v>
      </c>
      <c r="C780" s="43"/>
      <c r="D780" s="311" t="s">
        <v>1540</v>
      </c>
      <c r="E780" s="65"/>
      <c r="F780" s="65">
        <v>3</v>
      </c>
      <c r="G780" s="65"/>
      <c r="H780" s="43"/>
      <c r="I780" s="65"/>
      <c r="J780" s="65"/>
      <c r="K780" s="65"/>
      <c r="L780" s="65"/>
      <c r="M780" s="283">
        <v>0</v>
      </c>
    </row>
    <row r="781" spans="1:13" ht="63" x14ac:dyDescent="0.25">
      <c r="A781" s="284">
        <v>0</v>
      </c>
      <c r="B781" s="314" t="s">
        <v>59</v>
      </c>
      <c r="C781" s="43"/>
      <c r="D781" s="65" t="s">
        <v>1541</v>
      </c>
      <c r="E781" s="65"/>
      <c r="F781" s="65">
        <v>4</v>
      </c>
      <c r="G781" s="65"/>
      <c r="H781" s="55" t="s">
        <v>1542</v>
      </c>
      <c r="I781" s="103">
        <v>36</v>
      </c>
      <c r="J781" s="57" t="s">
        <v>1543</v>
      </c>
      <c r="K781" s="57" t="s">
        <v>1544</v>
      </c>
      <c r="L781" s="57" t="s">
        <v>1545</v>
      </c>
      <c r="M781" s="283">
        <v>2949</v>
      </c>
    </row>
    <row r="782" spans="1:13" x14ac:dyDescent="0.25">
      <c r="A782" s="284">
        <v>0</v>
      </c>
      <c r="B782" s="314" t="s">
        <v>60</v>
      </c>
      <c r="C782" s="43"/>
      <c r="D782" s="65"/>
      <c r="E782" s="65"/>
      <c r="F782" s="65">
        <v>5</v>
      </c>
      <c r="G782" s="65"/>
      <c r="H782" s="55" t="s">
        <v>1546</v>
      </c>
      <c r="I782" s="65"/>
      <c r="J782" s="65"/>
      <c r="K782" s="65"/>
      <c r="L782" s="65"/>
      <c r="M782" s="283">
        <v>0</v>
      </c>
    </row>
    <row r="783" spans="1:13" x14ac:dyDescent="0.25">
      <c r="A783" s="284">
        <v>0</v>
      </c>
      <c r="B783" s="314" t="s">
        <v>61</v>
      </c>
      <c r="C783" s="43"/>
      <c r="D783" s="65"/>
      <c r="E783" s="65"/>
      <c r="F783" s="65">
        <v>6</v>
      </c>
      <c r="G783" s="65"/>
      <c r="H783" s="43"/>
      <c r="I783" s="65"/>
      <c r="J783" s="65"/>
      <c r="K783" s="65"/>
      <c r="L783" s="65"/>
      <c r="M783" s="283">
        <v>0</v>
      </c>
    </row>
    <row r="784" spans="1:13" x14ac:dyDescent="0.25">
      <c r="A784" s="284">
        <v>0</v>
      </c>
      <c r="B784" s="314" t="s">
        <v>62</v>
      </c>
      <c r="C784" s="43"/>
      <c r="D784" s="65"/>
      <c r="E784" s="65"/>
      <c r="F784" s="65">
        <v>7</v>
      </c>
      <c r="G784" s="65"/>
      <c r="H784" s="43"/>
      <c r="I784" s="65"/>
      <c r="J784" s="65"/>
      <c r="K784" s="65"/>
      <c r="L784" s="65"/>
      <c r="M784" s="283">
        <v>0</v>
      </c>
    </row>
    <row r="785" spans="1:13" x14ac:dyDescent="0.25">
      <c r="A785" s="284">
        <v>0</v>
      </c>
      <c r="B785" s="314" t="s">
        <v>63</v>
      </c>
      <c r="C785" s="43"/>
      <c r="D785" s="65"/>
      <c r="E785" s="65"/>
      <c r="F785" s="65">
        <v>8</v>
      </c>
      <c r="G785" s="65"/>
      <c r="H785" s="43"/>
      <c r="I785" s="65"/>
      <c r="J785" s="65"/>
      <c r="K785" s="65"/>
      <c r="L785" s="65"/>
      <c r="M785" s="283">
        <v>0</v>
      </c>
    </row>
    <row r="786" spans="1:13" x14ac:dyDescent="0.25">
      <c r="A786" s="284">
        <v>0</v>
      </c>
      <c r="B786" s="314" t="s">
        <v>64</v>
      </c>
      <c r="C786" s="43"/>
      <c r="D786" s="65"/>
      <c r="E786" s="65"/>
      <c r="F786" s="65">
        <v>9</v>
      </c>
      <c r="G786" s="65"/>
      <c r="H786" s="43"/>
      <c r="I786" s="65"/>
      <c r="J786" s="65"/>
      <c r="K786" s="65"/>
      <c r="L786" s="65"/>
      <c r="M786" s="283">
        <v>0</v>
      </c>
    </row>
    <row r="787" spans="1:13" x14ac:dyDescent="0.25">
      <c r="A787" s="284">
        <v>0</v>
      </c>
      <c r="B787" s="314" t="s">
        <v>65</v>
      </c>
      <c r="C787" s="43"/>
      <c r="D787" s="65"/>
      <c r="E787" s="65"/>
      <c r="F787" s="65">
        <v>10</v>
      </c>
      <c r="G787" s="65"/>
      <c r="H787" s="43"/>
      <c r="I787" s="194"/>
      <c r="J787" s="194"/>
      <c r="K787" s="194"/>
      <c r="L787" s="303"/>
      <c r="M787" s="8">
        <f>SUM(M778:M786)</f>
        <v>3949</v>
      </c>
    </row>
    <row r="788" spans="1:13" x14ac:dyDescent="0.25">
      <c r="A788" s="284">
        <v>0</v>
      </c>
      <c r="B788" s="314" t="s">
        <v>66</v>
      </c>
      <c r="C788" s="43"/>
      <c r="D788" s="65"/>
      <c r="E788" s="65"/>
      <c r="F788" s="65">
        <v>11</v>
      </c>
      <c r="G788" s="65"/>
      <c r="H788" s="43"/>
      <c r="I788" s="194"/>
      <c r="J788" s="194"/>
      <c r="K788" s="194"/>
      <c r="L788" s="303"/>
      <c r="M788" s="43"/>
    </row>
    <row r="789" spans="1:13" x14ac:dyDescent="0.25">
      <c r="A789" s="284">
        <v>0</v>
      </c>
      <c r="B789" s="314" t="s">
        <v>67</v>
      </c>
      <c r="C789" s="43"/>
      <c r="D789" s="65"/>
      <c r="E789" s="65"/>
      <c r="F789" s="65">
        <v>12</v>
      </c>
      <c r="G789" s="65"/>
      <c r="H789" s="43"/>
      <c r="I789" s="194"/>
      <c r="J789" s="194"/>
      <c r="K789" s="194"/>
      <c r="L789" s="303"/>
      <c r="M789" s="43"/>
    </row>
    <row r="790" spans="1:13" x14ac:dyDescent="0.25">
      <c r="A790" s="284">
        <v>0</v>
      </c>
      <c r="B790" s="314" t="s">
        <v>68</v>
      </c>
      <c r="C790" s="43"/>
      <c r="D790" s="65"/>
      <c r="E790" s="65"/>
      <c r="F790" s="65">
        <v>13</v>
      </c>
      <c r="G790" s="65"/>
      <c r="H790" s="43"/>
      <c r="I790" s="194"/>
      <c r="J790" s="194"/>
      <c r="K790" s="194"/>
      <c r="L790" s="303"/>
      <c r="M790" s="43"/>
    </row>
    <row r="791" spans="1:13" x14ac:dyDescent="0.25">
      <c r="A791" s="284">
        <v>0</v>
      </c>
      <c r="B791" s="315">
        <v>0.79166666666666663</v>
      </c>
      <c r="C791" s="43"/>
      <c r="D791" s="65"/>
      <c r="E791" s="65"/>
      <c r="F791" s="65">
        <v>14</v>
      </c>
      <c r="G791" s="65"/>
      <c r="H791" s="43"/>
      <c r="I791" s="194"/>
      <c r="J791" s="194"/>
      <c r="K791" s="194"/>
      <c r="L791" s="303"/>
      <c r="M791" s="43"/>
    </row>
    <row r="792" spans="1:13" x14ac:dyDescent="0.25">
      <c r="A792" s="284">
        <v>0</v>
      </c>
      <c r="B792" s="315">
        <v>0.83333333333333337</v>
      </c>
      <c r="C792" s="43"/>
      <c r="D792" s="194"/>
      <c r="E792" s="194"/>
      <c r="F792" s="194"/>
      <c r="G792" s="194"/>
      <c r="H792" s="43"/>
      <c r="I792" s="194"/>
      <c r="J792" s="194"/>
      <c r="K792" s="194"/>
      <c r="L792" s="303"/>
      <c r="M792" s="43"/>
    </row>
    <row r="793" spans="1:13" x14ac:dyDescent="0.25">
      <c r="A793" s="284">
        <v>0</v>
      </c>
      <c r="B793" s="315">
        <v>0.875</v>
      </c>
      <c r="C793" s="43"/>
      <c r="D793" s="194"/>
      <c r="E793" s="194"/>
      <c r="F793" s="194"/>
      <c r="G793" s="194"/>
      <c r="H793" s="43"/>
      <c r="I793" s="194"/>
      <c r="J793" s="194"/>
      <c r="K793" s="194"/>
      <c r="L793" s="303"/>
      <c r="M793" s="43"/>
    </row>
    <row r="794" spans="1:13" x14ac:dyDescent="0.25">
      <c r="A794" s="284">
        <v>0</v>
      </c>
      <c r="B794" s="315">
        <v>0.91666666666666663</v>
      </c>
      <c r="C794" s="43"/>
      <c r="D794" s="194"/>
      <c r="E794" s="194"/>
      <c r="F794" s="194"/>
      <c r="G794" s="194"/>
      <c r="H794" s="43"/>
      <c r="I794" s="194"/>
      <c r="J794" s="194"/>
      <c r="K794" s="194"/>
      <c r="L794" s="303"/>
      <c r="M794" s="43"/>
    </row>
    <row r="795" spans="1:13" x14ac:dyDescent="0.25">
      <c r="A795" s="265">
        <f>SUM(A779:A794)</f>
        <v>25000</v>
      </c>
      <c r="B795" s="316">
        <v>0.94791666666666663</v>
      </c>
      <c r="C795" s="43"/>
      <c r="D795" s="194"/>
      <c r="E795" s="194"/>
      <c r="F795" s="194"/>
      <c r="G795" s="194"/>
      <c r="H795" s="43"/>
      <c r="I795" s="194"/>
      <c r="J795" s="194"/>
      <c r="K795" s="194"/>
      <c r="L795" s="303"/>
      <c r="M795" s="43"/>
    </row>
    <row r="796" spans="1:13" ht="63" x14ac:dyDescent="0.25">
      <c r="A796" s="281">
        <f>A778+1</f>
        <v>44624</v>
      </c>
      <c r="B796" s="317" t="s">
        <v>54</v>
      </c>
      <c r="C796" s="55" t="s">
        <v>1547</v>
      </c>
      <c r="D796" s="56">
        <v>52</v>
      </c>
      <c r="E796" s="57" t="s">
        <v>1512</v>
      </c>
      <c r="F796" s="57" t="s">
        <v>1548</v>
      </c>
      <c r="G796" s="57" t="s">
        <v>1514</v>
      </c>
      <c r="H796" s="55" t="s">
        <v>1549</v>
      </c>
      <c r="I796" s="56">
        <v>36</v>
      </c>
      <c r="J796" s="57" t="s">
        <v>1550</v>
      </c>
      <c r="K796" s="57" t="s">
        <v>1551</v>
      </c>
      <c r="L796" s="57" t="s">
        <v>1552</v>
      </c>
      <c r="M796" s="283">
        <v>5000</v>
      </c>
    </row>
    <row r="797" spans="1:13" ht="78.75" x14ac:dyDescent="0.25">
      <c r="A797" s="284">
        <v>11450</v>
      </c>
      <c r="B797" s="314" t="s">
        <v>57</v>
      </c>
      <c r="C797" s="55" t="s">
        <v>1553</v>
      </c>
      <c r="D797" s="65"/>
      <c r="E797" s="65"/>
      <c r="F797" s="65">
        <v>2</v>
      </c>
      <c r="G797" s="57"/>
      <c r="H797" s="43"/>
      <c r="I797" s="65"/>
      <c r="J797" s="65"/>
      <c r="K797" s="65">
        <v>2</v>
      </c>
      <c r="L797" s="57" t="s">
        <v>1554</v>
      </c>
      <c r="M797" s="283">
        <v>0</v>
      </c>
    </row>
    <row r="798" spans="1:13" x14ac:dyDescent="0.25">
      <c r="A798" s="284">
        <v>0</v>
      </c>
      <c r="B798" s="314" t="s">
        <v>58</v>
      </c>
      <c r="C798" s="43"/>
      <c r="D798" s="65"/>
      <c r="E798" s="65"/>
      <c r="F798" s="65">
        <v>2</v>
      </c>
      <c r="G798" s="65"/>
      <c r="H798" s="43"/>
      <c r="I798" s="65"/>
      <c r="J798" s="65"/>
      <c r="K798" s="65">
        <v>3</v>
      </c>
      <c r="L798" s="82"/>
      <c r="M798" s="283">
        <v>0</v>
      </c>
    </row>
    <row r="799" spans="1:13" x14ac:dyDescent="0.25">
      <c r="A799" s="284">
        <v>0</v>
      </c>
      <c r="B799" s="314" t="s">
        <v>59</v>
      </c>
      <c r="C799" s="43"/>
      <c r="D799" s="65"/>
      <c r="E799" s="65"/>
      <c r="F799" s="65">
        <v>3</v>
      </c>
      <c r="G799" s="65"/>
      <c r="H799" s="43"/>
      <c r="I799" s="86"/>
      <c r="J799" s="86"/>
      <c r="K799" s="86">
        <v>4</v>
      </c>
      <c r="L799" s="304"/>
      <c r="M799" s="283">
        <v>0</v>
      </c>
    </row>
    <row r="800" spans="1:13" x14ac:dyDescent="0.25">
      <c r="A800" s="284">
        <v>0</v>
      </c>
      <c r="B800" s="314" t="s">
        <v>60</v>
      </c>
      <c r="C800" s="43"/>
      <c r="D800" s="65"/>
      <c r="E800" s="65"/>
      <c r="F800" s="65">
        <v>4</v>
      </c>
      <c r="G800" s="65"/>
      <c r="H800" s="43"/>
      <c r="I800" s="86"/>
      <c r="J800" s="86"/>
      <c r="K800" s="86">
        <v>5</v>
      </c>
      <c r="L800" s="304"/>
      <c r="M800" s="283">
        <v>0</v>
      </c>
    </row>
    <row r="801" spans="1:13" x14ac:dyDescent="0.25">
      <c r="A801" s="284">
        <v>0</v>
      </c>
      <c r="B801" s="314" t="s">
        <v>61</v>
      </c>
      <c r="C801" s="43"/>
      <c r="D801" s="65"/>
      <c r="E801" s="65"/>
      <c r="F801" s="65">
        <v>5</v>
      </c>
      <c r="G801" s="65"/>
      <c r="H801" s="43"/>
      <c r="I801" s="86"/>
      <c r="J801" s="86"/>
      <c r="K801" s="86">
        <v>6</v>
      </c>
      <c r="L801" s="304"/>
      <c r="M801" s="283">
        <v>0</v>
      </c>
    </row>
    <row r="802" spans="1:13" x14ac:dyDescent="0.25">
      <c r="A802" s="284">
        <v>0</v>
      </c>
      <c r="B802" s="314" t="s">
        <v>62</v>
      </c>
      <c r="C802" s="43"/>
      <c r="D802" s="65"/>
      <c r="E802" s="65"/>
      <c r="F802" s="65">
        <v>6</v>
      </c>
      <c r="G802" s="65"/>
      <c r="H802" s="43"/>
      <c r="I802" s="86"/>
      <c r="J802" s="86"/>
      <c r="K802" s="86"/>
      <c r="L802" s="86"/>
      <c r="M802" s="283">
        <v>0</v>
      </c>
    </row>
    <row r="803" spans="1:13" x14ac:dyDescent="0.25">
      <c r="A803" s="284">
        <v>0</v>
      </c>
      <c r="B803" s="314" t="s">
        <v>63</v>
      </c>
      <c r="C803" s="43"/>
      <c r="D803" s="65"/>
      <c r="E803" s="65"/>
      <c r="F803" s="65"/>
      <c r="G803" s="65"/>
      <c r="H803" s="43"/>
      <c r="I803" s="86"/>
      <c r="J803" s="86"/>
      <c r="K803" s="86"/>
      <c r="L803" s="86"/>
      <c r="M803" s="283">
        <v>0</v>
      </c>
    </row>
    <row r="804" spans="1:13" x14ac:dyDescent="0.25">
      <c r="A804" s="284">
        <v>0</v>
      </c>
      <c r="B804" s="314" t="s">
        <v>64</v>
      </c>
      <c r="C804" s="43"/>
      <c r="D804" s="65"/>
      <c r="E804" s="65"/>
      <c r="F804" s="65"/>
      <c r="G804" s="65"/>
      <c r="H804" s="43"/>
      <c r="I804" s="86"/>
      <c r="J804" s="86"/>
      <c r="K804" s="86"/>
      <c r="L804" s="86"/>
      <c r="M804" s="283">
        <v>0</v>
      </c>
    </row>
    <row r="805" spans="1:13" x14ac:dyDescent="0.25">
      <c r="A805" s="284">
        <v>0</v>
      </c>
      <c r="B805" s="314" t="s">
        <v>65</v>
      </c>
      <c r="C805" s="43"/>
      <c r="D805" s="65"/>
      <c r="E805" s="65"/>
      <c r="F805" s="65"/>
      <c r="G805" s="65"/>
      <c r="H805" s="43"/>
      <c r="I805" s="194"/>
      <c r="J805" s="194"/>
      <c r="K805" s="194"/>
      <c r="L805" s="303"/>
      <c r="M805" s="8">
        <f>SUM(M796:M804)</f>
        <v>5000</v>
      </c>
    </row>
    <row r="806" spans="1:13" x14ac:dyDescent="0.25">
      <c r="A806" s="284">
        <v>0</v>
      </c>
      <c r="B806" s="314" t="s">
        <v>66</v>
      </c>
      <c r="C806" s="43"/>
      <c r="D806" s="65"/>
      <c r="E806" s="65"/>
      <c r="F806" s="65"/>
      <c r="G806" s="65"/>
      <c r="H806" s="43"/>
      <c r="I806" s="194"/>
      <c r="J806" s="194"/>
      <c r="K806" s="194"/>
      <c r="L806" s="303"/>
      <c r="M806" s="43"/>
    </row>
    <row r="807" spans="1:13" x14ac:dyDescent="0.25">
      <c r="A807" s="284">
        <v>9000</v>
      </c>
      <c r="B807" s="314" t="s">
        <v>67</v>
      </c>
      <c r="C807" s="43"/>
      <c r="D807" s="65"/>
      <c r="E807" s="65"/>
      <c r="F807" s="65"/>
      <c r="G807" s="65"/>
      <c r="H807" s="43"/>
      <c r="I807" s="194"/>
      <c r="J807" s="194"/>
      <c r="K807" s="194"/>
      <c r="L807" s="303"/>
      <c r="M807" s="43"/>
    </row>
    <row r="808" spans="1:13" x14ac:dyDescent="0.25">
      <c r="A808" s="284">
        <v>0</v>
      </c>
      <c r="B808" s="314" t="s">
        <v>68</v>
      </c>
      <c r="C808" s="43"/>
      <c r="D808" s="65"/>
      <c r="E808" s="65"/>
      <c r="F808" s="65"/>
      <c r="G808" s="65"/>
      <c r="H808" s="43"/>
      <c r="I808" s="194"/>
      <c r="J808" s="194"/>
      <c r="K808" s="194"/>
      <c r="L808" s="303"/>
      <c r="M808" s="43"/>
    </row>
    <row r="809" spans="1:13" x14ac:dyDescent="0.25">
      <c r="A809" s="284">
        <v>0</v>
      </c>
      <c r="B809" s="315">
        <v>0.79166666666666663</v>
      </c>
      <c r="C809" s="43"/>
      <c r="D809" s="65"/>
      <c r="E809" s="65"/>
      <c r="F809" s="65"/>
      <c r="G809" s="65"/>
      <c r="H809" s="43"/>
      <c r="I809" s="194"/>
      <c r="J809" s="194"/>
      <c r="K809" s="194"/>
      <c r="L809" s="303"/>
      <c r="M809" s="43"/>
    </row>
    <row r="810" spans="1:13" x14ac:dyDescent="0.25">
      <c r="A810" s="284">
        <v>0</v>
      </c>
      <c r="B810" s="315">
        <v>0.83333333333333337</v>
      </c>
      <c r="C810" s="43"/>
      <c r="D810" s="65"/>
      <c r="E810" s="65"/>
      <c r="F810" s="65"/>
      <c r="G810" s="65"/>
      <c r="H810" s="43"/>
      <c r="I810" s="194"/>
      <c r="J810" s="194"/>
      <c r="K810" s="194"/>
      <c r="L810" s="303"/>
      <c r="M810" s="43"/>
    </row>
    <row r="811" spans="1:13" x14ac:dyDescent="0.25">
      <c r="A811" s="284">
        <v>0</v>
      </c>
      <c r="B811" s="315">
        <v>0.875</v>
      </c>
      <c r="C811" s="43"/>
      <c r="D811" s="194"/>
      <c r="E811" s="194"/>
      <c r="F811" s="194"/>
      <c r="G811" s="194"/>
      <c r="H811" s="43"/>
      <c r="I811" s="194"/>
      <c r="J811" s="194"/>
      <c r="K811" s="194"/>
      <c r="L811" s="303"/>
      <c r="M811" s="43"/>
    </row>
    <row r="812" spans="1:13" x14ac:dyDescent="0.25">
      <c r="A812" s="284">
        <v>0</v>
      </c>
      <c r="B812" s="315">
        <v>0.91666666666666663</v>
      </c>
      <c r="C812" s="43"/>
      <c r="D812" s="194"/>
      <c r="E812" s="194"/>
      <c r="F812" s="194"/>
      <c r="G812" s="194"/>
      <c r="H812" s="43"/>
      <c r="I812" s="194"/>
      <c r="J812" s="194"/>
      <c r="K812" s="194"/>
      <c r="L812" s="303"/>
      <c r="M812" s="43"/>
    </row>
    <row r="813" spans="1:13" x14ac:dyDescent="0.25">
      <c r="A813" s="265">
        <f>SUM(A797:A812)</f>
        <v>20450</v>
      </c>
      <c r="B813" s="316">
        <v>0.94791666666666663</v>
      </c>
      <c r="C813" s="43"/>
      <c r="D813" s="194"/>
      <c r="E813" s="194"/>
      <c r="F813" s="194"/>
      <c r="G813" s="194"/>
      <c r="H813" s="43"/>
      <c r="I813" s="194"/>
      <c r="J813" s="194"/>
      <c r="K813" s="194"/>
      <c r="L813" s="303"/>
      <c r="M813" s="43"/>
    </row>
    <row r="814" spans="1:13" ht="141.75" x14ac:dyDescent="0.25">
      <c r="A814" s="281">
        <f>A796+3</f>
        <v>44627</v>
      </c>
      <c r="B814" s="296" t="s">
        <v>54</v>
      </c>
      <c r="C814" s="55" t="s">
        <v>1555</v>
      </c>
      <c r="D814" s="84">
        <v>58</v>
      </c>
      <c r="E814" s="84" t="s">
        <v>1271</v>
      </c>
      <c r="F814" s="84" t="s">
        <v>1556</v>
      </c>
      <c r="G814" s="136">
        <v>44624</v>
      </c>
      <c r="H814" s="43"/>
      <c r="I814" s="166" t="s">
        <v>1557</v>
      </c>
      <c r="J814" s="166"/>
      <c r="K814" s="166"/>
      <c r="L814" s="166"/>
      <c r="M814" s="283">
        <v>4000</v>
      </c>
    </row>
    <row r="815" spans="1:13" ht="94.5" x14ac:dyDescent="0.25">
      <c r="A815" s="284">
        <v>9000</v>
      </c>
      <c r="B815" s="314" t="s">
        <v>57</v>
      </c>
      <c r="C815" s="55" t="s">
        <v>1558</v>
      </c>
      <c r="D815" s="84"/>
      <c r="E815" s="84"/>
      <c r="F815" s="84">
        <v>2</v>
      </c>
      <c r="G815" s="130" t="s">
        <v>1559</v>
      </c>
      <c r="H815" s="43"/>
      <c r="I815" s="166" t="s">
        <v>1560</v>
      </c>
      <c r="J815" s="166"/>
      <c r="K815" s="166"/>
      <c r="L815" s="166"/>
      <c r="M815" s="283">
        <v>0</v>
      </c>
    </row>
    <row r="816" spans="1:13" x14ac:dyDescent="0.25">
      <c r="A816" s="284">
        <v>0</v>
      </c>
      <c r="B816" s="314" t="s">
        <v>58</v>
      </c>
      <c r="C816" s="43"/>
      <c r="D816" s="84"/>
      <c r="E816" s="84"/>
      <c r="F816" s="84">
        <v>3</v>
      </c>
      <c r="G816" s="84"/>
      <c r="H816" s="43"/>
      <c r="I816" s="166" t="s">
        <v>1561</v>
      </c>
      <c r="J816" s="166"/>
      <c r="K816" s="166"/>
      <c r="L816" s="166"/>
      <c r="M816" s="283">
        <v>0</v>
      </c>
    </row>
    <row r="817" spans="1:13" x14ac:dyDescent="0.25">
      <c r="A817" s="284">
        <v>0</v>
      </c>
      <c r="B817" s="314" t="s">
        <v>59</v>
      </c>
      <c r="C817" s="43"/>
      <c r="D817" s="84"/>
      <c r="E817" s="84"/>
      <c r="F817" s="84">
        <v>4</v>
      </c>
      <c r="G817" s="84"/>
      <c r="H817" s="43"/>
      <c r="I817" s="166"/>
      <c r="J817" s="166"/>
      <c r="K817" s="166"/>
      <c r="L817" s="166"/>
      <c r="M817" s="283">
        <v>0</v>
      </c>
    </row>
    <row r="818" spans="1:13" x14ac:dyDescent="0.25">
      <c r="A818" s="284">
        <v>0</v>
      </c>
      <c r="B818" s="314" t="s">
        <v>60</v>
      </c>
      <c r="C818" s="43"/>
      <c r="D818" s="84"/>
      <c r="E818" s="84"/>
      <c r="F818" s="84">
        <v>5</v>
      </c>
      <c r="G818" s="84"/>
      <c r="H818" s="43"/>
      <c r="I818" s="166"/>
      <c r="J818" s="166"/>
      <c r="K818" s="166"/>
      <c r="L818" s="166"/>
      <c r="M818" s="283">
        <v>0</v>
      </c>
    </row>
    <row r="819" spans="1:13" ht="94.5" x14ac:dyDescent="0.25">
      <c r="A819" s="284">
        <v>11000</v>
      </c>
      <c r="B819" s="314" t="s">
        <v>61</v>
      </c>
      <c r="C819" s="55" t="s">
        <v>1562</v>
      </c>
      <c r="D819" s="103">
        <v>46.5</v>
      </c>
      <c r="E819" s="84" t="s">
        <v>1563</v>
      </c>
      <c r="F819" s="84" t="s">
        <v>1564</v>
      </c>
      <c r="G819" s="84" t="s">
        <v>1565</v>
      </c>
      <c r="H819" s="43"/>
      <c r="I819" s="166"/>
      <c r="J819" s="166"/>
      <c r="K819" s="166"/>
      <c r="L819" s="166"/>
      <c r="M819" s="283">
        <v>0</v>
      </c>
    </row>
    <row r="820" spans="1:13" ht="47.25" x14ac:dyDescent="0.25">
      <c r="A820" s="284">
        <v>0</v>
      </c>
      <c r="B820" s="314" t="s">
        <v>62</v>
      </c>
      <c r="C820" s="43"/>
      <c r="D820" s="86"/>
      <c r="E820" s="86"/>
      <c r="F820" s="86">
        <v>2</v>
      </c>
      <c r="G820" s="130" t="s">
        <v>1566</v>
      </c>
      <c r="H820" s="43"/>
      <c r="I820" s="166"/>
      <c r="J820" s="166"/>
      <c r="K820" s="166"/>
      <c r="L820" s="166"/>
      <c r="M820" s="283">
        <v>0</v>
      </c>
    </row>
    <row r="821" spans="1:13" x14ac:dyDescent="0.25">
      <c r="A821" s="284">
        <v>0</v>
      </c>
      <c r="B821" s="314" t="s">
        <v>63</v>
      </c>
      <c r="C821" s="43"/>
      <c r="D821" s="86"/>
      <c r="E821" s="86"/>
      <c r="F821" s="86">
        <v>3</v>
      </c>
      <c r="G821" s="304"/>
      <c r="H821" s="43"/>
      <c r="I821" s="166"/>
      <c r="J821" s="166"/>
      <c r="K821" s="166"/>
      <c r="L821" s="166"/>
      <c r="M821" s="283">
        <v>0</v>
      </c>
    </row>
    <row r="822" spans="1:13" x14ac:dyDescent="0.25">
      <c r="A822" s="284">
        <v>0</v>
      </c>
      <c r="B822" s="314" t="s">
        <v>64</v>
      </c>
      <c r="C822" s="43"/>
      <c r="D822" s="86"/>
      <c r="E822" s="86"/>
      <c r="F822" s="86">
        <v>4</v>
      </c>
      <c r="G822" s="304"/>
      <c r="H822" s="43"/>
      <c r="I822" s="166"/>
      <c r="J822" s="166"/>
      <c r="K822" s="166"/>
      <c r="L822" s="166"/>
      <c r="M822" s="283">
        <v>0</v>
      </c>
    </row>
    <row r="823" spans="1:13" x14ac:dyDescent="0.25">
      <c r="A823" s="284">
        <v>0</v>
      </c>
      <c r="B823" s="314" t="s">
        <v>65</v>
      </c>
      <c r="C823" s="43"/>
      <c r="D823" s="86"/>
      <c r="E823" s="86"/>
      <c r="F823" s="86">
        <v>5</v>
      </c>
      <c r="G823" s="304"/>
      <c r="H823" s="43"/>
      <c r="I823" s="194"/>
      <c r="J823" s="194"/>
      <c r="K823" s="194"/>
      <c r="L823" s="303"/>
      <c r="M823" s="8">
        <f>SUM(M814:M822)</f>
        <v>4000</v>
      </c>
    </row>
    <row r="824" spans="1:13" x14ac:dyDescent="0.25">
      <c r="A824" s="284">
        <v>0</v>
      </c>
      <c r="B824" s="314" t="s">
        <v>66</v>
      </c>
      <c r="C824" s="43"/>
      <c r="D824" s="86"/>
      <c r="E824" s="86"/>
      <c r="F824" s="86">
        <v>6</v>
      </c>
      <c r="G824" s="86"/>
      <c r="H824" s="43"/>
      <c r="I824" s="194"/>
      <c r="J824" s="194"/>
      <c r="K824" s="194"/>
      <c r="L824" s="303"/>
      <c r="M824" s="43"/>
    </row>
    <row r="825" spans="1:13" x14ac:dyDescent="0.25">
      <c r="A825" s="284">
        <v>0</v>
      </c>
      <c r="B825" s="314" t="s">
        <v>67</v>
      </c>
      <c r="C825" s="43"/>
      <c r="D825" s="86"/>
      <c r="E825" s="86"/>
      <c r="F825" s="86">
        <v>7</v>
      </c>
      <c r="G825" s="86"/>
      <c r="H825" s="43"/>
      <c r="I825" s="194"/>
      <c r="J825" s="194"/>
      <c r="K825" s="194"/>
      <c r="L825" s="303"/>
      <c r="M825" s="43"/>
    </row>
    <row r="826" spans="1:13" x14ac:dyDescent="0.25">
      <c r="A826" s="284">
        <v>0</v>
      </c>
      <c r="B826" s="314" t="s">
        <v>68</v>
      </c>
      <c r="C826" s="43"/>
      <c r="D826" s="86"/>
      <c r="E826" s="86"/>
      <c r="F826" s="86">
        <v>8</v>
      </c>
      <c r="G826" s="86"/>
      <c r="H826" s="43"/>
      <c r="I826" s="194"/>
      <c r="J826" s="194"/>
      <c r="K826" s="194"/>
      <c r="L826" s="303"/>
      <c r="M826" s="43"/>
    </row>
    <row r="827" spans="1:13" x14ac:dyDescent="0.25">
      <c r="A827" s="284">
        <v>0</v>
      </c>
      <c r="B827" s="315">
        <v>0.79166666666666663</v>
      </c>
      <c r="C827" s="43"/>
      <c r="D827" s="86"/>
      <c r="E827" s="86"/>
      <c r="F827" s="86">
        <v>9</v>
      </c>
      <c r="G827" s="86"/>
      <c r="H827" s="43"/>
      <c r="I827" s="194"/>
      <c r="J827" s="194"/>
      <c r="K827" s="194"/>
      <c r="L827" s="303"/>
      <c r="M827" s="43"/>
    </row>
    <row r="828" spans="1:13" x14ac:dyDescent="0.25">
      <c r="A828" s="284">
        <v>0</v>
      </c>
      <c r="B828" s="315">
        <v>0.83333333333333337</v>
      </c>
      <c r="C828" s="43"/>
      <c r="D828" s="86"/>
      <c r="E828" s="86"/>
      <c r="F828" s="86"/>
      <c r="G828" s="86"/>
      <c r="H828" s="43"/>
      <c r="I828" s="194"/>
      <c r="J828" s="194"/>
      <c r="K828" s="194"/>
      <c r="L828" s="303"/>
      <c r="M828" s="43"/>
    </row>
    <row r="829" spans="1:13" x14ac:dyDescent="0.25">
      <c r="A829" s="284">
        <v>0</v>
      </c>
      <c r="B829" s="315">
        <v>0.875</v>
      </c>
      <c r="C829" s="43"/>
      <c r="D829" s="86"/>
      <c r="E829" s="86"/>
      <c r="F829" s="86"/>
      <c r="G829" s="86"/>
      <c r="H829" s="43"/>
      <c r="I829" s="194"/>
      <c r="J829" s="194"/>
      <c r="K829" s="194"/>
      <c r="L829" s="303"/>
      <c r="M829" s="43"/>
    </row>
    <row r="830" spans="1:13" x14ac:dyDescent="0.25">
      <c r="A830" s="284">
        <v>0</v>
      </c>
      <c r="B830" s="315">
        <v>0.91666666666666663</v>
      </c>
      <c r="C830" s="43"/>
      <c r="D830" s="86"/>
      <c r="E830" s="86"/>
      <c r="F830" s="86"/>
      <c r="G830" s="86"/>
      <c r="H830" s="43"/>
      <c r="I830" s="194"/>
      <c r="J830" s="194"/>
      <c r="K830" s="194"/>
      <c r="L830" s="303"/>
      <c r="M830" s="43"/>
    </row>
    <row r="831" spans="1:13" x14ac:dyDescent="0.25">
      <c r="A831" s="265">
        <f>SUM(A815:A830)</f>
        <v>20000</v>
      </c>
      <c r="B831" s="316">
        <v>0.94791666666666663</v>
      </c>
      <c r="C831" s="43"/>
      <c r="D831" s="86"/>
      <c r="E831" s="86"/>
      <c r="F831" s="86"/>
      <c r="G831" s="86"/>
      <c r="H831" s="43"/>
      <c r="I831" s="194"/>
      <c r="J831" s="194"/>
      <c r="K831" s="194"/>
      <c r="L831" s="303"/>
      <c r="M831" s="43"/>
    </row>
    <row r="832" spans="1:13" ht="47.25" x14ac:dyDescent="0.25">
      <c r="A832" s="281">
        <f>A814+1</f>
        <v>44628</v>
      </c>
      <c r="B832" s="317" t="s">
        <v>54</v>
      </c>
      <c r="C832" s="43"/>
      <c r="D832" s="86"/>
      <c r="E832" s="86"/>
      <c r="F832" s="86"/>
      <c r="G832" s="86"/>
      <c r="H832" s="55" t="s">
        <v>1567</v>
      </c>
      <c r="I832" s="57">
        <v>54</v>
      </c>
      <c r="J832" s="57" t="s">
        <v>151</v>
      </c>
      <c r="K832" s="57" t="s">
        <v>1568</v>
      </c>
      <c r="L832" s="125">
        <v>44624</v>
      </c>
      <c r="M832" s="283">
        <v>5329</v>
      </c>
    </row>
    <row r="833" spans="1:13" ht="31.5" x14ac:dyDescent="0.25">
      <c r="A833" s="284">
        <v>14532</v>
      </c>
      <c r="B833" s="314" t="s">
        <v>57</v>
      </c>
      <c r="C833" s="43"/>
      <c r="D833" s="86"/>
      <c r="E833" s="86"/>
      <c r="F833" s="86"/>
      <c r="G833" s="86"/>
      <c r="H833" s="55" t="s">
        <v>1569</v>
      </c>
      <c r="I833" s="57"/>
      <c r="J833" s="57"/>
      <c r="K833" s="57"/>
      <c r="L833" s="178" t="s">
        <v>1570</v>
      </c>
      <c r="M833" s="283">
        <v>0</v>
      </c>
    </row>
    <row r="834" spans="1:13" x14ac:dyDescent="0.25">
      <c r="A834" s="284">
        <v>0</v>
      </c>
      <c r="B834" s="314" t="s">
        <v>58</v>
      </c>
      <c r="C834" s="43"/>
      <c r="D834" s="86"/>
      <c r="E834" s="86"/>
      <c r="F834" s="86"/>
      <c r="G834" s="86"/>
      <c r="H834" s="43"/>
      <c r="I834" s="65"/>
      <c r="J834" s="65"/>
      <c r="K834" s="65"/>
      <c r="L834" s="65"/>
      <c r="M834" s="283">
        <v>0</v>
      </c>
    </row>
    <row r="835" spans="1:13" x14ac:dyDescent="0.25">
      <c r="A835" s="284">
        <v>0</v>
      </c>
      <c r="B835" s="314" t="s">
        <v>59</v>
      </c>
      <c r="C835" s="43"/>
      <c r="D835" s="86"/>
      <c r="E835" s="86"/>
      <c r="F835" s="86"/>
      <c r="G835" s="86"/>
      <c r="H835" s="43"/>
      <c r="I835" s="65"/>
      <c r="J835" s="65"/>
      <c r="K835" s="65"/>
      <c r="L835" s="65"/>
      <c r="M835" s="283">
        <v>0</v>
      </c>
    </row>
    <row r="836" spans="1:13" ht="63" x14ac:dyDescent="0.25">
      <c r="A836" s="284">
        <v>0</v>
      </c>
      <c r="B836" s="314" t="s">
        <v>60</v>
      </c>
      <c r="C836" s="324" t="s">
        <v>1571</v>
      </c>
      <c r="D836" s="84">
        <v>36</v>
      </c>
      <c r="E836" s="84" t="s">
        <v>215</v>
      </c>
      <c r="F836" s="84" t="s">
        <v>1572</v>
      </c>
      <c r="G836" s="136">
        <v>44628</v>
      </c>
      <c r="H836" s="43"/>
      <c r="I836" s="65"/>
      <c r="J836" s="65"/>
      <c r="K836" s="65"/>
      <c r="L836" s="65"/>
      <c r="M836" s="283">
        <v>0</v>
      </c>
    </row>
    <row r="837" spans="1:13" ht="204.75" x14ac:dyDescent="0.25">
      <c r="A837" s="284">
        <v>0</v>
      </c>
      <c r="B837" s="314" t="s">
        <v>61</v>
      </c>
      <c r="C837" s="324" t="s">
        <v>1573</v>
      </c>
      <c r="D837" s="84"/>
      <c r="E837" s="84"/>
      <c r="F837" s="84">
        <v>2</v>
      </c>
      <c r="G837" s="130" t="s">
        <v>1574</v>
      </c>
      <c r="H837" s="43"/>
      <c r="I837" s="65"/>
      <c r="J837" s="65"/>
      <c r="K837" s="65"/>
      <c r="L837" s="65"/>
      <c r="M837" s="283">
        <v>0</v>
      </c>
    </row>
    <row r="838" spans="1:13" x14ac:dyDescent="0.25">
      <c r="A838" s="284">
        <v>0</v>
      </c>
      <c r="B838" s="314" t="s">
        <v>62</v>
      </c>
      <c r="C838" s="325"/>
      <c r="D838" s="86"/>
      <c r="E838" s="86"/>
      <c r="F838" s="86">
        <v>3</v>
      </c>
      <c r="G838" s="304"/>
      <c r="H838" s="43"/>
      <c r="I838" s="65"/>
      <c r="J838" s="65"/>
      <c r="K838" s="65"/>
      <c r="L838" s="65"/>
      <c r="M838" s="283">
        <v>0</v>
      </c>
    </row>
    <row r="839" spans="1:13" x14ac:dyDescent="0.25">
      <c r="A839" s="284">
        <v>0</v>
      </c>
      <c r="B839" s="314" t="s">
        <v>63</v>
      </c>
      <c r="C839" s="325"/>
      <c r="D839" s="86"/>
      <c r="E839" s="86"/>
      <c r="F839" s="86">
        <v>4</v>
      </c>
      <c r="G839" s="304"/>
      <c r="H839" s="43"/>
      <c r="I839" s="65"/>
      <c r="J839" s="65"/>
      <c r="K839" s="65"/>
      <c r="L839" s="65"/>
      <c r="M839" s="283">
        <v>0</v>
      </c>
    </row>
    <row r="840" spans="1:13" x14ac:dyDescent="0.25">
      <c r="A840" s="284">
        <v>0</v>
      </c>
      <c r="B840" s="314" t="s">
        <v>64</v>
      </c>
      <c r="C840" s="325"/>
      <c r="D840" s="86"/>
      <c r="E840" s="86"/>
      <c r="F840" s="86">
        <v>5</v>
      </c>
      <c r="G840" s="304"/>
      <c r="H840" s="43"/>
      <c r="I840" s="65"/>
      <c r="J840" s="65"/>
      <c r="K840" s="65"/>
      <c r="L840" s="65"/>
      <c r="M840" s="283">
        <v>0</v>
      </c>
    </row>
    <row r="841" spans="1:13" x14ac:dyDescent="0.25">
      <c r="A841" s="284">
        <v>0</v>
      </c>
      <c r="B841" s="314" t="s">
        <v>65</v>
      </c>
      <c r="C841" s="325"/>
      <c r="D841" s="86"/>
      <c r="E841" s="86"/>
      <c r="F841" s="86">
        <v>6</v>
      </c>
      <c r="G841" s="304"/>
      <c r="H841" s="43"/>
      <c r="I841" s="65"/>
      <c r="J841" s="65"/>
      <c r="K841" s="65"/>
      <c r="L841" s="82"/>
      <c r="M841" s="8">
        <f>SUM(M832:M840)</f>
        <v>5329</v>
      </c>
    </row>
    <row r="842" spans="1:13" x14ac:dyDescent="0.25">
      <c r="A842" s="284">
        <v>0</v>
      </c>
      <c r="B842" s="314" t="s">
        <v>66</v>
      </c>
      <c r="C842" s="325"/>
      <c r="D842" s="86"/>
      <c r="E842" s="86"/>
      <c r="F842" s="86">
        <v>7</v>
      </c>
      <c r="G842" s="304"/>
      <c r="H842" s="43"/>
      <c r="I842" s="65"/>
      <c r="J842" s="65"/>
      <c r="K842" s="65"/>
      <c r="L842" s="82"/>
      <c r="M842" s="43"/>
    </row>
    <row r="843" spans="1:13" x14ac:dyDescent="0.25">
      <c r="A843" s="284">
        <v>0</v>
      </c>
      <c r="B843" s="314" t="s">
        <v>67</v>
      </c>
      <c r="C843" s="325"/>
      <c r="D843" s="86"/>
      <c r="E843" s="86"/>
      <c r="F843" s="86">
        <v>8</v>
      </c>
      <c r="G843" s="304"/>
      <c r="H843" s="43"/>
      <c r="I843" s="65"/>
      <c r="J843" s="65"/>
      <c r="K843" s="65"/>
      <c r="L843" s="82"/>
      <c r="M843" s="43"/>
    </row>
    <row r="844" spans="1:13" x14ac:dyDescent="0.25">
      <c r="A844" s="284">
        <v>0</v>
      </c>
      <c r="B844" s="314" t="s">
        <v>68</v>
      </c>
      <c r="C844" s="325"/>
      <c r="D844" s="86"/>
      <c r="E844" s="86"/>
      <c r="F844" s="86">
        <v>9</v>
      </c>
      <c r="G844" s="304"/>
      <c r="H844" s="43"/>
      <c r="I844" s="65"/>
      <c r="J844" s="65"/>
      <c r="K844" s="65"/>
      <c r="L844" s="82"/>
      <c r="M844" s="43"/>
    </row>
    <row r="845" spans="1:13" x14ac:dyDescent="0.25">
      <c r="A845" s="284">
        <v>0</v>
      </c>
      <c r="B845" s="315">
        <v>0.79166666666666663</v>
      </c>
      <c r="C845" s="325"/>
      <c r="D845" s="86"/>
      <c r="E845" s="86"/>
      <c r="F845" s="86">
        <v>10</v>
      </c>
      <c r="G845" s="304"/>
      <c r="H845" s="43"/>
      <c r="I845" s="65"/>
      <c r="J845" s="65"/>
      <c r="K845" s="65"/>
      <c r="L845" s="82"/>
      <c r="M845" s="43"/>
    </row>
    <row r="846" spans="1:13" x14ac:dyDescent="0.25">
      <c r="A846" s="284">
        <v>0</v>
      </c>
      <c r="B846" s="315">
        <v>0.83333333333333337</v>
      </c>
      <c r="C846" s="325"/>
      <c r="D846" s="86"/>
      <c r="E846" s="86"/>
      <c r="F846" s="86">
        <v>11</v>
      </c>
      <c r="G846" s="304"/>
      <c r="H846" s="43"/>
      <c r="I846" s="65"/>
      <c r="J846" s="65"/>
      <c r="K846" s="65"/>
      <c r="L846" s="82"/>
      <c r="M846" s="43"/>
    </row>
    <row r="847" spans="1:13" x14ac:dyDescent="0.25">
      <c r="A847" s="284">
        <v>0</v>
      </c>
      <c r="B847" s="315">
        <v>0.875</v>
      </c>
      <c r="C847" s="325"/>
      <c r="D847" s="86"/>
      <c r="E847" s="86"/>
      <c r="F847" s="86">
        <v>12</v>
      </c>
      <c r="G847" s="304"/>
      <c r="H847" s="43"/>
      <c r="I847" s="65"/>
      <c r="J847" s="65"/>
      <c r="K847" s="65"/>
      <c r="L847" s="82"/>
      <c r="M847" s="43"/>
    </row>
    <row r="848" spans="1:13" x14ac:dyDescent="0.25">
      <c r="A848" s="284">
        <v>0</v>
      </c>
      <c r="B848" s="315">
        <v>0.91666666666666663</v>
      </c>
      <c r="C848" s="325"/>
      <c r="D848" s="86"/>
      <c r="E848" s="86"/>
      <c r="F848" s="86">
        <v>13</v>
      </c>
      <c r="G848" s="304"/>
      <c r="H848" s="43"/>
      <c r="I848" s="65"/>
      <c r="J848" s="65"/>
      <c r="K848" s="65"/>
      <c r="L848" s="82"/>
      <c r="M848" s="43"/>
    </row>
    <row r="849" spans="1:13" x14ac:dyDescent="0.25">
      <c r="A849" s="265">
        <f>SUM(A833:A848)</f>
        <v>14532</v>
      </c>
      <c r="B849" s="316">
        <v>0.94791666666666663</v>
      </c>
      <c r="C849" s="325"/>
      <c r="D849" s="86"/>
      <c r="E849" s="86"/>
      <c r="F849" s="86">
        <v>14</v>
      </c>
      <c r="G849" s="304"/>
      <c r="H849" s="43"/>
      <c r="I849" s="65"/>
      <c r="J849" s="65"/>
      <c r="K849" s="65"/>
      <c r="L849" s="82"/>
      <c r="M849" s="43"/>
    </row>
    <row r="850" spans="1:13" ht="63" x14ac:dyDescent="0.25">
      <c r="A850" s="281">
        <f>A832+1</f>
        <v>44629</v>
      </c>
      <c r="B850" s="317" t="s">
        <v>54</v>
      </c>
      <c r="C850" s="325"/>
      <c r="D850" s="86"/>
      <c r="E850" s="86"/>
      <c r="F850" s="86"/>
      <c r="G850" s="86"/>
      <c r="H850" s="55" t="s">
        <v>1575</v>
      </c>
      <c r="I850" s="57">
        <v>54</v>
      </c>
      <c r="J850" s="57" t="s">
        <v>1238</v>
      </c>
      <c r="K850" s="57" t="s">
        <v>1576</v>
      </c>
      <c r="L850" s="125">
        <v>44627</v>
      </c>
      <c r="M850" s="283">
        <v>5329</v>
      </c>
    </row>
    <row r="851" spans="1:13" ht="31.5" x14ac:dyDescent="0.25">
      <c r="A851" s="284">
        <v>5500</v>
      </c>
      <c r="B851" s="314" t="s">
        <v>57</v>
      </c>
      <c r="C851" s="325"/>
      <c r="D851" s="86"/>
      <c r="E851" s="86"/>
      <c r="F851" s="86"/>
      <c r="G851" s="86"/>
      <c r="H851" s="55" t="s">
        <v>1577</v>
      </c>
      <c r="I851" s="57" t="s">
        <v>1578</v>
      </c>
      <c r="J851" s="57"/>
      <c r="K851" s="57"/>
      <c r="L851" s="178" t="s">
        <v>770</v>
      </c>
      <c r="M851" s="283">
        <v>0</v>
      </c>
    </row>
    <row r="852" spans="1:13" x14ac:dyDescent="0.25">
      <c r="A852" s="284">
        <v>0</v>
      </c>
      <c r="B852" s="314" t="s">
        <v>58</v>
      </c>
      <c r="C852" s="325"/>
      <c r="D852" s="86"/>
      <c r="E852" s="86"/>
      <c r="F852" s="86"/>
      <c r="G852" s="86"/>
      <c r="H852" s="43"/>
      <c r="I852" s="65" t="s">
        <v>1579</v>
      </c>
      <c r="J852" s="65"/>
      <c r="K852" s="65"/>
      <c r="L852" s="65"/>
      <c r="M852" s="283">
        <v>0</v>
      </c>
    </row>
    <row r="853" spans="1:13" x14ac:dyDescent="0.25">
      <c r="A853" s="284">
        <v>0</v>
      </c>
      <c r="B853" s="314" t="s">
        <v>59</v>
      </c>
      <c r="C853" s="325"/>
      <c r="D853" s="86"/>
      <c r="E853" s="86"/>
      <c r="F853" s="86"/>
      <c r="G853" s="86"/>
      <c r="H853" s="43"/>
      <c r="I853" s="65" t="s">
        <v>1580</v>
      </c>
      <c r="J853" s="65"/>
      <c r="K853" s="65"/>
      <c r="L853" s="82"/>
      <c r="M853" s="283">
        <v>0</v>
      </c>
    </row>
    <row r="854" spans="1:13" x14ac:dyDescent="0.25">
      <c r="A854" s="284">
        <v>0</v>
      </c>
      <c r="B854" s="314" t="s">
        <v>60</v>
      </c>
      <c r="C854" s="325"/>
      <c r="D854" s="86"/>
      <c r="E854" s="86"/>
      <c r="F854" s="86"/>
      <c r="G854" s="86"/>
      <c r="H854" s="43"/>
      <c r="I854" s="65"/>
      <c r="J854" s="65"/>
      <c r="K854" s="65"/>
      <c r="L854" s="82"/>
      <c r="M854" s="283">
        <v>0</v>
      </c>
    </row>
    <row r="855" spans="1:13" x14ac:dyDescent="0.25">
      <c r="A855" s="284">
        <v>0</v>
      </c>
      <c r="B855" s="314" t="s">
        <v>61</v>
      </c>
      <c r="C855" s="325"/>
      <c r="D855" s="86"/>
      <c r="E855" s="86"/>
      <c r="F855" s="86"/>
      <c r="G855" s="86"/>
      <c r="H855" s="43"/>
      <c r="I855" s="65"/>
      <c r="J855" s="65"/>
      <c r="K855" s="65"/>
      <c r="L855" s="82"/>
      <c r="M855" s="283">
        <v>0</v>
      </c>
    </row>
    <row r="856" spans="1:13" x14ac:dyDescent="0.25">
      <c r="A856" s="284">
        <v>0</v>
      </c>
      <c r="B856" s="314" t="s">
        <v>62</v>
      </c>
      <c r="C856" s="325"/>
      <c r="D856" s="86"/>
      <c r="E856" s="86"/>
      <c r="F856" s="86"/>
      <c r="G856" s="86"/>
      <c r="H856" s="43"/>
      <c r="I856" s="65"/>
      <c r="J856" s="65"/>
      <c r="K856" s="65"/>
      <c r="L856" s="82"/>
      <c r="M856" s="283">
        <v>0</v>
      </c>
    </row>
    <row r="857" spans="1:13" x14ac:dyDescent="0.25">
      <c r="A857" s="284">
        <v>0</v>
      </c>
      <c r="B857" s="314" t="s">
        <v>63</v>
      </c>
      <c r="C857" s="325"/>
      <c r="D857" s="86"/>
      <c r="E857" s="86"/>
      <c r="F857" s="86"/>
      <c r="G857" s="86"/>
      <c r="H857" s="43"/>
      <c r="I857" s="65"/>
      <c r="J857" s="65"/>
      <c r="K857" s="65"/>
      <c r="L857" s="82"/>
      <c r="M857" s="283">
        <v>0</v>
      </c>
    </row>
    <row r="858" spans="1:13" x14ac:dyDescent="0.25">
      <c r="A858" s="284">
        <v>0</v>
      </c>
      <c r="B858" s="314" t="s">
        <v>64</v>
      </c>
      <c r="C858" s="325"/>
      <c r="D858" s="86"/>
      <c r="E858" s="86"/>
      <c r="F858" s="86"/>
      <c r="G858" s="86"/>
      <c r="H858" s="43"/>
      <c r="I858" s="65"/>
      <c r="J858" s="65"/>
      <c r="K858" s="65"/>
      <c r="L858" s="65"/>
      <c r="M858" s="283">
        <v>0</v>
      </c>
    </row>
    <row r="859" spans="1:13" x14ac:dyDescent="0.25">
      <c r="A859" s="284">
        <v>0</v>
      </c>
      <c r="B859" s="314" t="s">
        <v>65</v>
      </c>
      <c r="C859" s="325"/>
      <c r="D859" s="86"/>
      <c r="E859" s="86"/>
      <c r="F859" s="86"/>
      <c r="G859" s="86"/>
      <c r="H859" s="43"/>
      <c r="I859" s="194"/>
      <c r="J859" s="194"/>
      <c r="K859" s="194"/>
      <c r="L859" s="303"/>
      <c r="M859" s="8">
        <f>SUM(M850:M858)</f>
        <v>5329</v>
      </c>
    </row>
    <row r="860" spans="1:13" ht="63" x14ac:dyDescent="0.25">
      <c r="A860" s="284">
        <v>3000</v>
      </c>
      <c r="B860" s="314" t="s">
        <v>66</v>
      </c>
      <c r="C860" s="55" t="s">
        <v>1581</v>
      </c>
      <c r="D860" s="84">
        <v>56</v>
      </c>
      <c r="E860" s="84" t="s">
        <v>1148</v>
      </c>
      <c r="F860" s="84" t="s">
        <v>1582</v>
      </c>
      <c r="G860" s="136">
        <v>44629</v>
      </c>
      <c r="H860" s="43"/>
      <c r="I860" s="194"/>
      <c r="J860" s="194"/>
      <c r="K860" s="194"/>
      <c r="L860" s="303"/>
      <c r="M860" s="43"/>
    </row>
    <row r="861" spans="1:13" ht="78.75" x14ac:dyDescent="0.25">
      <c r="A861" s="284">
        <v>0</v>
      </c>
      <c r="B861" s="314" t="s">
        <v>67</v>
      </c>
      <c r="C861" s="55" t="s">
        <v>1583</v>
      </c>
      <c r="D861" s="84"/>
      <c r="E861" s="84"/>
      <c r="F861" s="84">
        <v>2</v>
      </c>
      <c r="G861" s="84" t="s">
        <v>1584</v>
      </c>
      <c r="H861" s="43"/>
      <c r="I861" s="194"/>
      <c r="J861" s="194"/>
      <c r="K861" s="194"/>
      <c r="L861" s="303"/>
      <c r="M861" s="43"/>
    </row>
    <row r="862" spans="1:13" ht="94.5" x14ac:dyDescent="0.25">
      <c r="A862" s="284">
        <v>0</v>
      </c>
      <c r="B862" s="314" t="s">
        <v>68</v>
      </c>
      <c r="C862" s="55" t="s">
        <v>1585</v>
      </c>
      <c r="D862" s="84">
        <v>60</v>
      </c>
      <c r="E862" s="84" t="s">
        <v>1148</v>
      </c>
      <c r="F862" s="84" t="s">
        <v>1586</v>
      </c>
      <c r="G862" s="136">
        <v>44629</v>
      </c>
      <c r="H862" s="43"/>
      <c r="I862" s="194"/>
      <c r="J862" s="194"/>
      <c r="K862" s="194"/>
      <c r="L862" s="303"/>
      <c r="M862" s="43"/>
    </row>
    <row r="863" spans="1:13" ht="78.75" x14ac:dyDescent="0.25">
      <c r="A863" s="284">
        <v>0</v>
      </c>
      <c r="B863" s="315">
        <v>0.79166666666666663</v>
      </c>
      <c r="C863" s="55" t="s">
        <v>1587</v>
      </c>
      <c r="D863" s="84"/>
      <c r="E863" s="84"/>
      <c r="F863" s="84"/>
      <c r="G863" s="84" t="s">
        <v>1584</v>
      </c>
      <c r="H863" s="43"/>
      <c r="I863" s="194"/>
      <c r="J863" s="194"/>
      <c r="K863" s="194"/>
      <c r="L863" s="303"/>
      <c r="M863" s="43"/>
    </row>
    <row r="864" spans="1:13" x14ac:dyDescent="0.25">
      <c r="A864" s="284">
        <v>0</v>
      </c>
      <c r="B864" s="315">
        <v>0.83333333333333337</v>
      </c>
      <c r="C864" s="43"/>
      <c r="D864" s="194"/>
      <c r="E864" s="194"/>
      <c r="F864" s="194"/>
      <c r="G864" s="194"/>
      <c r="H864" s="43"/>
      <c r="I864" s="194"/>
      <c r="J864" s="194"/>
      <c r="K864" s="194"/>
      <c r="L864" s="303"/>
      <c r="M864" s="43"/>
    </row>
    <row r="865" spans="1:18" x14ac:dyDescent="0.25">
      <c r="A865" s="284">
        <v>0</v>
      </c>
      <c r="B865" s="315">
        <v>0.875</v>
      </c>
      <c r="C865" s="43"/>
      <c r="D865" s="194"/>
      <c r="E865" s="194"/>
      <c r="F865" s="194"/>
      <c r="G865" s="194"/>
      <c r="H865" s="43"/>
      <c r="I865" s="194"/>
      <c r="J865" s="194"/>
      <c r="K865" s="194"/>
      <c r="L865" s="303"/>
      <c r="M865" s="43"/>
    </row>
    <row r="866" spans="1:18" x14ac:dyDescent="0.25">
      <c r="A866" s="284">
        <v>0</v>
      </c>
      <c r="B866" s="315">
        <v>0.91666666666666663</v>
      </c>
      <c r="C866" s="43"/>
      <c r="D866" s="194"/>
      <c r="E866" s="194"/>
      <c r="F866" s="194"/>
      <c r="G866" s="194"/>
      <c r="H866" s="43"/>
      <c r="I866" s="194"/>
      <c r="J866" s="194"/>
      <c r="K866" s="194"/>
      <c r="L866" s="303"/>
      <c r="M866" s="43"/>
    </row>
    <row r="867" spans="1:18" x14ac:dyDescent="0.25">
      <c r="A867" s="265">
        <f>SUM(A851:A866)</f>
        <v>8500</v>
      </c>
      <c r="B867" s="316">
        <v>0.94791666666666663</v>
      </c>
      <c r="C867" s="43"/>
      <c r="D867" s="194"/>
      <c r="E867" s="194"/>
      <c r="F867" s="194"/>
      <c r="G867" s="194"/>
      <c r="H867" s="43"/>
      <c r="I867" s="194"/>
      <c r="J867" s="194"/>
      <c r="K867" s="194"/>
      <c r="L867" s="303"/>
      <c r="M867" s="43"/>
    </row>
    <row r="868" spans="1:18" ht="47.25" x14ac:dyDescent="0.25">
      <c r="A868" s="281">
        <f>A850+1</f>
        <v>44630</v>
      </c>
      <c r="B868" s="317" t="s">
        <v>54</v>
      </c>
      <c r="C868" s="55" t="s">
        <v>1588</v>
      </c>
      <c r="D868" s="84"/>
      <c r="E868" s="84"/>
      <c r="F868" s="84">
        <v>2</v>
      </c>
      <c r="G868" s="84"/>
      <c r="H868" s="55" t="s">
        <v>1589</v>
      </c>
      <c r="I868" s="84">
        <v>36</v>
      </c>
      <c r="J868" s="84" t="s">
        <v>1234</v>
      </c>
      <c r="K868" s="84" t="s">
        <v>1590</v>
      </c>
      <c r="L868" s="136">
        <v>44629</v>
      </c>
      <c r="M868" s="283">
        <v>1523</v>
      </c>
    </row>
    <row r="869" spans="1:18" ht="31.5" x14ac:dyDescent="0.25">
      <c r="A869" s="284">
        <v>5616</v>
      </c>
      <c r="B869" s="314" t="s">
        <v>57</v>
      </c>
      <c r="C869" s="43"/>
      <c r="D869" s="84"/>
      <c r="E869" s="84"/>
      <c r="F869" s="84">
        <v>3</v>
      </c>
      <c r="G869" s="84"/>
      <c r="H869" s="55" t="s">
        <v>1591</v>
      </c>
      <c r="I869" s="84"/>
      <c r="J869" s="84"/>
      <c r="K869" s="84"/>
      <c r="L869" s="84" t="s">
        <v>1592</v>
      </c>
      <c r="M869" s="283">
        <v>0</v>
      </c>
    </row>
    <row r="870" spans="1:18" x14ac:dyDescent="0.25">
      <c r="A870" s="284">
        <v>0</v>
      </c>
      <c r="B870" s="314" t="s">
        <v>58</v>
      </c>
      <c r="C870" s="43"/>
      <c r="D870" s="84"/>
      <c r="E870" s="84"/>
      <c r="F870" s="84">
        <v>4</v>
      </c>
      <c r="G870" s="84"/>
      <c r="H870" s="43"/>
      <c r="I870" s="86"/>
      <c r="J870" s="86"/>
      <c r="K870" s="86"/>
      <c r="L870" s="86"/>
      <c r="M870" s="283">
        <v>0</v>
      </c>
    </row>
    <row r="871" spans="1:18" x14ac:dyDescent="0.25">
      <c r="A871" s="284">
        <v>0</v>
      </c>
      <c r="B871" s="314" t="s">
        <v>59</v>
      </c>
      <c r="C871" s="43"/>
      <c r="D871" s="84"/>
      <c r="E871" s="84"/>
      <c r="F871" s="84">
        <v>5</v>
      </c>
      <c r="G871" s="84"/>
      <c r="H871" s="43"/>
      <c r="I871" s="86"/>
      <c r="J871" s="86"/>
      <c r="K871" s="86"/>
      <c r="L871" s="86"/>
      <c r="M871" s="283">
        <v>0</v>
      </c>
    </row>
    <row r="872" spans="1:18" ht="126" x14ac:dyDescent="0.25">
      <c r="A872" s="284">
        <v>2003</v>
      </c>
      <c r="B872" s="314" t="s">
        <v>60</v>
      </c>
      <c r="C872" s="55" t="s">
        <v>1593</v>
      </c>
      <c r="D872" s="84" t="s">
        <v>1594</v>
      </c>
      <c r="E872" s="84" t="s">
        <v>1595</v>
      </c>
      <c r="F872" s="84" t="s">
        <v>1596</v>
      </c>
      <c r="G872" s="136">
        <v>44629</v>
      </c>
      <c r="H872" s="43"/>
      <c r="I872" s="86"/>
      <c r="J872" s="86"/>
      <c r="K872" s="86"/>
      <c r="L872" s="86"/>
      <c r="M872" s="283">
        <v>0</v>
      </c>
      <c r="O872" s="32"/>
      <c r="P872" s="32"/>
      <c r="Q872" s="32"/>
      <c r="R872" s="255"/>
    </row>
    <row r="873" spans="1:18" ht="31.5" x14ac:dyDescent="0.25">
      <c r="A873" s="284">
        <v>0</v>
      </c>
      <c r="B873" s="314" t="s">
        <v>61</v>
      </c>
      <c r="C873" s="55" t="s">
        <v>1597</v>
      </c>
      <c r="D873" s="86"/>
      <c r="E873" s="86"/>
      <c r="F873" s="86"/>
      <c r="G873" s="172" t="s">
        <v>1584</v>
      </c>
      <c r="H873" s="55"/>
      <c r="I873" s="84"/>
      <c r="J873" s="84"/>
      <c r="K873" s="84"/>
      <c r="L873" s="84"/>
      <c r="M873" s="283">
        <v>1444</v>
      </c>
    </row>
    <row r="874" spans="1:18" x14ac:dyDescent="0.25">
      <c r="A874" s="284">
        <v>0</v>
      </c>
      <c r="B874" s="314" t="s">
        <v>62</v>
      </c>
      <c r="C874" s="43"/>
      <c r="D874" s="86"/>
      <c r="E874" s="86"/>
      <c r="F874" s="86"/>
      <c r="G874" s="86"/>
      <c r="H874" s="55"/>
      <c r="I874" s="84"/>
      <c r="J874" s="84"/>
      <c r="K874" s="84"/>
      <c r="L874" s="84"/>
      <c r="M874" s="283">
        <v>0</v>
      </c>
    </row>
    <row r="875" spans="1:18" x14ac:dyDescent="0.25">
      <c r="A875" s="284">
        <v>0</v>
      </c>
      <c r="B875" s="314" t="s">
        <v>63</v>
      </c>
      <c r="C875" s="325"/>
      <c r="D875" s="86"/>
      <c r="E875" s="86"/>
      <c r="F875" s="86"/>
      <c r="G875" s="86"/>
      <c r="H875" s="55"/>
      <c r="I875" s="84"/>
      <c r="J875" s="84"/>
      <c r="K875" s="84"/>
      <c r="L875" s="84"/>
      <c r="M875" s="283">
        <v>0</v>
      </c>
    </row>
    <row r="876" spans="1:18" ht="189" x14ac:dyDescent="0.25">
      <c r="A876" s="284">
        <v>10500</v>
      </c>
      <c r="B876" s="314" t="s">
        <v>64</v>
      </c>
      <c r="C876" s="55" t="s">
        <v>1598</v>
      </c>
      <c r="D876" s="56">
        <v>58</v>
      </c>
      <c r="E876" s="57" t="s">
        <v>1599</v>
      </c>
      <c r="F876" s="57" t="s">
        <v>1600</v>
      </c>
      <c r="G876" s="57" t="s">
        <v>1601</v>
      </c>
      <c r="H876" s="55"/>
      <c r="I876" s="84"/>
      <c r="J876" s="84"/>
      <c r="K876" s="84"/>
      <c r="L876" s="84"/>
      <c r="M876" s="283">
        <v>0</v>
      </c>
    </row>
    <row r="877" spans="1:18" x14ac:dyDescent="0.25">
      <c r="A877" s="284">
        <v>0</v>
      </c>
      <c r="B877" s="314" t="s">
        <v>65</v>
      </c>
      <c r="C877" s="43"/>
      <c r="D877" s="65" t="s">
        <v>1602</v>
      </c>
      <c r="E877" s="65"/>
      <c r="F877" s="65">
        <v>2</v>
      </c>
      <c r="G877" s="57"/>
      <c r="H877" s="55"/>
      <c r="I877" s="84"/>
      <c r="J877" s="84"/>
      <c r="K877" s="84"/>
      <c r="L877" s="84"/>
      <c r="M877" s="8">
        <f>SUM(M868:M876)</f>
        <v>2967</v>
      </c>
    </row>
    <row r="878" spans="1:18" x14ac:dyDescent="0.25">
      <c r="A878" s="284">
        <v>0</v>
      </c>
      <c r="B878" s="314" t="s">
        <v>66</v>
      </c>
      <c r="C878" s="43"/>
      <c r="D878" s="65" t="s">
        <v>1603</v>
      </c>
      <c r="E878" s="65"/>
      <c r="F878" s="65">
        <v>3</v>
      </c>
      <c r="G878" s="82"/>
      <c r="H878" s="55"/>
      <c r="I878" s="84"/>
      <c r="J878" s="84"/>
      <c r="K878" s="84"/>
      <c r="L878" s="84"/>
      <c r="M878" s="43"/>
    </row>
    <row r="879" spans="1:18" x14ac:dyDescent="0.25">
      <c r="A879" s="284">
        <v>0</v>
      </c>
      <c r="B879" s="314" t="s">
        <v>67</v>
      </c>
      <c r="C879" s="43"/>
      <c r="D879" s="65"/>
      <c r="E879" s="65"/>
      <c r="F879" s="65">
        <v>4</v>
      </c>
      <c r="G879" s="82"/>
      <c r="H879" s="55"/>
      <c r="I879" s="84"/>
      <c r="J879" s="84"/>
      <c r="K879" s="84"/>
      <c r="L879" s="84"/>
      <c r="M879" s="43"/>
    </row>
    <row r="880" spans="1:18" x14ac:dyDescent="0.25">
      <c r="A880" s="284">
        <v>0</v>
      </c>
      <c r="B880" s="314" t="s">
        <v>68</v>
      </c>
      <c r="C880" s="43"/>
      <c r="D880" s="65"/>
      <c r="E880" s="65"/>
      <c r="F880" s="65">
        <v>5</v>
      </c>
      <c r="G880" s="82"/>
      <c r="H880" s="43"/>
      <c r="I880" s="194"/>
      <c r="J880" s="194"/>
      <c r="K880" s="194"/>
      <c r="L880" s="303"/>
      <c r="M880" s="43"/>
    </row>
    <row r="881" spans="1:13" x14ac:dyDescent="0.25">
      <c r="A881" s="284">
        <v>0</v>
      </c>
      <c r="B881" s="315">
        <v>0.79166666666666663</v>
      </c>
      <c r="C881" s="43"/>
      <c r="D881" s="65"/>
      <c r="E881" s="65"/>
      <c r="F881" s="65">
        <v>6</v>
      </c>
      <c r="G881" s="82"/>
      <c r="H881" s="43"/>
      <c r="I881" s="194"/>
      <c r="J881" s="194"/>
      <c r="K881" s="194"/>
      <c r="L881" s="303"/>
      <c r="M881" s="43"/>
    </row>
    <row r="882" spans="1:13" x14ac:dyDescent="0.25">
      <c r="A882" s="284">
        <v>0</v>
      </c>
      <c r="B882" s="315">
        <v>0.83333333333333337</v>
      </c>
      <c r="C882" s="325"/>
      <c r="D882" s="65"/>
      <c r="E882" s="65"/>
      <c r="F882" s="65">
        <v>7</v>
      </c>
      <c r="G882" s="82"/>
      <c r="H882" s="43"/>
      <c r="I882" s="194"/>
      <c r="J882" s="194"/>
      <c r="K882" s="194"/>
      <c r="L882" s="303"/>
      <c r="M882" s="43"/>
    </row>
    <row r="883" spans="1:13" x14ac:dyDescent="0.25">
      <c r="A883" s="284">
        <v>0</v>
      </c>
      <c r="B883" s="315">
        <v>0.875</v>
      </c>
      <c r="C883" s="325"/>
      <c r="D883" s="65"/>
      <c r="E883" s="65"/>
      <c r="F883" s="65"/>
      <c r="G883" s="65"/>
      <c r="H883" s="43"/>
      <c r="I883" s="194"/>
      <c r="J883" s="194"/>
      <c r="K883" s="194"/>
      <c r="L883" s="303"/>
      <c r="M883" s="43"/>
    </row>
    <row r="884" spans="1:13" x14ac:dyDescent="0.25">
      <c r="A884" s="284">
        <v>0</v>
      </c>
      <c r="B884" s="315">
        <v>0.91666666666666663</v>
      </c>
      <c r="C884" s="325"/>
      <c r="D884" s="65"/>
      <c r="E884" s="65"/>
      <c r="F884" s="65"/>
      <c r="G884" s="65"/>
      <c r="H884" s="43"/>
      <c r="I884" s="194"/>
      <c r="J884" s="194"/>
      <c r="K884" s="194"/>
      <c r="L884" s="303"/>
      <c r="M884" s="43"/>
    </row>
    <row r="885" spans="1:13" x14ac:dyDescent="0.25">
      <c r="A885" s="265">
        <f>SUM(A869:A884)</f>
        <v>18119</v>
      </c>
      <c r="B885" s="316">
        <v>0.94791666666666663</v>
      </c>
      <c r="C885" s="43"/>
      <c r="D885" s="65"/>
      <c r="E885" s="65"/>
      <c r="F885" s="65"/>
      <c r="G885" s="65"/>
      <c r="H885" s="43"/>
      <c r="I885" s="194"/>
      <c r="J885" s="194"/>
      <c r="K885" s="194"/>
      <c r="L885" s="303"/>
      <c r="M885" s="43"/>
    </row>
    <row r="886" spans="1:13" ht="47.25" x14ac:dyDescent="0.25">
      <c r="A886" s="281">
        <f>A868+1</f>
        <v>44631</v>
      </c>
      <c r="B886" s="317" t="s">
        <v>54</v>
      </c>
      <c r="C886" s="87" t="s">
        <v>1604</v>
      </c>
      <c r="D886" s="65"/>
      <c r="E886" s="65"/>
      <c r="F886" s="65">
        <v>8</v>
      </c>
      <c r="G886" s="82"/>
      <c r="H886" s="55" t="s">
        <v>1605</v>
      </c>
      <c r="I886" s="84">
        <v>60</v>
      </c>
      <c r="J886" s="84" t="s">
        <v>85</v>
      </c>
      <c r="K886" s="84" t="s">
        <v>1606</v>
      </c>
      <c r="L886" s="136">
        <v>44629</v>
      </c>
      <c r="M886" s="283">
        <v>0</v>
      </c>
    </row>
    <row r="887" spans="1:13" ht="31.5" x14ac:dyDescent="0.25">
      <c r="A887" s="284">
        <v>21000</v>
      </c>
      <c r="B887" s="314" t="s">
        <v>57</v>
      </c>
      <c r="C887" s="43"/>
      <c r="D887" s="65"/>
      <c r="E887" s="65"/>
      <c r="F887" s="65">
        <v>9</v>
      </c>
      <c r="G887" s="65"/>
      <c r="H887" s="55" t="s">
        <v>1607</v>
      </c>
      <c r="I887" s="84"/>
      <c r="J887" s="84"/>
      <c r="K887" s="84"/>
      <c r="L887" s="130" t="s">
        <v>1592</v>
      </c>
      <c r="M887" s="283">
        <v>0</v>
      </c>
    </row>
    <row r="888" spans="1:13" x14ac:dyDescent="0.25">
      <c r="A888" s="284">
        <v>0</v>
      </c>
      <c r="B888" s="314" t="s">
        <v>58</v>
      </c>
      <c r="C888" s="43"/>
      <c r="D888" s="65"/>
      <c r="E888" s="65"/>
      <c r="F888" s="65">
        <v>10</v>
      </c>
      <c r="G888" s="82"/>
      <c r="H888" s="43"/>
      <c r="I888" s="84"/>
      <c r="J888" s="84"/>
      <c r="K888" s="84"/>
      <c r="L888" s="84"/>
      <c r="M888" s="283">
        <v>0</v>
      </c>
    </row>
    <row r="889" spans="1:13" ht="47.25" x14ac:dyDescent="0.25">
      <c r="A889" s="284">
        <v>0</v>
      </c>
      <c r="B889" s="314" t="s">
        <v>59</v>
      </c>
      <c r="C889" s="43"/>
      <c r="D889" s="65"/>
      <c r="E889" s="65"/>
      <c r="F889" s="65">
        <v>11</v>
      </c>
      <c r="G889" s="82"/>
      <c r="H889" s="55" t="s">
        <v>1608</v>
      </c>
      <c r="I889" s="84">
        <v>60</v>
      </c>
      <c r="J889" s="84" t="s">
        <v>248</v>
      </c>
      <c r="K889" s="84" t="s">
        <v>1609</v>
      </c>
      <c r="L889" s="313">
        <v>44629</v>
      </c>
      <c r="M889" s="283">
        <v>0</v>
      </c>
    </row>
    <row r="890" spans="1:13" x14ac:dyDescent="0.25">
      <c r="A890" s="284">
        <v>0</v>
      </c>
      <c r="B890" s="314" t="s">
        <v>60</v>
      </c>
      <c r="C890" s="43"/>
      <c r="D890" s="65"/>
      <c r="E890" s="65"/>
      <c r="F890" s="65">
        <v>12</v>
      </c>
      <c r="G890" s="82"/>
      <c r="H890" s="55" t="s">
        <v>1610</v>
      </c>
      <c r="I890" s="57"/>
      <c r="J890" s="57"/>
      <c r="K890" s="57"/>
      <c r="L890" s="178" t="s">
        <v>1592</v>
      </c>
      <c r="M890" s="283">
        <v>0</v>
      </c>
    </row>
    <row r="891" spans="1:13" ht="63" x14ac:dyDescent="0.25">
      <c r="A891" s="284">
        <v>0</v>
      </c>
      <c r="B891" s="314" t="s">
        <v>61</v>
      </c>
      <c r="C891" s="43"/>
      <c r="D891" s="65"/>
      <c r="E891" s="65"/>
      <c r="F891" s="65">
        <v>13</v>
      </c>
      <c r="G891" s="82"/>
      <c r="H891" s="55" t="s">
        <v>1611</v>
      </c>
      <c r="I891" s="56">
        <v>30</v>
      </c>
      <c r="J891" s="57" t="s">
        <v>1153</v>
      </c>
      <c r="K891" s="57" t="s">
        <v>1612</v>
      </c>
      <c r="L891" s="57" t="s">
        <v>1613</v>
      </c>
      <c r="M891" s="283">
        <v>0</v>
      </c>
    </row>
    <row r="892" spans="1:13" ht="31.5" x14ac:dyDescent="0.25">
      <c r="A892" s="284">
        <v>0</v>
      </c>
      <c r="B892" s="314" t="s">
        <v>62</v>
      </c>
      <c r="C892" s="43"/>
      <c r="D892" s="65"/>
      <c r="E892" s="65"/>
      <c r="F892" s="65">
        <v>14</v>
      </c>
      <c r="G892" s="82"/>
      <c r="H892" s="55" t="s">
        <v>1614</v>
      </c>
      <c r="I892" s="57"/>
      <c r="J892" s="57"/>
      <c r="K892" s="57"/>
      <c r="L892" s="57"/>
      <c r="M892" s="283">
        <v>0</v>
      </c>
    </row>
    <row r="893" spans="1:13" x14ac:dyDescent="0.25">
      <c r="A893" s="284">
        <v>0</v>
      </c>
      <c r="B893" s="314" t="s">
        <v>63</v>
      </c>
      <c r="C893" s="43"/>
      <c r="D893" s="65"/>
      <c r="E893" s="65"/>
      <c r="F893" s="65">
        <v>15</v>
      </c>
      <c r="G893" s="178"/>
      <c r="H893" s="43"/>
      <c r="I893" s="65"/>
      <c r="J893" s="65"/>
      <c r="K893" s="65"/>
      <c r="L893" s="82"/>
      <c r="M893" s="283">
        <v>0</v>
      </c>
    </row>
    <row r="894" spans="1:13" x14ac:dyDescent="0.25">
      <c r="A894" s="284">
        <v>0</v>
      </c>
      <c r="B894" s="314" t="s">
        <v>64</v>
      </c>
      <c r="C894" s="43"/>
      <c r="D894" s="65"/>
      <c r="E894" s="65"/>
      <c r="F894" s="65">
        <v>16</v>
      </c>
      <c r="G894" s="82"/>
      <c r="H894" s="43"/>
      <c r="I894" s="194"/>
      <c r="J894" s="194"/>
      <c r="K894" s="194"/>
      <c r="L894" s="194"/>
      <c r="M894" s="283">
        <v>0</v>
      </c>
    </row>
    <row r="895" spans="1:13" x14ac:dyDescent="0.25">
      <c r="A895" s="284">
        <v>0</v>
      </c>
      <c r="B895" s="314" t="s">
        <v>65</v>
      </c>
      <c r="C895" s="43"/>
      <c r="D895" s="65"/>
      <c r="E895" s="65"/>
      <c r="F895" s="65">
        <v>17</v>
      </c>
      <c r="G895" s="82"/>
      <c r="H895" s="43"/>
      <c r="I895" s="194"/>
      <c r="J895" s="194"/>
      <c r="K895" s="194"/>
      <c r="L895" s="194"/>
      <c r="M895" s="8">
        <f>SUM(M886:M894)</f>
        <v>0</v>
      </c>
    </row>
    <row r="896" spans="1:13" x14ac:dyDescent="0.25">
      <c r="A896" s="284">
        <v>0</v>
      </c>
      <c r="B896" s="314" t="s">
        <v>66</v>
      </c>
      <c r="C896" s="43"/>
      <c r="D896" s="65"/>
      <c r="E896" s="65"/>
      <c r="F896" s="65">
        <v>18</v>
      </c>
      <c r="G896" s="82"/>
      <c r="H896" s="43"/>
      <c r="I896" s="194"/>
      <c r="J896" s="194"/>
      <c r="K896" s="194"/>
      <c r="L896" s="194"/>
      <c r="M896" s="43"/>
    </row>
    <row r="897" spans="1:13" x14ac:dyDescent="0.25">
      <c r="A897" s="284">
        <v>0</v>
      </c>
      <c r="B897" s="314" t="s">
        <v>67</v>
      </c>
      <c r="C897" s="43"/>
      <c r="D897" s="65"/>
      <c r="E897" s="65"/>
      <c r="F897" s="65">
        <v>19</v>
      </c>
      <c r="G897" s="82"/>
      <c r="H897" s="43"/>
      <c r="I897" s="194"/>
      <c r="J897" s="194"/>
      <c r="K897" s="194"/>
      <c r="L897" s="303"/>
      <c r="M897" s="43"/>
    </row>
    <row r="898" spans="1:13" x14ac:dyDescent="0.25">
      <c r="A898" s="284">
        <v>0</v>
      </c>
      <c r="B898" s="314" t="s">
        <v>68</v>
      </c>
      <c r="C898" s="43"/>
      <c r="D898" s="65"/>
      <c r="E898" s="65"/>
      <c r="F898" s="65">
        <v>20</v>
      </c>
      <c r="G898" s="82"/>
      <c r="H898" s="43"/>
      <c r="I898" s="194"/>
      <c r="J898" s="194"/>
      <c r="K898" s="194"/>
      <c r="L898" s="303"/>
      <c r="M898" s="43"/>
    </row>
    <row r="899" spans="1:13" x14ac:dyDescent="0.25">
      <c r="A899" s="284">
        <v>0</v>
      </c>
      <c r="B899" s="315">
        <v>0.79166666666666663</v>
      </c>
      <c r="C899" s="43"/>
      <c r="D899" s="65"/>
      <c r="E899" s="65"/>
      <c r="F899" s="65">
        <v>21</v>
      </c>
      <c r="G899" s="82"/>
      <c r="H899" s="43"/>
      <c r="I899" s="194"/>
      <c r="J899" s="194"/>
      <c r="K899" s="194"/>
      <c r="L899" s="303"/>
      <c r="M899" s="43"/>
    </row>
    <row r="900" spans="1:13" x14ac:dyDescent="0.25">
      <c r="A900" s="284">
        <v>0</v>
      </c>
      <c r="B900" s="315">
        <v>0.83333333333333337</v>
      </c>
      <c r="C900" s="43"/>
      <c r="D900" s="65"/>
      <c r="E900" s="65"/>
      <c r="F900" s="65"/>
      <c r="G900" s="65"/>
      <c r="H900" s="43"/>
      <c r="I900" s="194"/>
      <c r="J900" s="194"/>
      <c r="K900" s="194"/>
      <c r="L900" s="303"/>
      <c r="M900" s="43"/>
    </row>
    <row r="901" spans="1:13" x14ac:dyDescent="0.25">
      <c r="A901" s="284">
        <v>0</v>
      </c>
      <c r="B901" s="315">
        <v>0.875</v>
      </c>
      <c r="C901" s="43"/>
      <c r="D901" s="65"/>
      <c r="E901" s="65"/>
      <c r="F901" s="65"/>
      <c r="G901" s="65"/>
      <c r="H901" s="43"/>
      <c r="I901" s="194"/>
      <c r="J901" s="194"/>
      <c r="K901" s="194"/>
      <c r="L901" s="303"/>
      <c r="M901" s="43"/>
    </row>
    <row r="902" spans="1:13" x14ac:dyDescent="0.25">
      <c r="A902" s="284">
        <v>0</v>
      </c>
      <c r="B902" s="315">
        <v>0.91666666666666663</v>
      </c>
      <c r="C902" s="43"/>
      <c r="D902" s="65"/>
      <c r="E902" s="65"/>
      <c r="F902" s="65"/>
      <c r="G902" s="65"/>
      <c r="H902" s="43"/>
      <c r="I902" s="194"/>
      <c r="J902" s="194"/>
      <c r="K902" s="194"/>
      <c r="L902" s="303"/>
      <c r="M902" s="43"/>
    </row>
    <row r="903" spans="1:13" x14ac:dyDescent="0.25">
      <c r="A903" s="265">
        <f>SUM(A887:A902)</f>
        <v>21000</v>
      </c>
      <c r="B903" s="316">
        <v>0.94791666666666663</v>
      </c>
      <c r="C903" s="325"/>
      <c r="D903" s="65"/>
      <c r="E903" s="65"/>
      <c r="F903" s="65"/>
      <c r="G903" s="65"/>
      <c r="H903" s="43"/>
      <c r="I903" s="194"/>
      <c r="J903" s="194"/>
      <c r="K903" s="194"/>
      <c r="L903" s="303"/>
      <c r="M903" s="43"/>
    </row>
    <row r="904" spans="1:13" ht="63" x14ac:dyDescent="0.25">
      <c r="A904" s="281">
        <f>A886+3</f>
        <v>44634</v>
      </c>
      <c r="B904" s="296" t="s">
        <v>54</v>
      </c>
      <c r="C904" s="325"/>
      <c r="D904" s="311" t="s">
        <v>1615</v>
      </c>
      <c r="E904" s="65"/>
      <c r="F904" s="65"/>
      <c r="G904" s="65"/>
      <c r="H904" s="55" t="s">
        <v>1616</v>
      </c>
      <c r="I904" s="57">
        <v>60</v>
      </c>
      <c r="J904" s="57" t="s">
        <v>1617</v>
      </c>
      <c r="K904" s="57" t="s">
        <v>1618</v>
      </c>
      <c r="L904" s="125">
        <v>44629</v>
      </c>
      <c r="M904" s="283">
        <v>8000</v>
      </c>
    </row>
    <row r="905" spans="1:13" x14ac:dyDescent="0.25">
      <c r="A905" s="284">
        <v>0</v>
      </c>
      <c r="B905" s="314" t="s">
        <v>57</v>
      </c>
      <c r="C905" s="325"/>
      <c r="D905" s="326" t="s">
        <v>1619</v>
      </c>
      <c r="E905" s="194"/>
      <c r="F905" s="194"/>
      <c r="G905" s="194"/>
      <c r="H905" s="55"/>
      <c r="I905" s="86"/>
      <c r="J905" s="84"/>
      <c r="K905" s="84">
        <v>2</v>
      </c>
      <c r="L905" s="84" t="s">
        <v>946</v>
      </c>
      <c r="M905" s="283">
        <v>0</v>
      </c>
    </row>
    <row r="906" spans="1:13" x14ac:dyDescent="0.25">
      <c r="A906" s="284">
        <v>0</v>
      </c>
      <c r="B906" s="314" t="s">
        <v>58</v>
      </c>
      <c r="C906" s="325"/>
      <c r="D906" s="194"/>
      <c r="E906" s="194"/>
      <c r="F906" s="194"/>
      <c r="G906" s="194"/>
      <c r="H906" s="43"/>
      <c r="I906" s="86"/>
      <c r="J906" s="86"/>
      <c r="K906" s="86">
        <v>3</v>
      </c>
      <c r="L906" s="86"/>
      <c r="M906" s="283">
        <v>0</v>
      </c>
    </row>
    <row r="907" spans="1:13" x14ac:dyDescent="0.25">
      <c r="A907" s="284">
        <v>0</v>
      </c>
      <c r="B907" s="314" t="s">
        <v>59</v>
      </c>
      <c r="C907" s="325"/>
      <c r="D907" s="194"/>
      <c r="E907" s="194"/>
      <c r="F907" s="194"/>
      <c r="G907" s="194"/>
      <c r="H907" s="43"/>
      <c r="I907" s="86"/>
      <c r="J907" s="86"/>
      <c r="K907" s="86">
        <v>4</v>
      </c>
      <c r="L907" s="86"/>
      <c r="M907" s="283">
        <v>0</v>
      </c>
    </row>
    <row r="908" spans="1:13" x14ac:dyDescent="0.25">
      <c r="A908" s="284">
        <v>0</v>
      </c>
      <c r="B908" s="314" t="s">
        <v>60</v>
      </c>
      <c r="C908" s="325"/>
      <c r="D908" s="194"/>
      <c r="E908" s="194"/>
      <c r="F908" s="194"/>
      <c r="G908" s="194"/>
      <c r="H908" s="43"/>
      <c r="I908" s="86"/>
      <c r="J908" s="86"/>
      <c r="K908" s="86">
        <v>5</v>
      </c>
      <c r="L908" s="86"/>
      <c r="M908" s="283">
        <v>0</v>
      </c>
    </row>
    <row r="909" spans="1:13" x14ac:dyDescent="0.25">
      <c r="A909" s="284">
        <v>0</v>
      </c>
      <c r="B909" s="314" t="s">
        <v>61</v>
      </c>
      <c r="C909" s="325"/>
      <c r="D909" s="194"/>
      <c r="E909" s="194"/>
      <c r="F909" s="194"/>
      <c r="G909" s="194"/>
      <c r="H909" s="43"/>
      <c r="I909" s="86"/>
      <c r="J909" s="86"/>
      <c r="K909" s="86">
        <v>6</v>
      </c>
      <c r="L909" s="86"/>
      <c r="M909" s="283">
        <v>0</v>
      </c>
    </row>
    <row r="910" spans="1:13" x14ac:dyDescent="0.25">
      <c r="A910" s="284">
        <v>0</v>
      </c>
      <c r="B910" s="314" t="s">
        <v>62</v>
      </c>
      <c r="C910" s="325"/>
      <c r="D910" s="326" t="s">
        <v>1615</v>
      </c>
      <c r="E910" s="194"/>
      <c r="F910" s="194"/>
      <c r="G910" s="194"/>
      <c r="H910" s="43"/>
      <c r="I910" s="86"/>
      <c r="J910" s="86"/>
      <c r="K910" s="86">
        <v>7</v>
      </c>
      <c r="L910" s="86"/>
      <c r="M910" s="283">
        <v>0</v>
      </c>
    </row>
    <row r="911" spans="1:13" x14ac:dyDescent="0.25">
      <c r="A911" s="284">
        <v>0</v>
      </c>
      <c r="B911" s="314" t="s">
        <v>63</v>
      </c>
      <c r="C911" s="325"/>
      <c r="D911" s="326" t="s">
        <v>1619</v>
      </c>
      <c r="E911" s="194"/>
      <c r="F911" s="194"/>
      <c r="G911" s="194"/>
      <c r="H911" s="43"/>
      <c r="I911" s="86"/>
      <c r="J911" s="86"/>
      <c r="K911" s="86"/>
      <c r="L911" s="86"/>
      <c r="M911" s="283">
        <v>0</v>
      </c>
    </row>
    <row r="912" spans="1:13" x14ac:dyDescent="0.25">
      <c r="A912" s="284">
        <v>0</v>
      </c>
      <c r="B912" s="314" t="s">
        <v>64</v>
      </c>
      <c r="C912" s="325"/>
      <c r="D912" s="194"/>
      <c r="E912" s="194"/>
      <c r="F912" s="194"/>
      <c r="G912" s="194"/>
      <c r="H912" s="43"/>
      <c r="I912" s="86"/>
      <c r="J912" s="86"/>
      <c r="K912" s="86"/>
      <c r="L912" s="86"/>
      <c r="M912" s="283">
        <v>0</v>
      </c>
    </row>
    <row r="913" spans="1:13" x14ac:dyDescent="0.25">
      <c r="A913" s="284">
        <v>0</v>
      </c>
      <c r="B913" s="314" t="s">
        <v>65</v>
      </c>
      <c r="C913" s="325"/>
      <c r="D913" s="194"/>
      <c r="E913" s="194"/>
      <c r="F913" s="194"/>
      <c r="G913" s="194"/>
      <c r="H913" s="43"/>
      <c r="I913" s="86"/>
      <c r="J913" s="86"/>
      <c r="K913" s="86"/>
      <c r="L913" s="86"/>
      <c r="M913" s="283">
        <v>0</v>
      </c>
    </row>
    <row r="914" spans="1:13" x14ac:dyDescent="0.25">
      <c r="A914" s="284">
        <v>0</v>
      </c>
      <c r="B914" s="314" t="s">
        <v>66</v>
      </c>
      <c r="C914" s="325"/>
      <c r="D914" s="194"/>
      <c r="E914" s="194"/>
      <c r="F914" s="194"/>
      <c r="G914" s="194"/>
      <c r="H914" s="43"/>
      <c r="I914" s="86"/>
      <c r="J914" s="86"/>
      <c r="K914" s="86"/>
      <c r="L914" s="86"/>
      <c r="M914" s="283">
        <v>0</v>
      </c>
    </row>
    <row r="915" spans="1:13" x14ac:dyDescent="0.25">
      <c r="A915" s="284">
        <v>0</v>
      </c>
      <c r="B915" s="314" t="s">
        <v>67</v>
      </c>
      <c r="C915" s="325"/>
      <c r="D915" s="194"/>
      <c r="E915" s="194"/>
      <c r="F915" s="194"/>
      <c r="G915" s="194"/>
      <c r="H915" s="43"/>
      <c r="I915" s="86"/>
      <c r="J915" s="86"/>
      <c r="K915" s="86"/>
      <c r="L915" s="86"/>
      <c r="M915" s="283">
        <v>0</v>
      </c>
    </row>
    <row r="916" spans="1:13" x14ac:dyDescent="0.25">
      <c r="A916" s="284">
        <v>0</v>
      </c>
      <c r="B916" s="314" t="s">
        <v>68</v>
      </c>
      <c r="C916" s="325"/>
      <c r="D916" s="326" t="s">
        <v>1615</v>
      </c>
      <c r="E916" s="194"/>
      <c r="F916" s="194"/>
      <c r="G916" s="194"/>
      <c r="H916" s="43"/>
      <c r="I916" s="86"/>
      <c r="J916" s="86"/>
      <c r="K916" s="86"/>
      <c r="L916" s="86"/>
      <c r="M916" s="283">
        <v>0</v>
      </c>
    </row>
    <row r="917" spans="1:13" x14ac:dyDescent="0.25">
      <c r="A917" s="284">
        <v>0</v>
      </c>
      <c r="B917" s="315">
        <v>0.79166666666666663</v>
      </c>
      <c r="C917" s="325"/>
      <c r="D917" s="326" t="s">
        <v>1619</v>
      </c>
      <c r="E917" s="194"/>
      <c r="F917" s="194"/>
      <c r="G917" s="194"/>
      <c r="H917" s="43"/>
      <c r="I917" s="86"/>
      <c r="J917" s="86"/>
      <c r="K917" s="86"/>
      <c r="L917" s="86"/>
      <c r="M917" s="283">
        <v>0</v>
      </c>
    </row>
    <row r="918" spans="1:13" x14ac:dyDescent="0.25">
      <c r="A918" s="284">
        <v>0</v>
      </c>
      <c r="B918" s="315">
        <v>0.83333333333333337</v>
      </c>
      <c r="C918" s="325"/>
      <c r="D918" s="194"/>
      <c r="E918" s="194"/>
      <c r="F918" s="194"/>
      <c r="G918" s="194"/>
      <c r="H918" s="43"/>
      <c r="I918" s="194"/>
      <c r="J918" s="194"/>
      <c r="K918" s="194"/>
      <c r="L918" s="194"/>
      <c r="M918" s="283">
        <v>0</v>
      </c>
    </row>
    <row r="919" spans="1:13" x14ac:dyDescent="0.25">
      <c r="A919" s="284">
        <v>0</v>
      </c>
      <c r="B919" s="315">
        <v>0.875</v>
      </c>
      <c r="C919" s="325"/>
      <c r="D919" s="194"/>
      <c r="E919" s="194"/>
      <c r="F919" s="194"/>
      <c r="G919" s="194"/>
      <c r="H919" s="43"/>
      <c r="I919" s="194"/>
      <c r="J919" s="194"/>
      <c r="K919" s="194"/>
      <c r="L919" s="194"/>
      <c r="M919" s="283">
        <v>0</v>
      </c>
    </row>
    <row r="920" spans="1:13" x14ac:dyDescent="0.25">
      <c r="A920" s="284">
        <v>0</v>
      </c>
      <c r="B920" s="315">
        <v>0.91666666666666663</v>
      </c>
      <c r="C920" s="325"/>
      <c r="D920" s="194"/>
      <c r="E920" s="194"/>
      <c r="F920" s="194"/>
      <c r="G920" s="194"/>
      <c r="H920" s="43"/>
      <c r="I920" s="194"/>
      <c r="J920" s="194"/>
      <c r="K920" s="194"/>
      <c r="L920" s="194"/>
      <c r="M920" s="283">
        <v>0</v>
      </c>
    </row>
    <row r="921" spans="1:13" x14ac:dyDescent="0.25">
      <c r="A921" s="265">
        <f>SUM(A905:A920)</f>
        <v>0</v>
      </c>
      <c r="B921" s="316">
        <v>0.94791666666666663</v>
      </c>
      <c r="C921" s="325"/>
      <c r="D921" s="194"/>
      <c r="E921" s="194"/>
      <c r="F921" s="194"/>
      <c r="G921" s="194"/>
      <c r="H921" s="43"/>
      <c r="I921" s="194"/>
      <c r="J921" s="194"/>
      <c r="K921" s="194"/>
      <c r="L921" s="194"/>
      <c r="M921" s="8">
        <f>SUM(M904:M920)</f>
        <v>8000</v>
      </c>
    </row>
    <row r="922" spans="1:13" x14ac:dyDescent="0.25">
      <c r="A922" s="281">
        <f>A904+1</f>
        <v>44635</v>
      </c>
      <c r="B922" s="317" t="s">
        <v>54</v>
      </c>
      <c r="C922" s="43"/>
      <c r="D922" s="326" t="s">
        <v>1615</v>
      </c>
      <c r="E922" s="194"/>
      <c r="F922" s="194"/>
      <c r="G922" s="194"/>
      <c r="H922" s="43"/>
      <c r="I922" s="86"/>
      <c r="J922" s="86"/>
      <c r="K922" s="86"/>
      <c r="L922" s="86"/>
      <c r="M922" s="283">
        <v>3000</v>
      </c>
    </row>
    <row r="923" spans="1:13" x14ac:dyDescent="0.25">
      <c r="A923" s="284">
        <v>0</v>
      </c>
      <c r="B923" s="314" t="s">
        <v>57</v>
      </c>
      <c r="C923" s="43"/>
      <c r="D923" s="326" t="s">
        <v>1619</v>
      </c>
      <c r="E923" s="194"/>
      <c r="F923" s="194"/>
      <c r="G923" s="194"/>
      <c r="H923" s="43"/>
      <c r="I923" s="86"/>
      <c r="J923" s="86"/>
      <c r="K923" s="86"/>
      <c r="L923" s="86"/>
      <c r="M923" s="283">
        <v>0</v>
      </c>
    </row>
    <row r="924" spans="1:13" x14ac:dyDescent="0.25">
      <c r="A924" s="284">
        <v>0</v>
      </c>
      <c r="B924" s="314" t="s">
        <v>58</v>
      </c>
      <c r="C924" s="43"/>
      <c r="D924" s="194"/>
      <c r="E924" s="194"/>
      <c r="F924" s="194"/>
      <c r="G924" s="194"/>
      <c r="H924" s="43"/>
      <c r="I924" s="86"/>
      <c r="J924" s="86"/>
      <c r="K924" s="86"/>
      <c r="L924" s="86"/>
      <c r="M924" s="283">
        <v>0</v>
      </c>
    </row>
    <row r="925" spans="1:13" x14ac:dyDescent="0.25">
      <c r="A925" s="284">
        <v>0</v>
      </c>
      <c r="B925" s="314" t="s">
        <v>59</v>
      </c>
      <c r="C925" s="43"/>
      <c r="D925" s="194"/>
      <c r="E925" s="194"/>
      <c r="F925" s="194"/>
      <c r="G925" s="194"/>
      <c r="H925" s="43"/>
      <c r="I925" s="86"/>
      <c r="J925" s="86"/>
      <c r="K925" s="86"/>
      <c r="L925" s="86"/>
      <c r="M925" s="283">
        <v>0</v>
      </c>
    </row>
    <row r="926" spans="1:13" x14ac:dyDescent="0.25">
      <c r="A926" s="284">
        <v>0</v>
      </c>
      <c r="B926" s="314" t="s">
        <v>60</v>
      </c>
      <c r="C926" s="43"/>
      <c r="D926" s="194"/>
      <c r="E926" s="194"/>
      <c r="F926" s="194"/>
      <c r="G926" s="194"/>
      <c r="H926" s="43"/>
      <c r="I926" s="86"/>
      <c r="J926" s="86"/>
      <c r="K926" s="86"/>
      <c r="L926" s="86"/>
      <c r="M926" s="283">
        <v>0</v>
      </c>
    </row>
    <row r="927" spans="1:13" ht="47.25" x14ac:dyDescent="0.25">
      <c r="A927" s="284">
        <v>0</v>
      </c>
      <c r="B927" s="314" t="s">
        <v>61</v>
      </c>
      <c r="C927" s="43"/>
      <c r="D927" s="194"/>
      <c r="E927" s="194"/>
      <c r="F927" s="194"/>
      <c r="G927" s="194"/>
      <c r="H927" s="55" t="s">
        <v>1620</v>
      </c>
      <c r="I927" s="84">
        <v>54</v>
      </c>
      <c r="J927" s="84" t="s">
        <v>1124</v>
      </c>
      <c r="K927" s="84" t="s">
        <v>1621</v>
      </c>
      <c r="L927" s="136">
        <v>44596</v>
      </c>
      <c r="M927" s="283">
        <v>5000</v>
      </c>
    </row>
    <row r="928" spans="1:13" ht="47.25" x14ac:dyDescent="0.25">
      <c r="A928" s="284">
        <v>0</v>
      </c>
      <c r="B928" s="314" t="s">
        <v>62</v>
      </c>
      <c r="C928" s="43"/>
      <c r="D928" s="326" t="s">
        <v>1615</v>
      </c>
      <c r="E928" s="194"/>
      <c r="F928" s="194"/>
      <c r="G928" s="194"/>
      <c r="H928" s="43"/>
      <c r="I928" s="65"/>
      <c r="J928" s="65"/>
      <c r="K928" s="65">
        <v>2</v>
      </c>
      <c r="L928" s="57" t="s">
        <v>1622</v>
      </c>
      <c r="M928" s="283">
        <v>0</v>
      </c>
    </row>
    <row r="929" spans="1:13" x14ac:dyDescent="0.25">
      <c r="A929" s="284">
        <v>0</v>
      </c>
      <c r="B929" s="314" t="s">
        <v>63</v>
      </c>
      <c r="C929" s="43"/>
      <c r="D929" s="326" t="s">
        <v>1619</v>
      </c>
      <c r="E929" s="194"/>
      <c r="F929" s="194"/>
      <c r="G929" s="194"/>
      <c r="H929" s="43"/>
      <c r="I929" s="65"/>
      <c r="J929" s="65"/>
      <c r="K929" s="65">
        <v>3</v>
      </c>
      <c r="L929" s="82"/>
      <c r="M929" s="283">
        <v>0</v>
      </c>
    </row>
    <row r="930" spans="1:13" x14ac:dyDescent="0.25">
      <c r="A930" s="284">
        <v>0</v>
      </c>
      <c r="B930" s="314" t="s">
        <v>64</v>
      </c>
      <c r="C930" s="43"/>
      <c r="D930" s="194"/>
      <c r="E930" s="194"/>
      <c r="F930" s="194"/>
      <c r="G930" s="194"/>
      <c r="H930" s="43"/>
      <c r="I930" s="65"/>
      <c r="J930" s="65"/>
      <c r="K930" s="65">
        <v>4</v>
      </c>
      <c r="L930" s="82"/>
      <c r="M930" s="283">
        <v>0</v>
      </c>
    </row>
    <row r="931" spans="1:13" x14ac:dyDescent="0.25">
      <c r="A931" s="284">
        <v>0</v>
      </c>
      <c r="B931" s="314" t="s">
        <v>65</v>
      </c>
      <c r="C931" s="43"/>
      <c r="D931" s="194"/>
      <c r="E931" s="194"/>
      <c r="F931" s="194"/>
      <c r="G931" s="194"/>
      <c r="H931" s="43"/>
      <c r="I931" s="65"/>
      <c r="J931" s="65"/>
      <c r="K931" s="65">
        <v>5</v>
      </c>
      <c r="L931" s="65"/>
      <c r="M931" s="283">
        <v>0</v>
      </c>
    </row>
    <row r="932" spans="1:13" x14ac:dyDescent="0.25">
      <c r="A932" s="284">
        <v>0</v>
      </c>
      <c r="B932" s="314" t="s">
        <v>66</v>
      </c>
      <c r="C932" s="43"/>
      <c r="D932" s="194"/>
      <c r="E932" s="194"/>
      <c r="F932" s="194"/>
      <c r="G932" s="194"/>
      <c r="H932" s="43"/>
      <c r="I932" s="65"/>
      <c r="J932" s="65"/>
      <c r="K932" s="65"/>
      <c r="L932" s="65"/>
      <c r="M932" s="283">
        <v>0</v>
      </c>
    </row>
    <row r="933" spans="1:13" x14ac:dyDescent="0.25">
      <c r="A933" s="284">
        <v>0</v>
      </c>
      <c r="B933" s="314" t="s">
        <v>67</v>
      </c>
      <c r="C933" s="43"/>
      <c r="D933" s="194"/>
      <c r="E933" s="194"/>
      <c r="F933" s="194"/>
      <c r="G933" s="194"/>
      <c r="H933" s="43"/>
      <c r="I933" s="65"/>
      <c r="J933" s="65"/>
      <c r="K933" s="65"/>
      <c r="L933" s="65"/>
      <c r="M933" s="283">
        <v>0</v>
      </c>
    </row>
    <row r="934" spans="1:13" x14ac:dyDescent="0.25">
      <c r="A934" s="284">
        <v>0</v>
      </c>
      <c r="B934" s="314" t="s">
        <v>68</v>
      </c>
      <c r="C934" s="43"/>
      <c r="D934" s="326" t="s">
        <v>1615</v>
      </c>
      <c r="E934" s="194"/>
      <c r="F934" s="194"/>
      <c r="G934" s="194"/>
      <c r="H934" s="43"/>
      <c r="I934" s="65"/>
      <c r="J934" s="65"/>
      <c r="K934" s="65"/>
      <c r="L934" s="65"/>
      <c r="M934" s="283">
        <v>0</v>
      </c>
    </row>
    <row r="935" spans="1:13" x14ac:dyDescent="0.25">
      <c r="A935" s="284">
        <v>0</v>
      </c>
      <c r="B935" s="315">
        <v>0.79166666666666663</v>
      </c>
      <c r="C935" s="43"/>
      <c r="D935" s="326" t="s">
        <v>1619</v>
      </c>
      <c r="E935" s="194"/>
      <c r="F935" s="194"/>
      <c r="G935" s="194"/>
      <c r="H935" s="43"/>
      <c r="I935" s="65"/>
      <c r="J935" s="65"/>
      <c r="K935" s="65"/>
      <c r="L935" s="65"/>
      <c r="M935" s="283">
        <v>0</v>
      </c>
    </row>
    <row r="936" spans="1:13" x14ac:dyDescent="0.25">
      <c r="A936" s="284">
        <v>0</v>
      </c>
      <c r="B936" s="315">
        <v>0.83333333333333337</v>
      </c>
      <c r="C936" s="43"/>
      <c r="D936" s="194"/>
      <c r="E936" s="194"/>
      <c r="F936" s="194"/>
      <c r="G936" s="194"/>
      <c r="H936" s="43"/>
      <c r="I936" s="65"/>
      <c r="J936" s="65"/>
      <c r="K936" s="65"/>
      <c r="L936" s="65"/>
      <c r="M936" s="283">
        <v>0</v>
      </c>
    </row>
    <row r="937" spans="1:13" x14ac:dyDescent="0.25">
      <c r="A937" s="284">
        <v>0</v>
      </c>
      <c r="B937" s="315">
        <v>0.875</v>
      </c>
      <c r="C937" s="325"/>
      <c r="D937" s="194"/>
      <c r="E937" s="194"/>
      <c r="F937" s="194"/>
      <c r="G937" s="194"/>
      <c r="H937" s="43"/>
      <c r="I937" s="194"/>
      <c r="J937" s="194"/>
      <c r="K937" s="194"/>
      <c r="L937" s="194"/>
      <c r="M937" s="283">
        <v>0</v>
      </c>
    </row>
    <row r="938" spans="1:13" x14ac:dyDescent="0.25">
      <c r="A938" s="284">
        <v>0</v>
      </c>
      <c r="B938" s="315">
        <v>0.91666666666666663</v>
      </c>
      <c r="C938" s="325"/>
      <c r="D938" s="194"/>
      <c r="E938" s="194"/>
      <c r="F938" s="194"/>
      <c r="G938" s="194"/>
      <c r="H938" s="43"/>
      <c r="I938" s="194"/>
      <c r="J938" s="194"/>
      <c r="K938" s="194"/>
      <c r="L938" s="194"/>
      <c r="M938" s="283">
        <v>0</v>
      </c>
    </row>
    <row r="939" spans="1:13" x14ac:dyDescent="0.25">
      <c r="A939" s="265">
        <f>SUM(A923:A938)</f>
        <v>0</v>
      </c>
      <c r="B939" s="316">
        <v>0.94791666666666663</v>
      </c>
      <c r="C939" s="325"/>
      <c r="D939" s="194"/>
      <c r="E939" s="194"/>
      <c r="F939" s="194"/>
      <c r="G939" s="194"/>
      <c r="H939" s="43"/>
      <c r="I939" s="194"/>
      <c r="J939" s="194"/>
      <c r="K939" s="194"/>
      <c r="L939" s="194"/>
      <c r="M939" s="8">
        <f>SUM(M922:M938)</f>
        <v>8000</v>
      </c>
    </row>
    <row r="940" spans="1:13" x14ac:dyDescent="0.25">
      <c r="A940" s="281">
        <f>A922+1</f>
        <v>44636</v>
      </c>
      <c r="B940" s="317" t="s">
        <v>54</v>
      </c>
      <c r="C940" s="325"/>
      <c r="D940" s="326" t="s">
        <v>1615</v>
      </c>
      <c r="E940" s="194"/>
      <c r="F940" s="194"/>
      <c r="G940" s="194"/>
      <c r="H940" s="43"/>
      <c r="I940" s="65"/>
      <c r="J940" s="65"/>
      <c r="K940" s="65"/>
      <c r="L940" s="65"/>
      <c r="M940" s="283">
        <v>6318</v>
      </c>
    </row>
    <row r="941" spans="1:13" x14ac:dyDescent="0.25">
      <c r="A941" s="284">
        <v>0</v>
      </c>
      <c r="B941" s="314" t="s">
        <v>57</v>
      </c>
      <c r="C941" s="325"/>
      <c r="D941" s="326" t="s">
        <v>1619</v>
      </c>
      <c r="E941" s="194"/>
      <c r="F941" s="194"/>
      <c r="G941" s="194"/>
      <c r="H941" s="43"/>
      <c r="I941" s="65"/>
      <c r="J941" s="65"/>
      <c r="K941" s="65"/>
      <c r="L941" s="65"/>
      <c r="M941" s="283">
        <v>0</v>
      </c>
    </row>
    <row r="942" spans="1:13" x14ac:dyDescent="0.25">
      <c r="A942" s="284">
        <v>0</v>
      </c>
      <c r="B942" s="314" t="s">
        <v>58</v>
      </c>
      <c r="C942" s="325"/>
      <c r="D942" s="194"/>
      <c r="E942" s="194"/>
      <c r="F942" s="194"/>
      <c r="G942" s="194"/>
      <c r="H942" s="43"/>
      <c r="I942" s="65"/>
      <c r="J942" s="65"/>
      <c r="K942" s="65"/>
      <c r="L942" s="65"/>
      <c r="M942" s="283">
        <v>0</v>
      </c>
    </row>
    <row r="943" spans="1:13" x14ac:dyDescent="0.25">
      <c r="A943" s="284">
        <v>0</v>
      </c>
      <c r="B943" s="314" t="s">
        <v>59</v>
      </c>
      <c r="C943" s="325"/>
      <c r="D943" s="194"/>
      <c r="E943" s="194"/>
      <c r="F943" s="194"/>
      <c r="G943" s="194"/>
      <c r="H943" s="43"/>
      <c r="I943" s="65"/>
      <c r="J943" s="65"/>
      <c r="K943" s="65"/>
      <c r="L943" s="65"/>
      <c r="M943" s="283">
        <v>0</v>
      </c>
    </row>
    <row r="944" spans="1:13" x14ac:dyDescent="0.25">
      <c r="A944" s="284">
        <v>0</v>
      </c>
      <c r="B944" s="314" t="s">
        <v>60</v>
      </c>
      <c r="C944" s="325"/>
      <c r="D944" s="194"/>
      <c r="E944" s="194"/>
      <c r="F944" s="194"/>
      <c r="G944" s="194"/>
      <c r="H944" s="43"/>
      <c r="I944" s="65"/>
      <c r="J944" s="65"/>
      <c r="K944" s="65"/>
      <c r="L944" s="65"/>
      <c r="M944" s="283">
        <v>0</v>
      </c>
    </row>
    <row r="945" spans="1:13" x14ac:dyDescent="0.25">
      <c r="A945" s="284">
        <v>0</v>
      </c>
      <c r="B945" s="314" t="s">
        <v>61</v>
      </c>
      <c r="C945" s="325"/>
      <c r="D945" s="194"/>
      <c r="E945" s="194"/>
      <c r="F945" s="194"/>
      <c r="G945" s="194"/>
      <c r="H945" s="43"/>
      <c r="I945" s="65"/>
      <c r="J945" s="65"/>
      <c r="K945" s="65"/>
      <c r="L945" s="65"/>
      <c r="M945" s="283">
        <v>0</v>
      </c>
    </row>
    <row r="946" spans="1:13" x14ac:dyDescent="0.25">
      <c r="A946" s="284">
        <v>0</v>
      </c>
      <c r="B946" s="314" t="s">
        <v>62</v>
      </c>
      <c r="C946" s="325"/>
      <c r="D946" s="326" t="s">
        <v>1615</v>
      </c>
      <c r="E946" s="194"/>
      <c r="F946" s="194"/>
      <c r="G946" s="194"/>
      <c r="H946" s="43"/>
      <c r="I946" s="65"/>
      <c r="J946" s="65"/>
      <c r="K946" s="65"/>
      <c r="L946" s="65"/>
      <c r="M946" s="283">
        <v>0</v>
      </c>
    </row>
    <row r="947" spans="1:13" x14ac:dyDescent="0.25">
      <c r="A947" s="284">
        <v>0</v>
      </c>
      <c r="B947" s="314" t="s">
        <v>63</v>
      </c>
      <c r="C947" s="325"/>
      <c r="D947" s="326" t="s">
        <v>1619</v>
      </c>
      <c r="E947" s="194"/>
      <c r="F947" s="194"/>
      <c r="G947" s="194"/>
      <c r="H947" s="43"/>
      <c r="I947" s="65"/>
      <c r="J947" s="65"/>
      <c r="K947" s="65"/>
      <c r="L947" s="65"/>
      <c r="M947" s="283">
        <v>1503</v>
      </c>
    </row>
    <row r="948" spans="1:13" ht="31.5" x14ac:dyDescent="0.25">
      <c r="A948" s="284">
        <v>0</v>
      </c>
      <c r="B948" s="314" t="s">
        <v>64</v>
      </c>
      <c r="C948" s="325"/>
      <c r="D948" s="194"/>
      <c r="E948" s="194"/>
      <c r="F948" s="194"/>
      <c r="G948" s="194"/>
      <c r="H948" s="55" t="s">
        <v>1623</v>
      </c>
      <c r="I948" s="57">
        <v>48</v>
      </c>
      <c r="J948" s="57" t="s">
        <v>215</v>
      </c>
      <c r="K948" s="57" t="s">
        <v>1624</v>
      </c>
      <c r="L948" s="125">
        <v>44630</v>
      </c>
      <c r="M948" s="283">
        <v>0</v>
      </c>
    </row>
    <row r="949" spans="1:13" ht="31.5" x14ac:dyDescent="0.25">
      <c r="A949" s="284">
        <v>0</v>
      </c>
      <c r="B949" s="314" t="s">
        <v>65</v>
      </c>
      <c r="C949" s="325"/>
      <c r="D949" s="194"/>
      <c r="E949" s="194"/>
      <c r="F949" s="194"/>
      <c r="G949" s="194"/>
      <c r="H949" s="55" t="s">
        <v>1625</v>
      </c>
      <c r="I949" s="57"/>
      <c r="J949" s="57"/>
      <c r="K949" s="57">
        <v>2</v>
      </c>
      <c r="L949" s="178" t="s">
        <v>1574</v>
      </c>
      <c r="M949" s="283">
        <v>0</v>
      </c>
    </row>
    <row r="950" spans="1:13" x14ac:dyDescent="0.25">
      <c r="A950" s="284">
        <v>0</v>
      </c>
      <c r="B950" s="314" t="s">
        <v>66</v>
      </c>
      <c r="C950" s="325"/>
      <c r="D950" s="194"/>
      <c r="E950" s="194"/>
      <c r="F950" s="194"/>
      <c r="G950" s="194"/>
      <c r="H950" s="43"/>
      <c r="I950" s="65"/>
      <c r="J950" s="65"/>
      <c r="K950" s="65">
        <v>3</v>
      </c>
      <c r="L950" s="65"/>
      <c r="M950" s="283">
        <v>2500</v>
      </c>
    </row>
    <row r="951" spans="1:13" x14ac:dyDescent="0.25">
      <c r="A951" s="284">
        <v>0</v>
      </c>
      <c r="B951" s="314" t="s">
        <v>67</v>
      </c>
      <c r="C951" s="325"/>
      <c r="D951" s="194"/>
      <c r="E951" s="194"/>
      <c r="F951" s="194"/>
      <c r="G951" s="194"/>
      <c r="H951" s="43"/>
      <c r="I951" s="65"/>
      <c r="J951" s="65"/>
      <c r="K951" s="65">
        <v>4</v>
      </c>
      <c r="L951" s="65"/>
      <c r="M951" s="283">
        <v>0</v>
      </c>
    </row>
    <row r="952" spans="1:13" x14ac:dyDescent="0.25">
      <c r="A952" s="284">
        <v>0</v>
      </c>
      <c r="B952" s="314" t="s">
        <v>68</v>
      </c>
      <c r="C952" s="325"/>
      <c r="D952" s="326" t="s">
        <v>1615</v>
      </c>
      <c r="E952" s="194"/>
      <c r="F952" s="194"/>
      <c r="G952" s="194"/>
      <c r="H952" s="43"/>
      <c r="I952" s="65"/>
      <c r="J952" s="65"/>
      <c r="K952" s="65">
        <v>5</v>
      </c>
      <c r="L952" s="65"/>
      <c r="M952" s="283">
        <v>0</v>
      </c>
    </row>
    <row r="953" spans="1:13" x14ac:dyDescent="0.25">
      <c r="A953" s="284">
        <v>0</v>
      </c>
      <c r="B953" s="315">
        <v>0.79166666666666663</v>
      </c>
      <c r="C953" s="325"/>
      <c r="D953" s="326" t="s">
        <v>1619</v>
      </c>
      <c r="E953" s="194"/>
      <c r="F953" s="194"/>
      <c r="G953" s="194"/>
      <c r="H953" s="43"/>
      <c r="I953" s="65"/>
      <c r="J953" s="65"/>
      <c r="K953" s="65">
        <v>6</v>
      </c>
      <c r="L953" s="65"/>
      <c r="M953" s="283">
        <v>0</v>
      </c>
    </row>
    <row r="954" spans="1:13" x14ac:dyDescent="0.25">
      <c r="A954" s="284">
        <v>0</v>
      </c>
      <c r="B954" s="315">
        <v>0.83333333333333337</v>
      </c>
      <c r="C954" s="325"/>
      <c r="D954" s="194"/>
      <c r="E954" s="194"/>
      <c r="F954" s="194"/>
      <c r="G954" s="194"/>
      <c r="H954" s="43"/>
      <c r="I954" s="65"/>
      <c r="J954" s="65"/>
      <c r="K954" s="65">
        <v>7</v>
      </c>
      <c r="L954" s="65"/>
      <c r="M954" s="283">
        <v>0</v>
      </c>
    </row>
    <row r="955" spans="1:13" x14ac:dyDescent="0.25">
      <c r="A955" s="284">
        <v>0</v>
      </c>
      <c r="B955" s="315">
        <v>0.875</v>
      </c>
      <c r="C955" s="325"/>
      <c r="D955" s="194"/>
      <c r="E955" s="194"/>
      <c r="F955" s="194"/>
      <c r="G955" s="194"/>
      <c r="H955" s="43"/>
      <c r="I955" s="194"/>
      <c r="J955" s="194"/>
      <c r="K955" s="194"/>
      <c r="L955" s="194"/>
      <c r="M955" s="283">
        <v>0</v>
      </c>
    </row>
    <row r="956" spans="1:13" x14ac:dyDescent="0.25">
      <c r="A956" s="284">
        <v>0</v>
      </c>
      <c r="B956" s="315">
        <v>0.91666666666666663</v>
      </c>
      <c r="C956" s="325"/>
      <c r="D956" s="194"/>
      <c r="E956" s="194"/>
      <c r="F956" s="194"/>
      <c r="G956" s="194"/>
      <c r="H956" s="43"/>
      <c r="I956" s="194"/>
      <c r="J956" s="194"/>
      <c r="K956" s="194"/>
      <c r="L956" s="194"/>
      <c r="M956" s="283">
        <v>0</v>
      </c>
    </row>
    <row r="957" spans="1:13" x14ac:dyDescent="0.25">
      <c r="A957" s="265">
        <f>SUM(A941:A956)</f>
        <v>0</v>
      </c>
      <c r="B957" s="316">
        <v>0.94791666666666663</v>
      </c>
      <c r="C957" s="325"/>
      <c r="D957" s="194"/>
      <c r="E957" s="194"/>
      <c r="F957" s="194"/>
      <c r="G957" s="194"/>
      <c r="H957" s="43"/>
      <c r="I957" s="194"/>
      <c r="J957" s="194"/>
      <c r="K957" s="194"/>
      <c r="L957" s="194"/>
      <c r="M957" s="8">
        <f>SUM(M940:M956)</f>
        <v>10321</v>
      </c>
    </row>
    <row r="958" spans="1:13" x14ac:dyDescent="0.25">
      <c r="A958" s="281">
        <f>A940+1</f>
        <v>44637</v>
      </c>
      <c r="B958" s="317" t="s">
        <v>54</v>
      </c>
      <c r="C958" s="325"/>
      <c r="D958" s="326" t="s">
        <v>1615</v>
      </c>
      <c r="E958" s="194"/>
      <c r="F958" s="194"/>
      <c r="G958" s="194"/>
      <c r="H958" s="43"/>
      <c r="I958" s="65"/>
      <c r="J958" s="65"/>
      <c r="K958" s="59">
        <v>8</v>
      </c>
      <c r="L958" s="65"/>
      <c r="M958" s="283">
        <v>3120</v>
      </c>
    </row>
    <row r="959" spans="1:13" x14ac:dyDescent="0.25">
      <c r="A959" s="284">
        <v>0</v>
      </c>
      <c r="B959" s="314" t="s">
        <v>57</v>
      </c>
      <c r="C959" s="325"/>
      <c r="D959" s="326" t="s">
        <v>1619</v>
      </c>
      <c r="E959" s="194"/>
      <c r="F959" s="194"/>
      <c r="G959" s="194"/>
      <c r="H959" s="43"/>
      <c r="I959" s="65"/>
      <c r="J959" s="65"/>
      <c r="K959" s="59">
        <v>9</v>
      </c>
      <c r="L959" s="65"/>
      <c r="M959" s="283">
        <v>0</v>
      </c>
    </row>
    <row r="960" spans="1:13" x14ac:dyDescent="0.25">
      <c r="A960" s="284">
        <v>0</v>
      </c>
      <c r="B960" s="314" t="s">
        <v>58</v>
      </c>
      <c r="C960" s="325"/>
      <c r="D960" s="194"/>
      <c r="E960" s="194"/>
      <c r="F960" s="194"/>
      <c r="G960" s="194"/>
      <c r="H960" s="43"/>
      <c r="I960" s="65"/>
      <c r="J960" s="65"/>
      <c r="K960" s="59">
        <v>10</v>
      </c>
      <c r="L960" s="65"/>
      <c r="M960" s="283">
        <v>0</v>
      </c>
    </row>
    <row r="961" spans="1:13" x14ac:dyDescent="0.25">
      <c r="A961" s="284">
        <v>0</v>
      </c>
      <c r="B961" s="314" t="s">
        <v>59</v>
      </c>
      <c r="C961" s="325"/>
      <c r="D961" s="194"/>
      <c r="E961" s="194"/>
      <c r="F961" s="194"/>
      <c r="G961" s="194"/>
      <c r="H961" s="43"/>
      <c r="I961" s="65"/>
      <c r="J961" s="65"/>
      <c r="K961" s="59">
        <v>12</v>
      </c>
      <c r="L961" s="65"/>
      <c r="M961" s="283">
        <v>0</v>
      </c>
    </row>
    <row r="962" spans="1:13" x14ac:dyDescent="0.25">
      <c r="A962" s="284">
        <v>0</v>
      </c>
      <c r="B962" s="314" t="s">
        <v>60</v>
      </c>
      <c r="C962" s="325"/>
      <c r="D962" s="194"/>
      <c r="E962" s="194"/>
      <c r="F962" s="194"/>
      <c r="G962" s="194"/>
      <c r="H962" s="43"/>
      <c r="I962" s="65"/>
      <c r="J962" s="65"/>
      <c r="K962" s="65"/>
      <c r="L962" s="65"/>
      <c r="M962" s="283">
        <v>0</v>
      </c>
    </row>
    <row r="963" spans="1:13" ht="47.25" x14ac:dyDescent="0.25">
      <c r="A963" s="284">
        <v>0</v>
      </c>
      <c r="B963" s="314" t="s">
        <v>61</v>
      </c>
      <c r="C963" s="325"/>
      <c r="D963" s="194"/>
      <c r="E963" s="194"/>
      <c r="F963" s="194"/>
      <c r="G963" s="194"/>
      <c r="H963" s="55" t="s">
        <v>1626</v>
      </c>
      <c r="I963" s="84">
        <v>60</v>
      </c>
      <c r="J963" s="84" t="s">
        <v>291</v>
      </c>
      <c r="K963" s="84" t="s">
        <v>1627</v>
      </c>
      <c r="L963" s="136">
        <v>44634</v>
      </c>
      <c r="M963" s="283">
        <v>1503</v>
      </c>
    </row>
    <row r="964" spans="1:13" ht="31.5" x14ac:dyDescent="0.25">
      <c r="A964" s="284">
        <v>0</v>
      </c>
      <c r="B964" s="314" t="s">
        <v>62</v>
      </c>
      <c r="C964" s="325"/>
      <c r="D964" s="326" t="s">
        <v>1615</v>
      </c>
      <c r="E964" s="194"/>
      <c r="F964" s="194"/>
      <c r="G964" s="194"/>
      <c r="H964" s="55" t="s">
        <v>1628</v>
      </c>
      <c r="I964" s="84"/>
      <c r="J964" s="84"/>
      <c r="K964" s="84"/>
      <c r="L964" s="313"/>
      <c r="M964" s="283">
        <v>0</v>
      </c>
    </row>
    <row r="965" spans="1:13" x14ac:dyDescent="0.25">
      <c r="A965" s="284">
        <v>0</v>
      </c>
      <c r="B965" s="314" t="s">
        <v>63</v>
      </c>
      <c r="C965" s="325"/>
      <c r="D965" s="326" t="s">
        <v>1619</v>
      </c>
      <c r="E965" s="194"/>
      <c r="F965" s="194"/>
      <c r="G965" s="194"/>
      <c r="H965" s="43"/>
      <c r="I965" s="86"/>
      <c r="J965" s="86"/>
      <c r="K965" s="86"/>
      <c r="L965" s="304"/>
      <c r="M965" s="283">
        <v>0</v>
      </c>
    </row>
    <row r="966" spans="1:13" ht="78.75" x14ac:dyDescent="0.25">
      <c r="A966" s="284">
        <v>0</v>
      </c>
      <c r="B966" s="314" t="s">
        <v>64</v>
      </c>
      <c r="C966" s="325"/>
      <c r="D966" s="194"/>
      <c r="E966" s="194"/>
      <c r="F966" s="194"/>
      <c r="G966" s="194"/>
      <c r="H966" s="55" t="s">
        <v>1629</v>
      </c>
      <c r="I966" s="84">
        <v>46.5</v>
      </c>
      <c r="J966" s="84" t="s">
        <v>1630</v>
      </c>
      <c r="K966" s="84" t="s">
        <v>1631</v>
      </c>
      <c r="L966" s="136">
        <v>44635</v>
      </c>
      <c r="M966" s="283">
        <v>2500</v>
      </c>
    </row>
    <row r="967" spans="1:13" x14ac:dyDescent="0.25">
      <c r="A967" s="284">
        <v>0</v>
      </c>
      <c r="B967" s="314" t="s">
        <v>65</v>
      </c>
      <c r="C967" s="325"/>
      <c r="D967" s="194"/>
      <c r="E967" s="194"/>
      <c r="F967" s="194"/>
      <c r="G967" s="194"/>
      <c r="H967" s="43"/>
      <c r="I967" s="84"/>
      <c r="J967" s="84"/>
      <c r="K967" s="84">
        <v>2</v>
      </c>
      <c r="L967" s="84"/>
      <c r="M967" s="283">
        <v>0</v>
      </c>
    </row>
    <row r="968" spans="1:13" x14ac:dyDescent="0.25">
      <c r="A968" s="284">
        <v>0</v>
      </c>
      <c r="B968" s="314" t="s">
        <v>66</v>
      </c>
      <c r="C968" s="325"/>
      <c r="D968" s="194"/>
      <c r="E968" s="194"/>
      <c r="F968" s="194"/>
      <c r="G968" s="194"/>
      <c r="H968" s="43"/>
      <c r="I968" s="84"/>
      <c r="J968" s="84"/>
      <c r="K968" s="84">
        <v>3</v>
      </c>
      <c r="L968" s="84"/>
      <c r="M968" s="283">
        <v>0</v>
      </c>
    </row>
    <row r="969" spans="1:13" x14ac:dyDescent="0.25">
      <c r="A969" s="284">
        <v>0</v>
      </c>
      <c r="B969" s="314" t="s">
        <v>67</v>
      </c>
      <c r="C969" s="325"/>
      <c r="D969" s="194"/>
      <c r="E969" s="194"/>
      <c r="F969" s="194"/>
      <c r="G969" s="194"/>
      <c r="H969" s="43"/>
      <c r="I969" s="84"/>
      <c r="J969" s="84"/>
      <c r="K969" s="84">
        <v>4</v>
      </c>
      <c r="L969" s="84"/>
      <c r="M969" s="283">
        <v>0</v>
      </c>
    </row>
    <row r="970" spans="1:13" x14ac:dyDescent="0.25">
      <c r="A970" s="284">
        <v>0</v>
      </c>
      <c r="B970" s="314" t="s">
        <v>68</v>
      </c>
      <c r="C970" s="325"/>
      <c r="D970" s="326" t="s">
        <v>1615</v>
      </c>
      <c r="E970" s="194"/>
      <c r="F970" s="194"/>
      <c r="G970" s="194"/>
      <c r="H970" s="43"/>
      <c r="I970" s="84"/>
      <c r="J970" s="84"/>
      <c r="K970" s="84">
        <v>5</v>
      </c>
      <c r="L970" s="84"/>
      <c r="M970" s="283">
        <v>0</v>
      </c>
    </row>
    <row r="971" spans="1:13" ht="47.25" x14ac:dyDescent="0.25">
      <c r="A971" s="284">
        <v>0</v>
      </c>
      <c r="B971" s="315">
        <v>0.79166666666666663</v>
      </c>
      <c r="C971" s="325"/>
      <c r="D971" s="326" t="s">
        <v>1619</v>
      </c>
      <c r="E971" s="194"/>
      <c r="F971" s="194"/>
      <c r="G971" s="194"/>
      <c r="H971" s="106" t="s">
        <v>1632</v>
      </c>
      <c r="I971" s="327">
        <v>48</v>
      </c>
      <c r="J971" s="327" t="s">
        <v>18</v>
      </c>
      <c r="K971" s="327" t="s">
        <v>1633</v>
      </c>
      <c r="L971" s="328">
        <v>44634</v>
      </c>
      <c r="M971" s="283">
        <v>2000</v>
      </c>
    </row>
    <row r="972" spans="1:13" ht="31.5" x14ac:dyDescent="0.25">
      <c r="A972" s="284">
        <v>0</v>
      </c>
      <c r="B972" s="315">
        <v>0.83333333333333337</v>
      </c>
      <c r="C972" s="325"/>
      <c r="D972" s="194"/>
      <c r="E972" s="194"/>
      <c r="F972" s="194"/>
      <c r="G972" s="194"/>
      <c r="H972" s="106" t="s">
        <v>1634</v>
      </c>
      <c r="I972" s="327"/>
      <c r="J972" s="327"/>
      <c r="K972" s="327">
        <v>2</v>
      </c>
      <c r="L972" s="327"/>
      <c r="M972" s="283">
        <v>0</v>
      </c>
    </row>
    <row r="973" spans="1:13" x14ac:dyDescent="0.25">
      <c r="A973" s="284">
        <v>0</v>
      </c>
      <c r="B973" s="315">
        <v>0.875</v>
      </c>
      <c r="C973" s="325"/>
      <c r="D973" s="194"/>
      <c r="E973" s="194"/>
      <c r="F973" s="194"/>
      <c r="G973" s="194"/>
      <c r="H973" s="43"/>
      <c r="I973" s="194"/>
      <c r="J973" s="194"/>
      <c r="K973" s="194"/>
      <c r="L973" s="194"/>
      <c r="M973" s="283">
        <v>0</v>
      </c>
    </row>
    <row r="974" spans="1:13" x14ac:dyDescent="0.25">
      <c r="A974" s="284">
        <v>0</v>
      </c>
      <c r="B974" s="315">
        <v>0.91666666666666663</v>
      </c>
      <c r="C974" s="325"/>
      <c r="D974" s="194"/>
      <c r="E974" s="194"/>
      <c r="F974" s="194"/>
      <c r="G974" s="194"/>
      <c r="H974" s="43"/>
      <c r="I974" s="194"/>
      <c r="J974" s="194"/>
      <c r="K974" s="194"/>
      <c r="L974" s="194"/>
      <c r="M974" s="283">
        <v>0</v>
      </c>
    </row>
    <row r="975" spans="1:13" x14ac:dyDescent="0.25">
      <c r="A975" s="265">
        <f>SUM(A959:A974)</f>
        <v>0</v>
      </c>
      <c r="B975" s="316">
        <v>0.94791666666666663</v>
      </c>
      <c r="C975" s="325"/>
      <c r="D975" s="194"/>
      <c r="E975" s="194"/>
      <c r="F975" s="194"/>
      <c r="G975" s="194"/>
      <c r="H975" s="43"/>
      <c r="I975" s="194"/>
      <c r="J975" s="194"/>
      <c r="K975" s="194"/>
      <c r="L975" s="194"/>
      <c r="M975" s="8">
        <f>SUM(M958:M974)</f>
        <v>9123</v>
      </c>
    </row>
    <row r="976" spans="1:13" x14ac:dyDescent="0.25">
      <c r="A976" s="281">
        <f>A958+1</f>
        <v>44638</v>
      </c>
      <c r="B976" s="317" t="s">
        <v>54</v>
      </c>
      <c r="C976" s="325"/>
      <c r="D976" s="326" t="s">
        <v>1615</v>
      </c>
      <c r="E976" s="194"/>
      <c r="F976" s="194"/>
      <c r="G976" s="194"/>
      <c r="H976" s="87" t="s">
        <v>1635</v>
      </c>
      <c r="I976" s="327"/>
      <c r="J976" s="327"/>
      <c r="K976" s="327">
        <v>3</v>
      </c>
      <c r="L976" s="327"/>
      <c r="M976" s="283">
        <v>2000</v>
      </c>
    </row>
    <row r="977" spans="1:13" x14ac:dyDescent="0.25">
      <c r="A977" s="284">
        <v>0</v>
      </c>
      <c r="B977" s="314" t="s">
        <v>57</v>
      </c>
      <c r="C977" s="325"/>
      <c r="D977" s="326" t="s">
        <v>1619</v>
      </c>
      <c r="E977" s="194"/>
      <c r="F977" s="194"/>
      <c r="G977" s="194"/>
      <c r="H977" s="43"/>
      <c r="I977" s="327"/>
      <c r="J977" s="327"/>
      <c r="K977" s="327">
        <v>4</v>
      </c>
      <c r="L977" s="327"/>
      <c r="M977" s="283">
        <v>0</v>
      </c>
    </row>
    <row r="978" spans="1:13" x14ac:dyDescent="0.25">
      <c r="A978" s="284">
        <v>0</v>
      </c>
      <c r="B978" s="314" t="s">
        <v>58</v>
      </c>
      <c r="C978" s="325"/>
      <c r="D978" s="194"/>
      <c r="E978" s="194"/>
      <c r="F978" s="194"/>
      <c r="G978" s="194"/>
      <c r="H978" s="43"/>
      <c r="I978" s="327"/>
      <c r="J978" s="327"/>
      <c r="K978" s="327">
        <v>5</v>
      </c>
      <c r="L978" s="327"/>
      <c r="M978" s="283">
        <v>0</v>
      </c>
    </row>
    <row r="979" spans="1:13" ht="47.25" x14ac:dyDescent="0.25">
      <c r="A979" s="284">
        <v>0</v>
      </c>
      <c r="B979" s="314" t="s">
        <v>59</v>
      </c>
      <c r="C979" s="325"/>
      <c r="D979" s="194"/>
      <c r="E979" s="194"/>
      <c r="F979" s="194"/>
      <c r="G979" s="194"/>
      <c r="H979" s="55" t="s">
        <v>1636</v>
      </c>
      <c r="I979" s="84">
        <v>48</v>
      </c>
      <c r="J979" s="84" t="s">
        <v>1637</v>
      </c>
      <c r="K979" s="84" t="s">
        <v>1638</v>
      </c>
      <c r="L979" s="136">
        <v>44637</v>
      </c>
      <c r="M979" s="283">
        <v>3500</v>
      </c>
    </row>
    <row r="980" spans="1:13" ht="31.5" x14ac:dyDescent="0.25">
      <c r="A980" s="284">
        <v>0</v>
      </c>
      <c r="B980" s="314" t="s">
        <v>60</v>
      </c>
      <c r="C980" s="325"/>
      <c r="D980" s="194"/>
      <c r="E980" s="194"/>
      <c r="F980" s="194"/>
      <c r="G980" s="194"/>
      <c r="H980" s="55" t="s">
        <v>1639</v>
      </c>
      <c r="I980" s="84"/>
      <c r="J980" s="84"/>
      <c r="K980" s="84">
        <v>2</v>
      </c>
      <c r="L980" s="84" t="s">
        <v>1640</v>
      </c>
      <c r="M980" s="283">
        <v>0</v>
      </c>
    </row>
    <row r="981" spans="1:13" x14ac:dyDescent="0.25">
      <c r="A981" s="284">
        <v>0</v>
      </c>
      <c r="B981" s="314" t="s">
        <v>61</v>
      </c>
      <c r="C981" s="325"/>
      <c r="D981" s="194"/>
      <c r="E981" s="194"/>
      <c r="F981" s="194"/>
      <c r="G981" s="194"/>
      <c r="H981" s="43"/>
      <c r="I981" s="84"/>
      <c r="J981" s="84"/>
      <c r="K981" s="84"/>
      <c r="L981" s="84"/>
      <c r="M981" s="283">
        <v>0</v>
      </c>
    </row>
    <row r="982" spans="1:13" x14ac:dyDescent="0.25">
      <c r="A982" s="284">
        <v>0</v>
      </c>
      <c r="B982" s="314" t="s">
        <v>62</v>
      </c>
      <c r="C982" s="325"/>
      <c r="D982" s="326" t="s">
        <v>1615</v>
      </c>
      <c r="E982" s="194"/>
      <c r="F982" s="194"/>
      <c r="G982" s="194"/>
      <c r="H982" s="43"/>
      <c r="I982" s="84"/>
      <c r="J982" s="84"/>
      <c r="K982" s="84"/>
      <c r="L982" s="84"/>
      <c r="M982" s="283">
        <v>0</v>
      </c>
    </row>
    <row r="983" spans="1:13" x14ac:dyDescent="0.25">
      <c r="A983" s="284">
        <v>0</v>
      </c>
      <c r="B983" s="314" t="s">
        <v>63</v>
      </c>
      <c r="C983" s="325"/>
      <c r="D983" s="326" t="s">
        <v>1619</v>
      </c>
      <c r="E983" s="194"/>
      <c r="F983" s="194"/>
      <c r="G983" s="194"/>
      <c r="H983" s="43"/>
      <c r="I983" s="84"/>
      <c r="J983" s="84"/>
      <c r="K983" s="84"/>
      <c r="L983" s="84"/>
      <c r="M983" s="283">
        <v>0</v>
      </c>
    </row>
    <row r="984" spans="1:13" x14ac:dyDescent="0.25">
      <c r="A984" s="284">
        <v>0</v>
      </c>
      <c r="B984" s="314" t="s">
        <v>64</v>
      </c>
      <c r="C984" s="325"/>
      <c r="D984" s="194"/>
      <c r="E984" s="194"/>
      <c r="F984" s="194"/>
      <c r="G984" s="194"/>
      <c r="H984" s="43"/>
      <c r="I984" s="84"/>
      <c r="J984" s="84"/>
      <c r="K984" s="84"/>
      <c r="L984" s="84"/>
      <c r="M984" s="283">
        <v>0</v>
      </c>
    </row>
    <row r="985" spans="1:13" x14ac:dyDescent="0.25">
      <c r="A985" s="284">
        <v>0</v>
      </c>
      <c r="B985" s="314" t="s">
        <v>65</v>
      </c>
      <c r="C985" s="325"/>
      <c r="D985" s="194"/>
      <c r="E985" s="194"/>
      <c r="F985" s="194"/>
      <c r="G985" s="194"/>
      <c r="H985" s="43"/>
      <c r="I985" s="84"/>
      <c r="J985" s="84"/>
      <c r="K985" s="84"/>
      <c r="L985" s="84"/>
      <c r="M985" s="283">
        <v>3120</v>
      </c>
    </row>
    <row r="986" spans="1:13" x14ac:dyDescent="0.25">
      <c r="A986" s="284">
        <v>0</v>
      </c>
      <c r="B986" s="314" t="s">
        <v>66</v>
      </c>
      <c r="C986" s="325"/>
      <c r="D986" s="194"/>
      <c r="E986" s="194"/>
      <c r="F986" s="194"/>
      <c r="G986" s="194"/>
      <c r="H986" s="43"/>
      <c r="I986" s="84"/>
      <c r="J986" s="84"/>
      <c r="K986" s="84"/>
      <c r="L986" s="84"/>
      <c r="M986" s="283">
        <v>0</v>
      </c>
    </row>
    <row r="987" spans="1:13" x14ac:dyDescent="0.25">
      <c r="A987" s="284">
        <v>0</v>
      </c>
      <c r="B987" s="314" t="s">
        <v>67</v>
      </c>
      <c r="C987" s="325"/>
      <c r="D987" s="194"/>
      <c r="E987" s="194"/>
      <c r="F987" s="194"/>
      <c r="G987" s="194"/>
      <c r="H987" s="43"/>
      <c r="I987" s="84"/>
      <c r="J987" s="84"/>
      <c r="K987" s="84"/>
      <c r="L987" s="84"/>
      <c r="M987" s="283">
        <v>0</v>
      </c>
    </row>
    <row r="988" spans="1:13" x14ac:dyDescent="0.25">
      <c r="A988" s="284">
        <v>0</v>
      </c>
      <c r="B988" s="314" t="s">
        <v>68</v>
      </c>
      <c r="C988" s="325"/>
      <c r="D988" s="326" t="s">
        <v>1615</v>
      </c>
      <c r="E988" s="194"/>
      <c r="F988" s="194"/>
      <c r="G988" s="194"/>
      <c r="H988" s="43"/>
      <c r="I988" s="84"/>
      <c r="J988" s="84"/>
      <c r="K988" s="84"/>
      <c r="L988" s="84"/>
      <c r="M988" s="283">
        <v>0</v>
      </c>
    </row>
    <row r="989" spans="1:13" x14ac:dyDescent="0.25">
      <c r="A989" s="284">
        <v>0</v>
      </c>
      <c r="B989" s="315">
        <v>0.79166666666666663</v>
      </c>
      <c r="C989" s="325"/>
      <c r="D989" s="326" t="s">
        <v>1619</v>
      </c>
      <c r="E989" s="194"/>
      <c r="F989" s="194"/>
      <c r="G989" s="194"/>
      <c r="H989" s="43"/>
      <c r="I989" s="84"/>
      <c r="J989" s="84"/>
      <c r="K989" s="84"/>
      <c r="L989" s="84"/>
      <c r="M989" s="283">
        <v>0</v>
      </c>
    </row>
    <row r="990" spans="1:13" x14ac:dyDescent="0.25">
      <c r="A990" s="284">
        <v>0</v>
      </c>
      <c r="B990" s="315">
        <v>0.83333333333333337</v>
      </c>
      <c r="C990" s="325"/>
      <c r="D990" s="194"/>
      <c r="E990" s="194"/>
      <c r="F990" s="194"/>
      <c r="G990" s="194"/>
      <c r="H990" s="43"/>
      <c r="I990" s="84"/>
      <c r="J990" s="84"/>
      <c r="K990" s="84"/>
      <c r="L990" s="84"/>
      <c r="M990" s="283">
        <v>0</v>
      </c>
    </row>
    <row r="991" spans="1:13" x14ac:dyDescent="0.25">
      <c r="A991" s="284">
        <v>0</v>
      </c>
      <c r="B991" s="315">
        <v>0.875</v>
      </c>
      <c r="C991" s="325"/>
      <c r="D991" s="194"/>
      <c r="E991" s="194"/>
      <c r="F991" s="194"/>
      <c r="G991" s="194"/>
      <c r="H991" s="43"/>
      <c r="I991" s="194"/>
      <c r="J991" s="194"/>
      <c r="K991" s="194"/>
      <c r="L991" s="194"/>
      <c r="M991" s="283">
        <v>0</v>
      </c>
    </row>
    <row r="992" spans="1:13" x14ac:dyDescent="0.25">
      <c r="A992" s="284">
        <v>0</v>
      </c>
      <c r="B992" s="315">
        <v>0.91666666666666663</v>
      </c>
      <c r="C992" s="325"/>
      <c r="D992" s="194"/>
      <c r="E992" s="194"/>
      <c r="F992" s="194"/>
      <c r="G992" s="194"/>
      <c r="H992" s="43"/>
      <c r="I992" s="194"/>
      <c r="J992" s="194"/>
      <c r="K992" s="194"/>
      <c r="L992" s="194"/>
      <c r="M992" s="283">
        <v>0</v>
      </c>
    </row>
    <row r="993" spans="1:13" x14ac:dyDescent="0.25">
      <c r="A993" s="265">
        <f>SUM(A977:A992)</f>
        <v>0</v>
      </c>
      <c r="B993" s="316">
        <v>0.94791666666666663</v>
      </c>
      <c r="C993" s="325"/>
      <c r="D993" s="194"/>
      <c r="E993" s="194"/>
      <c r="F993" s="194"/>
      <c r="G993" s="194"/>
      <c r="H993" s="43"/>
      <c r="I993" s="194"/>
      <c r="J993" s="194"/>
      <c r="K993" s="194"/>
      <c r="L993" s="194"/>
      <c r="M993" s="8">
        <f>SUM(M976:M992)</f>
        <v>8620</v>
      </c>
    </row>
    <row r="994" spans="1:13" ht="63" x14ac:dyDescent="0.25">
      <c r="A994" s="281">
        <f>A976+3</f>
        <v>44641</v>
      </c>
      <c r="B994" s="296" t="s">
        <v>54</v>
      </c>
      <c r="C994" s="55" t="s">
        <v>1641</v>
      </c>
      <c r="D994" s="56">
        <v>58</v>
      </c>
      <c r="E994" s="57" t="s">
        <v>1202</v>
      </c>
      <c r="F994" s="57" t="s">
        <v>1642</v>
      </c>
      <c r="G994" s="57" t="s">
        <v>1643</v>
      </c>
      <c r="H994" s="43"/>
      <c r="I994" s="187" t="s">
        <v>1644</v>
      </c>
      <c r="J994" s="188"/>
      <c r="K994" s="188"/>
      <c r="L994" s="188"/>
      <c r="M994" s="283">
        <v>8000</v>
      </c>
    </row>
    <row r="995" spans="1:13" ht="173.25" x14ac:dyDescent="0.25">
      <c r="A995" s="284">
        <v>10500</v>
      </c>
      <c r="B995" s="314" t="s">
        <v>57</v>
      </c>
      <c r="C995" s="55" t="s">
        <v>1645</v>
      </c>
      <c r="D995" s="65"/>
      <c r="E995" s="65"/>
      <c r="F995" s="65">
        <v>2</v>
      </c>
      <c r="G995" s="57"/>
      <c r="H995" s="43"/>
      <c r="I995" s="187" t="s">
        <v>1646</v>
      </c>
      <c r="J995" s="188"/>
      <c r="K995" s="188"/>
      <c r="L995" s="188"/>
      <c r="M995" s="283">
        <v>0</v>
      </c>
    </row>
    <row r="996" spans="1:13" x14ac:dyDescent="0.25">
      <c r="A996" s="284">
        <v>0</v>
      </c>
      <c r="B996" s="314" t="s">
        <v>58</v>
      </c>
      <c r="C996" s="43"/>
      <c r="D996" s="65"/>
      <c r="E996" s="65"/>
      <c r="F996" s="65">
        <v>3</v>
      </c>
      <c r="G996" s="82"/>
      <c r="H996" s="43"/>
      <c r="I996" s="188"/>
      <c r="J996" s="188"/>
      <c r="K996" s="188"/>
      <c r="L996" s="188"/>
      <c r="M996" s="283">
        <v>0</v>
      </c>
    </row>
    <row r="997" spans="1:13" x14ac:dyDescent="0.25">
      <c r="A997" s="284">
        <v>0</v>
      </c>
      <c r="B997" s="314" t="s">
        <v>59</v>
      </c>
      <c r="C997" s="43"/>
      <c r="D997" s="65"/>
      <c r="E997" s="65"/>
      <c r="F997" s="65">
        <v>4</v>
      </c>
      <c r="G997" s="82"/>
      <c r="H997" s="43"/>
      <c r="I997" s="188"/>
      <c r="J997" s="188"/>
      <c r="K997" s="188"/>
      <c r="L997" s="188"/>
      <c r="M997" s="283">
        <v>0</v>
      </c>
    </row>
    <row r="998" spans="1:13" x14ac:dyDescent="0.25">
      <c r="A998" s="284">
        <v>0</v>
      </c>
      <c r="B998" s="314" t="s">
        <v>60</v>
      </c>
      <c r="C998" s="43"/>
      <c r="D998" s="65"/>
      <c r="E998" s="65"/>
      <c r="F998" s="65">
        <v>5</v>
      </c>
      <c r="G998" s="82"/>
      <c r="H998" s="43"/>
      <c r="I998" s="188"/>
      <c r="J998" s="188"/>
      <c r="K998" s="188"/>
      <c r="L998" s="188"/>
      <c r="M998" s="283">
        <v>0</v>
      </c>
    </row>
    <row r="999" spans="1:13" x14ac:dyDescent="0.25">
      <c r="A999" s="284">
        <v>0</v>
      </c>
      <c r="B999" s="314" t="s">
        <v>61</v>
      </c>
      <c r="C999" s="43"/>
      <c r="D999" s="65"/>
      <c r="E999" s="65"/>
      <c r="F999" s="65">
        <v>6</v>
      </c>
      <c r="G999" s="82"/>
      <c r="H999" s="43"/>
      <c r="I999" s="188"/>
      <c r="J999" s="188"/>
      <c r="K999" s="188"/>
      <c r="L999" s="188"/>
      <c r="M999" s="283">
        <v>0</v>
      </c>
    </row>
    <row r="1000" spans="1:13" x14ac:dyDescent="0.25">
      <c r="A1000" s="284">
        <v>0</v>
      </c>
      <c r="B1000" s="314" t="s">
        <v>62</v>
      </c>
      <c r="C1000" s="43"/>
      <c r="D1000" s="65"/>
      <c r="E1000" s="65"/>
      <c r="F1000" s="65">
        <v>7</v>
      </c>
      <c r="G1000" s="82"/>
      <c r="H1000" s="43"/>
      <c r="I1000" s="188"/>
      <c r="J1000" s="188"/>
      <c r="K1000" s="188"/>
      <c r="L1000" s="188"/>
      <c r="M1000" s="283">
        <v>0</v>
      </c>
    </row>
    <row r="1001" spans="1:13" x14ac:dyDescent="0.25">
      <c r="A1001" s="284">
        <v>0</v>
      </c>
      <c r="B1001" s="314" t="s">
        <v>63</v>
      </c>
      <c r="C1001" s="43"/>
      <c r="D1001" s="193" t="s">
        <v>1647</v>
      </c>
      <c r="E1001" s="194"/>
      <c r="F1001" s="194"/>
      <c r="G1001" s="194"/>
      <c r="H1001" s="43"/>
      <c r="I1001" s="188"/>
      <c r="J1001" s="188"/>
      <c r="K1001" s="188"/>
      <c r="L1001" s="188"/>
      <c r="M1001" s="283">
        <v>0</v>
      </c>
    </row>
    <row r="1002" spans="1:13" x14ac:dyDescent="0.25">
      <c r="A1002" s="284">
        <v>0</v>
      </c>
      <c r="B1002" s="314" t="s">
        <v>64</v>
      </c>
      <c r="C1002" s="43"/>
      <c r="D1002" s="193" t="s">
        <v>1648</v>
      </c>
      <c r="E1002" s="195"/>
      <c r="F1002" s="194"/>
      <c r="G1002" s="194"/>
      <c r="H1002" s="43"/>
      <c r="I1002" s="188"/>
      <c r="J1002" s="188"/>
      <c r="K1002" s="188"/>
      <c r="L1002" s="188"/>
      <c r="M1002" s="283">
        <v>0</v>
      </c>
    </row>
    <row r="1003" spans="1:13" x14ac:dyDescent="0.25">
      <c r="A1003" s="284">
        <v>0</v>
      </c>
      <c r="B1003" s="314" t="s">
        <v>65</v>
      </c>
      <c r="C1003" s="43"/>
      <c r="D1003" s="194"/>
      <c r="E1003" s="194"/>
      <c r="F1003" s="194"/>
      <c r="G1003" s="194"/>
      <c r="H1003" s="43"/>
      <c r="I1003" s="188"/>
      <c r="J1003" s="188"/>
      <c r="K1003" s="188"/>
      <c r="L1003" s="188"/>
      <c r="M1003" s="283">
        <v>0</v>
      </c>
    </row>
    <row r="1004" spans="1:13" x14ac:dyDescent="0.25">
      <c r="A1004" s="284">
        <v>0</v>
      </c>
      <c r="B1004" s="314" t="s">
        <v>66</v>
      </c>
      <c r="C1004" s="43"/>
      <c r="D1004" s="194"/>
      <c r="E1004" s="194"/>
      <c r="F1004" s="194"/>
      <c r="G1004" s="194"/>
      <c r="H1004" s="43"/>
      <c r="I1004" s="188"/>
      <c r="J1004" s="188"/>
      <c r="K1004" s="188"/>
      <c r="L1004" s="188"/>
      <c r="M1004" s="283">
        <v>0</v>
      </c>
    </row>
    <row r="1005" spans="1:13" x14ac:dyDescent="0.25">
      <c r="A1005" s="284">
        <v>0</v>
      </c>
      <c r="B1005" s="314" t="s">
        <v>67</v>
      </c>
      <c r="C1005" s="43"/>
      <c r="D1005" s="194"/>
      <c r="E1005" s="194"/>
      <c r="F1005" s="194"/>
      <c r="G1005" s="194"/>
      <c r="H1005" s="43"/>
      <c r="I1005" s="188"/>
      <c r="J1005" s="188"/>
      <c r="K1005" s="188"/>
      <c r="L1005" s="188"/>
      <c r="M1005" s="283">
        <v>0</v>
      </c>
    </row>
    <row r="1006" spans="1:13" x14ac:dyDescent="0.25">
      <c r="A1006" s="284">
        <v>0</v>
      </c>
      <c r="B1006" s="314" t="s">
        <v>68</v>
      </c>
      <c r="C1006" s="43"/>
      <c r="D1006" s="194"/>
      <c r="E1006" s="194"/>
      <c r="F1006" s="194"/>
      <c r="G1006" s="194"/>
      <c r="H1006" s="43"/>
      <c r="I1006" s="188"/>
      <c r="J1006" s="188"/>
      <c r="K1006" s="188"/>
      <c r="L1006" s="188"/>
      <c r="M1006" s="283">
        <v>0</v>
      </c>
    </row>
    <row r="1007" spans="1:13" x14ac:dyDescent="0.25">
      <c r="A1007" s="284">
        <v>0</v>
      </c>
      <c r="B1007" s="315">
        <v>0.79166666666666663</v>
      </c>
      <c r="C1007" s="43"/>
      <c r="D1007" s="194"/>
      <c r="E1007" s="194"/>
      <c r="F1007" s="194"/>
      <c r="G1007" s="194"/>
      <c r="H1007" s="43"/>
      <c r="I1007" s="188"/>
      <c r="J1007" s="188"/>
      <c r="K1007" s="188"/>
      <c r="L1007" s="188"/>
      <c r="M1007" s="283">
        <v>0</v>
      </c>
    </row>
    <row r="1008" spans="1:13" x14ac:dyDescent="0.25">
      <c r="A1008" s="284">
        <v>0</v>
      </c>
      <c r="B1008" s="315">
        <v>0.83333333333333337</v>
      </c>
      <c r="C1008" s="43"/>
      <c r="D1008" s="194"/>
      <c r="E1008" s="194"/>
      <c r="F1008" s="194"/>
      <c r="G1008" s="194"/>
      <c r="H1008" s="43"/>
      <c r="I1008" s="188"/>
      <c r="J1008" s="188"/>
      <c r="K1008" s="188"/>
      <c r="L1008" s="188"/>
      <c r="M1008" s="283">
        <v>0</v>
      </c>
    </row>
    <row r="1009" spans="1:13" x14ac:dyDescent="0.25">
      <c r="A1009" s="284">
        <v>0</v>
      </c>
      <c r="B1009" s="315">
        <v>0.875</v>
      </c>
      <c r="C1009" s="43"/>
      <c r="D1009" s="194"/>
      <c r="E1009" s="194"/>
      <c r="F1009" s="194"/>
      <c r="G1009" s="194"/>
      <c r="H1009" s="43"/>
      <c r="I1009" s="194"/>
      <c r="J1009" s="194"/>
      <c r="K1009" s="194"/>
      <c r="L1009" s="194"/>
      <c r="M1009" s="283">
        <v>0</v>
      </c>
    </row>
    <row r="1010" spans="1:13" x14ac:dyDescent="0.25">
      <c r="A1010" s="284">
        <v>0</v>
      </c>
      <c r="B1010" s="315">
        <v>0.91666666666666663</v>
      </c>
      <c r="C1010" s="43"/>
      <c r="D1010" s="194"/>
      <c r="E1010" s="194"/>
      <c r="F1010" s="194"/>
      <c r="G1010" s="194"/>
      <c r="H1010" s="43"/>
      <c r="I1010" s="194"/>
      <c r="J1010" s="194"/>
      <c r="K1010" s="194"/>
      <c r="L1010" s="194"/>
      <c r="M1010" s="283">
        <v>0</v>
      </c>
    </row>
    <row r="1011" spans="1:13" x14ac:dyDescent="0.25">
      <c r="A1011" s="265">
        <f>SUM(A995:A1010)</f>
        <v>10500</v>
      </c>
      <c r="B1011" s="316">
        <v>0.94791666666666663</v>
      </c>
      <c r="C1011" s="43"/>
      <c r="D1011" s="194"/>
      <c r="E1011" s="194"/>
      <c r="F1011" s="194"/>
      <c r="G1011" s="194"/>
      <c r="H1011" s="43"/>
      <c r="I1011" s="194"/>
      <c r="J1011" s="194"/>
      <c r="K1011" s="194"/>
      <c r="L1011" s="194"/>
      <c r="M1011" s="8">
        <f>SUM(M994:M1010)</f>
        <v>8000</v>
      </c>
    </row>
    <row r="1012" spans="1:13" x14ac:dyDescent="0.25">
      <c r="A1012" s="281">
        <f>A994+1</f>
        <v>44642</v>
      </c>
      <c r="B1012" s="317" t="s">
        <v>54</v>
      </c>
      <c r="C1012" s="87" t="s">
        <v>1649</v>
      </c>
      <c r="D1012" s="65"/>
      <c r="E1012" s="65"/>
      <c r="F1012" s="65">
        <v>8</v>
      </c>
      <c r="G1012" s="82"/>
      <c r="H1012" s="43"/>
      <c r="I1012" s="188" t="s">
        <v>1650</v>
      </c>
      <c r="J1012" s="188"/>
      <c r="K1012" s="188"/>
      <c r="L1012" s="188"/>
      <c r="M1012" s="283">
        <v>3450</v>
      </c>
    </row>
    <row r="1013" spans="1:13" x14ac:dyDescent="0.25">
      <c r="A1013" s="284">
        <v>9000</v>
      </c>
      <c r="B1013" s="314" t="s">
        <v>57</v>
      </c>
      <c r="C1013" s="43"/>
      <c r="D1013" s="65"/>
      <c r="E1013" s="65"/>
      <c r="F1013" s="65">
        <v>9</v>
      </c>
      <c r="G1013" s="82"/>
      <c r="H1013" s="43"/>
      <c r="I1013" s="188" t="s">
        <v>1651</v>
      </c>
      <c r="J1013" s="188"/>
      <c r="K1013" s="188"/>
      <c r="L1013" s="188"/>
      <c r="M1013" s="283">
        <v>0</v>
      </c>
    </row>
    <row r="1014" spans="1:13" x14ac:dyDescent="0.25">
      <c r="A1014" s="284">
        <v>0</v>
      </c>
      <c r="B1014" s="314" t="s">
        <v>58</v>
      </c>
      <c r="C1014" s="43"/>
      <c r="D1014" s="65"/>
      <c r="E1014" s="65"/>
      <c r="F1014" s="65">
        <v>10</v>
      </c>
      <c r="G1014" s="82"/>
      <c r="H1014" s="43"/>
      <c r="I1014" s="188"/>
      <c r="J1014" s="188"/>
      <c r="K1014" s="188"/>
      <c r="L1014" s="188"/>
      <c r="M1014" s="283">
        <v>0</v>
      </c>
    </row>
    <row r="1015" spans="1:13" x14ac:dyDescent="0.25">
      <c r="A1015" s="284">
        <v>0</v>
      </c>
      <c r="B1015" s="314" t="s">
        <v>59</v>
      </c>
      <c r="C1015" s="43"/>
      <c r="D1015" s="65"/>
      <c r="E1015" s="65"/>
      <c r="F1015" s="65">
        <v>11</v>
      </c>
      <c r="G1015" s="82"/>
      <c r="H1015" s="43"/>
      <c r="I1015" s="188"/>
      <c r="J1015" s="188"/>
      <c r="K1015" s="188"/>
      <c r="L1015" s="188"/>
      <c r="M1015" s="283">
        <v>0</v>
      </c>
    </row>
    <row r="1016" spans="1:13" x14ac:dyDescent="0.25">
      <c r="A1016" s="284">
        <v>0</v>
      </c>
      <c r="B1016" s="314" t="s">
        <v>60</v>
      </c>
      <c r="C1016" s="43"/>
      <c r="D1016" s="65"/>
      <c r="E1016" s="65"/>
      <c r="F1016" s="65">
        <v>12</v>
      </c>
      <c r="G1016" s="82"/>
      <c r="H1016" s="43"/>
      <c r="I1016" s="188"/>
      <c r="J1016" s="188"/>
      <c r="K1016" s="188"/>
      <c r="L1016" s="188"/>
      <c r="M1016" s="283">
        <v>3120</v>
      </c>
    </row>
    <row r="1017" spans="1:13" x14ac:dyDescent="0.25">
      <c r="A1017" s="284">
        <v>0</v>
      </c>
      <c r="B1017" s="314" t="s">
        <v>61</v>
      </c>
      <c r="C1017" s="43"/>
      <c r="D1017" s="65"/>
      <c r="E1017" s="65"/>
      <c r="F1017" s="65">
        <v>13</v>
      </c>
      <c r="G1017" s="82"/>
      <c r="H1017" s="43"/>
      <c r="I1017" s="188"/>
      <c r="J1017" s="188"/>
      <c r="K1017" s="188"/>
      <c r="L1017" s="188"/>
      <c r="M1017" s="283">
        <v>0</v>
      </c>
    </row>
    <row r="1018" spans="1:13" x14ac:dyDescent="0.25">
      <c r="A1018" s="284">
        <v>0</v>
      </c>
      <c r="B1018" s="314" t="s">
        <v>62</v>
      </c>
      <c r="C1018" s="43"/>
      <c r="D1018" s="65"/>
      <c r="E1018" s="65"/>
      <c r="F1018" s="65">
        <v>14</v>
      </c>
      <c r="G1018" s="82"/>
      <c r="H1018" s="43"/>
      <c r="I1018" s="188"/>
      <c r="J1018" s="188"/>
      <c r="K1018" s="188"/>
      <c r="L1018" s="188"/>
      <c r="M1018" s="283">
        <v>0</v>
      </c>
    </row>
    <row r="1019" spans="1:13" x14ac:dyDescent="0.25">
      <c r="A1019" s="284">
        <v>0</v>
      </c>
      <c r="B1019" s="314" t="s">
        <v>63</v>
      </c>
      <c r="C1019" s="43"/>
      <c r="D1019" s="193" t="s">
        <v>1647</v>
      </c>
      <c r="E1019" s="194"/>
      <c r="F1019" s="194"/>
      <c r="G1019" s="194"/>
      <c r="H1019" s="43"/>
      <c r="I1019" s="188"/>
      <c r="J1019" s="188"/>
      <c r="K1019" s="188"/>
      <c r="L1019" s="188"/>
      <c r="M1019" s="283">
        <v>0</v>
      </c>
    </row>
    <row r="1020" spans="1:13" x14ac:dyDescent="0.25">
      <c r="A1020" s="284">
        <v>0</v>
      </c>
      <c r="B1020" s="314" t="s">
        <v>64</v>
      </c>
      <c r="C1020" s="43"/>
      <c r="D1020" s="193" t="s">
        <v>1648</v>
      </c>
      <c r="E1020" s="195"/>
      <c r="F1020" s="194"/>
      <c r="G1020" s="194"/>
      <c r="H1020" s="87" t="s">
        <v>1652</v>
      </c>
      <c r="I1020" s="86"/>
      <c r="J1020" s="86"/>
      <c r="K1020" s="86"/>
      <c r="L1020" s="86"/>
      <c r="M1020" s="283">
        <v>3000</v>
      </c>
    </row>
    <row r="1021" spans="1:13" x14ac:dyDescent="0.25">
      <c r="A1021" s="284">
        <v>0</v>
      </c>
      <c r="B1021" s="314" t="s">
        <v>65</v>
      </c>
      <c r="C1021" s="43"/>
      <c r="D1021" s="194"/>
      <c r="E1021" s="194"/>
      <c r="F1021" s="194"/>
      <c r="G1021" s="194"/>
      <c r="H1021" s="43"/>
      <c r="I1021" s="86"/>
      <c r="J1021" s="86"/>
      <c r="K1021" s="86"/>
      <c r="L1021" s="86"/>
      <c r="M1021" s="283">
        <v>0</v>
      </c>
    </row>
    <row r="1022" spans="1:13" x14ac:dyDescent="0.25">
      <c r="A1022" s="284">
        <v>0</v>
      </c>
      <c r="B1022" s="314" t="s">
        <v>66</v>
      </c>
      <c r="C1022" s="43"/>
      <c r="D1022" s="194"/>
      <c r="E1022" s="194"/>
      <c r="F1022" s="194"/>
      <c r="G1022" s="194"/>
      <c r="H1022" s="43"/>
      <c r="I1022" s="86"/>
      <c r="J1022" s="86"/>
      <c r="K1022" s="86"/>
      <c r="L1022" s="86"/>
      <c r="M1022" s="283">
        <v>0</v>
      </c>
    </row>
    <row r="1023" spans="1:13" x14ac:dyDescent="0.25">
      <c r="A1023" s="284">
        <v>0</v>
      </c>
      <c r="B1023" s="314" t="s">
        <v>67</v>
      </c>
      <c r="C1023" s="43"/>
      <c r="D1023" s="194"/>
      <c r="E1023" s="194"/>
      <c r="F1023" s="194"/>
      <c r="G1023" s="194"/>
      <c r="H1023" s="43"/>
      <c r="I1023" s="86"/>
      <c r="J1023" s="86"/>
      <c r="K1023" s="86"/>
      <c r="L1023" s="86"/>
      <c r="M1023" s="283">
        <v>0</v>
      </c>
    </row>
    <row r="1024" spans="1:13" ht="63" x14ac:dyDescent="0.25">
      <c r="A1024" s="284">
        <v>0</v>
      </c>
      <c r="B1024" s="314" t="s">
        <v>68</v>
      </c>
      <c r="C1024" s="43"/>
      <c r="D1024" s="194"/>
      <c r="E1024" s="194"/>
      <c r="F1024" s="194"/>
      <c r="G1024" s="194"/>
      <c r="H1024" s="55" t="s">
        <v>1653</v>
      </c>
      <c r="I1024" s="84">
        <v>60</v>
      </c>
      <c r="J1024" s="84" t="s">
        <v>1654</v>
      </c>
      <c r="K1024" s="84" t="s">
        <v>1655</v>
      </c>
      <c r="L1024" s="136">
        <v>44637</v>
      </c>
      <c r="M1024" s="283">
        <v>0</v>
      </c>
    </row>
    <row r="1025" spans="1:13" ht="31.5" x14ac:dyDescent="0.25">
      <c r="A1025" s="284">
        <v>0</v>
      </c>
      <c r="B1025" s="315">
        <v>0.79166666666666663</v>
      </c>
      <c r="C1025" s="43"/>
      <c r="D1025" s="194"/>
      <c r="E1025" s="194"/>
      <c r="F1025" s="194"/>
      <c r="G1025" s="194"/>
      <c r="H1025" s="55" t="s">
        <v>1656</v>
      </c>
      <c r="I1025" s="84"/>
      <c r="J1025" s="84"/>
      <c r="K1025" s="84">
        <v>2</v>
      </c>
      <c r="L1025" s="130" t="s">
        <v>836</v>
      </c>
      <c r="M1025" s="283">
        <v>0</v>
      </c>
    </row>
    <row r="1026" spans="1:13" x14ac:dyDescent="0.25">
      <c r="A1026" s="284">
        <v>0</v>
      </c>
      <c r="B1026" s="315">
        <v>0.83333333333333337</v>
      </c>
      <c r="C1026" s="43"/>
      <c r="D1026" s="194"/>
      <c r="E1026" s="194"/>
      <c r="F1026" s="194"/>
      <c r="G1026" s="194"/>
      <c r="H1026" s="43"/>
      <c r="I1026" s="86"/>
      <c r="J1026" s="86"/>
      <c r="K1026" s="86">
        <v>3</v>
      </c>
      <c r="L1026" s="86"/>
      <c r="M1026" s="283">
        <v>0</v>
      </c>
    </row>
    <row r="1027" spans="1:13" x14ac:dyDescent="0.25">
      <c r="A1027" s="284">
        <v>0</v>
      </c>
      <c r="B1027" s="315">
        <v>0.875</v>
      </c>
      <c r="C1027" s="43"/>
      <c r="D1027" s="194"/>
      <c r="E1027" s="194"/>
      <c r="F1027" s="194"/>
      <c r="G1027" s="194"/>
      <c r="H1027" s="43"/>
      <c r="I1027" s="86"/>
      <c r="J1027" s="86"/>
      <c r="K1027" s="86">
        <v>4</v>
      </c>
      <c r="L1027" s="86"/>
      <c r="M1027" s="283">
        <v>0</v>
      </c>
    </row>
    <row r="1028" spans="1:13" x14ac:dyDescent="0.25">
      <c r="A1028" s="284">
        <v>0</v>
      </c>
      <c r="B1028" s="315">
        <v>0.91666666666666663</v>
      </c>
      <c r="C1028" s="43"/>
      <c r="D1028" s="194"/>
      <c r="E1028" s="194"/>
      <c r="F1028" s="194"/>
      <c r="G1028" s="194"/>
      <c r="H1028" s="43"/>
      <c r="I1028" s="194"/>
      <c r="J1028" s="194"/>
      <c r="K1028" s="194"/>
      <c r="L1028" s="194"/>
      <c r="M1028" s="283">
        <v>0</v>
      </c>
    </row>
    <row r="1029" spans="1:13" x14ac:dyDescent="0.25">
      <c r="A1029" s="265">
        <f>SUM(A1013:A1028)</f>
        <v>9000</v>
      </c>
      <c r="B1029" s="316">
        <v>0.94791666666666663</v>
      </c>
      <c r="C1029" s="43"/>
      <c r="D1029" s="194"/>
      <c r="E1029" s="194"/>
      <c r="F1029" s="194"/>
      <c r="G1029" s="194"/>
      <c r="H1029" s="43"/>
      <c r="I1029" s="194"/>
      <c r="J1029" s="194"/>
      <c r="K1029" s="194"/>
      <c r="L1029" s="194"/>
      <c r="M1029" s="8">
        <f>SUM(M1012:M1028)</f>
        <v>9570</v>
      </c>
    </row>
    <row r="1030" spans="1:13" ht="47.25" x14ac:dyDescent="0.25">
      <c r="A1030" s="281">
        <f>A1012+1</f>
        <v>44643</v>
      </c>
      <c r="B1030" s="317" t="s">
        <v>54</v>
      </c>
      <c r="C1030" s="55" t="s">
        <v>1657</v>
      </c>
      <c r="D1030" s="56">
        <v>52</v>
      </c>
      <c r="E1030" s="57" t="s">
        <v>25</v>
      </c>
      <c r="F1030" s="57" t="s">
        <v>1548</v>
      </c>
      <c r="G1030" s="57" t="s">
        <v>1658</v>
      </c>
      <c r="H1030" s="55" t="s">
        <v>1659</v>
      </c>
      <c r="I1030" s="84">
        <v>54</v>
      </c>
      <c r="J1030" s="84" t="s">
        <v>1660</v>
      </c>
      <c r="K1030" s="84" t="s">
        <v>1661</v>
      </c>
      <c r="L1030" s="136">
        <v>44643</v>
      </c>
      <c r="M1030" s="283">
        <v>8526</v>
      </c>
    </row>
    <row r="1031" spans="1:13" ht="78.75" x14ac:dyDescent="0.25">
      <c r="A1031" s="284">
        <v>11450</v>
      </c>
      <c r="B1031" s="314" t="s">
        <v>57</v>
      </c>
      <c r="C1031" s="55" t="s">
        <v>1662</v>
      </c>
      <c r="D1031" s="65"/>
      <c r="E1031" s="65"/>
      <c r="F1031" s="65"/>
      <c r="G1031" s="57"/>
      <c r="H1031" s="55" t="s">
        <v>1663</v>
      </c>
      <c r="I1031" s="84"/>
      <c r="J1031" s="84"/>
      <c r="K1031" s="84">
        <v>2</v>
      </c>
      <c r="L1031" s="84" t="s">
        <v>1664</v>
      </c>
      <c r="M1031" s="283">
        <v>0</v>
      </c>
    </row>
    <row r="1032" spans="1:13" x14ac:dyDescent="0.25">
      <c r="A1032" s="284">
        <v>0</v>
      </c>
      <c r="B1032" s="314" t="s">
        <v>58</v>
      </c>
      <c r="C1032" s="43"/>
      <c r="D1032" s="65"/>
      <c r="E1032" s="65"/>
      <c r="F1032" s="65"/>
      <c r="G1032" s="82"/>
      <c r="H1032" s="43"/>
      <c r="I1032" s="86"/>
      <c r="J1032" s="86"/>
      <c r="K1032" s="86">
        <v>3</v>
      </c>
      <c r="L1032" s="86"/>
      <c r="M1032" s="283">
        <v>0</v>
      </c>
    </row>
    <row r="1033" spans="1:13" x14ac:dyDescent="0.25">
      <c r="A1033" s="284">
        <v>0</v>
      </c>
      <c r="B1033" s="314" t="s">
        <v>59</v>
      </c>
      <c r="C1033" s="43"/>
      <c r="D1033" s="65"/>
      <c r="E1033" s="65"/>
      <c r="F1033" s="65"/>
      <c r="G1033" s="82"/>
      <c r="H1033" s="43"/>
      <c r="I1033" s="86"/>
      <c r="J1033" s="86"/>
      <c r="K1033" s="86">
        <v>4</v>
      </c>
      <c r="L1033" s="86"/>
      <c r="M1033" s="283">
        <v>0</v>
      </c>
    </row>
    <row r="1034" spans="1:13" x14ac:dyDescent="0.25">
      <c r="A1034" s="284">
        <v>0</v>
      </c>
      <c r="B1034" s="314" t="s">
        <v>60</v>
      </c>
      <c r="C1034" s="43"/>
      <c r="D1034" s="65"/>
      <c r="E1034" s="65"/>
      <c r="F1034" s="65"/>
      <c r="G1034" s="82"/>
      <c r="H1034" s="43"/>
      <c r="I1034" s="86"/>
      <c r="J1034" s="86"/>
      <c r="K1034" s="86">
        <v>5</v>
      </c>
      <c r="L1034" s="86"/>
      <c r="M1034" s="283">
        <v>0</v>
      </c>
    </row>
    <row r="1035" spans="1:13" x14ac:dyDescent="0.25">
      <c r="A1035" s="284">
        <v>0</v>
      </c>
      <c r="B1035" s="314" t="s">
        <v>61</v>
      </c>
      <c r="C1035" s="43"/>
      <c r="D1035" s="65"/>
      <c r="E1035" s="65"/>
      <c r="F1035" s="65"/>
      <c r="G1035" s="82"/>
      <c r="H1035" s="43"/>
      <c r="I1035" s="86"/>
      <c r="J1035" s="86"/>
      <c r="K1035" s="86">
        <v>6</v>
      </c>
      <c r="L1035" s="86"/>
      <c r="M1035" s="283">
        <v>0</v>
      </c>
    </row>
    <row r="1036" spans="1:13" x14ac:dyDescent="0.25">
      <c r="A1036" s="284">
        <v>0</v>
      </c>
      <c r="B1036" s="314" t="s">
        <v>62</v>
      </c>
      <c r="C1036" s="43"/>
      <c r="D1036" s="65"/>
      <c r="E1036" s="65"/>
      <c r="F1036" s="65"/>
      <c r="G1036" s="82"/>
      <c r="H1036" s="43"/>
      <c r="I1036" s="86"/>
      <c r="J1036" s="86"/>
      <c r="K1036" s="86">
        <v>7</v>
      </c>
      <c r="L1036" s="86"/>
      <c r="M1036" s="283">
        <v>0</v>
      </c>
    </row>
    <row r="1037" spans="1:13" x14ac:dyDescent="0.25">
      <c r="A1037" s="284">
        <v>0</v>
      </c>
      <c r="B1037" s="314" t="s">
        <v>63</v>
      </c>
      <c r="C1037" s="43"/>
      <c r="D1037" s="65"/>
      <c r="E1037" s="65"/>
      <c r="F1037" s="65"/>
      <c r="G1037" s="82"/>
      <c r="H1037" s="43"/>
      <c r="I1037" s="86"/>
      <c r="J1037" s="86"/>
      <c r="K1037" s="86">
        <v>8</v>
      </c>
      <c r="L1037" s="86"/>
      <c r="M1037" s="283">
        <v>0</v>
      </c>
    </row>
    <row r="1038" spans="1:13" x14ac:dyDescent="0.25">
      <c r="A1038" s="284">
        <v>0</v>
      </c>
      <c r="B1038" s="314" t="s">
        <v>64</v>
      </c>
      <c r="C1038" s="43"/>
      <c r="D1038" s="193" t="s">
        <v>1647</v>
      </c>
      <c r="E1038" s="194"/>
      <c r="F1038" s="194"/>
      <c r="G1038" s="194"/>
      <c r="H1038" s="43"/>
      <c r="I1038" s="86"/>
      <c r="J1038" s="86"/>
      <c r="K1038" s="86">
        <v>9</v>
      </c>
      <c r="L1038" s="86"/>
      <c r="M1038" s="283">
        <v>0</v>
      </c>
    </row>
    <row r="1039" spans="1:13" x14ac:dyDescent="0.25">
      <c r="A1039" s="284">
        <v>0</v>
      </c>
      <c r="B1039" s="314" t="s">
        <v>65</v>
      </c>
      <c r="C1039" s="43"/>
      <c r="D1039" s="193" t="s">
        <v>1648</v>
      </c>
      <c r="E1039" s="195"/>
      <c r="F1039" s="194"/>
      <c r="G1039" s="194"/>
      <c r="H1039" s="43"/>
      <c r="I1039" s="86"/>
      <c r="J1039" s="86"/>
      <c r="K1039" s="86">
        <v>10</v>
      </c>
      <c r="L1039" s="86"/>
      <c r="M1039" s="283">
        <v>0</v>
      </c>
    </row>
    <row r="1040" spans="1:13" ht="47.25" x14ac:dyDescent="0.25">
      <c r="A1040" s="284">
        <v>0</v>
      </c>
      <c r="B1040" s="314" t="s">
        <v>66</v>
      </c>
      <c r="C1040" s="43"/>
      <c r="D1040" s="194"/>
      <c r="E1040" s="194"/>
      <c r="F1040" s="194"/>
      <c r="G1040" s="194"/>
      <c r="H1040" s="55" t="s">
        <v>1665</v>
      </c>
      <c r="I1040" s="57">
        <v>60</v>
      </c>
      <c r="J1040" s="57" t="s">
        <v>257</v>
      </c>
      <c r="K1040" s="57" t="s">
        <v>1666</v>
      </c>
      <c r="L1040" s="125">
        <v>44638</v>
      </c>
      <c r="M1040" s="283">
        <v>4000</v>
      </c>
    </row>
    <row r="1041" spans="1:13" ht="31.5" x14ac:dyDescent="0.25">
      <c r="A1041" s="284">
        <v>0</v>
      </c>
      <c r="B1041" s="314" t="s">
        <v>67</v>
      </c>
      <c r="C1041" s="43"/>
      <c r="D1041" s="194"/>
      <c r="E1041" s="194"/>
      <c r="F1041" s="194"/>
      <c r="G1041" s="194"/>
      <c r="H1041" s="55" t="s">
        <v>1667</v>
      </c>
      <c r="I1041" s="57"/>
      <c r="J1041" s="57"/>
      <c r="K1041" s="57">
        <v>2</v>
      </c>
      <c r="L1041" s="57"/>
      <c r="M1041" s="283">
        <v>0</v>
      </c>
    </row>
    <row r="1042" spans="1:13" x14ac:dyDescent="0.25">
      <c r="A1042" s="284">
        <v>0</v>
      </c>
      <c r="B1042" s="314" t="s">
        <v>68</v>
      </c>
      <c r="C1042" s="43"/>
      <c r="D1042" s="194"/>
      <c r="E1042" s="194"/>
      <c r="F1042" s="194"/>
      <c r="G1042" s="194"/>
      <c r="H1042" s="43"/>
      <c r="I1042" s="188" t="s">
        <v>1668</v>
      </c>
      <c r="J1042" s="188"/>
      <c r="K1042" s="188"/>
      <c r="L1042" s="188"/>
      <c r="M1042" s="283">
        <v>0</v>
      </c>
    </row>
    <row r="1043" spans="1:13" x14ac:dyDescent="0.25">
      <c r="A1043" s="284">
        <v>0</v>
      </c>
      <c r="B1043" s="315">
        <v>0.79166666666666663</v>
      </c>
      <c r="C1043" s="43"/>
      <c r="D1043" s="194"/>
      <c r="E1043" s="194"/>
      <c r="F1043" s="194"/>
      <c r="G1043" s="194"/>
      <c r="H1043" s="43"/>
      <c r="I1043" s="188"/>
      <c r="J1043" s="188"/>
      <c r="K1043" s="188"/>
      <c r="L1043" s="188"/>
      <c r="M1043" s="283">
        <v>0</v>
      </c>
    </row>
    <row r="1044" spans="1:13" x14ac:dyDescent="0.25">
      <c r="A1044" s="284">
        <v>0</v>
      </c>
      <c r="B1044" s="315">
        <v>0.83333333333333337</v>
      </c>
      <c r="C1044" s="43"/>
      <c r="D1044" s="194"/>
      <c r="E1044" s="194"/>
      <c r="F1044" s="194"/>
      <c r="G1044" s="194"/>
      <c r="H1044" s="43"/>
      <c r="I1044" s="188"/>
      <c r="J1044" s="188"/>
      <c r="K1044" s="188"/>
      <c r="L1044" s="188"/>
      <c r="M1044" s="283">
        <v>0</v>
      </c>
    </row>
    <row r="1045" spans="1:13" x14ac:dyDescent="0.25">
      <c r="A1045" s="284">
        <v>0</v>
      </c>
      <c r="B1045" s="315">
        <v>0.875</v>
      </c>
      <c r="C1045" s="43"/>
      <c r="D1045" s="194"/>
      <c r="E1045" s="194"/>
      <c r="F1045" s="194"/>
      <c r="G1045" s="194"/>
      <c r="H1045" s="43"/>
      <c r="I1045" s="194"/>
      <c r="J1045" s="194"/>
      <c r="K1045" s="194"/>
      <c r="L1045" s="194"/>
      <c r="M1045" s="283">
        <v>0</v>
      </c>
    </row>
    <row r="1046" spans="1:13" x14ac:dyDescent="0.25">
      <c r="A1046" s="284">
        <v>0</v>
      </c>
      <c r="B1046" s="315">
        <v>0.91666666666666663</v>
      </c>
      <c r="C1046" s="43"/>
      <c r="D1046" s="194"/>
      <c r="E1046" s="194"/>
      <c r="F1046" s="194"/>
      <c r="G1046" s="194"/>
      <c r="H1046" s="43"/>
      <c r="I1046" s="194"/>
      <c r="J1046" s="194"/>
      <c r="K1046" s="194"/>
      <c r="L1046" s="194"/>
      <c r="M1046" s="283">
        <v>0</v>
      </c>
    </row>
    <row r="1047" spans="1:13" x14ac:dyDescent="0.25">
      <c r="A1047" s="265">
        <f>SUM(A1031:A1046)</f>
        <v>11450</v>
      </c>
      <c r="B1047" s="316">
        <v>0.94791666666666663</v>
      </c>
      <c r="C1047" s="43"/>
      <c r="D1047" s="194"/>
      <c r="E1047" s="194"/>
      <c r="F1047" s="194"/>
      <c r="G1047" s="194"/>
      <c r="H1047" s="43"/>
      <c r="I1047" s="194"/>
      <c r="J1047" s="194"/>
      <c r="K1047" s="194"/>
      <c r="L1047" s="194"/>
      <c r="M1047" s="8">
        <f>SUM(M1030:M1046)</f>
        <v>12526</v>
      </c>
    </row>
    <row r="1048" spans="1:13" x14ac:dyDescent="0.25">
      <c r="A1048" s="281">
        <f>A1030+1</f>
        <v>44644</v>
      </c>
      <c r="B1048" s="317" t="s">
        <v>54</v>
      </c>
      <c r="C1048" s="43"/>
      <c r="D1048" s="65" t="s">
        <v>1669</v>
      </c>
      <c r="E1048" s="65"/>
      <c r="F1048" s="65"/>
      <c r="G1048" s="65"/>
      <c r="H1048" s="87" t="s">
        <v>1670</v>
      </c>
      <c r="I1048" s="65"/>
      <c r="J1048" s="65"/>
      <c r="K1048" s="65">
        <v>3</v>
      </c>
      <c r="L1048" s="65"/>
      <c r="M1048" s="283">
        <v>2000</v>
      </c>
    </row>
    <row r="1049" spans="1:13" x14ac:dyDescent="0.25">
      <c r="A1049" s="284">
        <v>0</v>
      </c>
      <c r="B1049" s="314" t="s">
        <v>57</v>
      </c>
      <c r="C1049" s="43"/>
      <c r="D1049" s="65" t="s">
        <v>1671</v>
      </c>
      <c r="E1049" s="65"/>
      <c r="F1049" s="65"/>
      <c r="G1049" s="65"/>
      <c r="H1049" s="43"/>
      <c r="I1049" s="65"/>
      <c r="J1049" s="65"/>
      <c r="K1049" s="65">
        <v>4</v>
      </c>
      <c r="L1049" s="65"/>
      <c r="M1049" s="283">
        <v>0</v>
      </c>
    </row>
    <row r="1050" spans="1:13" x14ac:dyDescent="0.25">
      <c r="A1050" s="284">
        <v>0</v>
      </c>
      <c r="B1050" s="314" t="s">
        <v>58</v>
      </c>
      <c r="C1050" s="43"/>
      <c r="D1050" s="65" t="s">
        <v>1672</v>
      </c>
      <c r="E1050" s="65"/>
      <c r="F1050" s="65"/>
      <c r="G1050" s="65"/>
      <c r="H1050" s="43"/>
      <c r="I1050" s="65"/>
      <c r="J1050" s="65"/>
      <c r="K1050" s="65">
        <v>5</v>
      </c>
      <c r="L1050" s="65"/>
      <c r="M1050" s="283">
        <v>0</v>
      </c>
    </row>
    <row r="1051" spans="1:13" x14ac:dyDescent="0.25">
      <c r="A1051" s="284">
        <v>0</v>
      </c>
      <c r="B1051" s="314" t="s">
        <v>59</v>
      </c>
      <c r="C1051" s="43"/>
      <c r="D1051" s="65"/>
      <c r="E1051" s="65"/>
      <c r="F1051" s="65"/>
      <c r="G1051" s="65"/>
      <c r="H1051" s="43"/>
      <c r="I1051" s="65"/>
      <c r="J1051" s="65"/>
      <c r="K1051" s="65"/>
      <c r="L1051" s="65"/>
      <c r="M1051" s="283">
        <v>0</v>
      </c>
    </row>
    <row r="1052" spans="1:13" ht="47.25" x14ac:dyDescent="0.25">
      <c r="A1052" s="284">
        <v>6000</v>
      </c>
      <c r="B1052" s="314" t="s">
        <v>60</v>
      </c>
      <c r="C1052" s="55" t="s">
        <v>1673</v>
      </c>
      <c r="D1052" s="56">
        <v>52</v>
      </c>
      <c r="E1052" s="57" t="s">
        <v>25</v>
      </c>
      <c r="F1052" s="57" t="s">
        <v>1674</v>
      </c>
      <c r="G1052" s="57" t="s">
        <v>1675</v>
      </c>
      <c r="H1052" s="55" t="s">
        <v>1676</v>
      </c>
      <c r="I1052" s="57">
        <v>30</v>
      </c>
      <c r="J1052" s="57" t="s">
        <v>1234</v>
      </c>
      <c r="K1052" s="57" t="s">
        <v>1677</v>
      </c>
      <c r="L1052" s="125">
        <v>44643</v>
      </c>
      <c r="M1052" s="283">
        <v>2167</v>
      </c>
    </row>
    <row r="1053" spans="1:13" ht="78.75" x14ac:dyDescent="0.25">
      <c r="A1053" s="284">
        <v>0</v>
      </c>
      <c r="B1053" s="314" t="s">
        <v>61</v>
      </c>
      <c r="C1053" s="55" t="s">
        <v>1678</v>
      </c>
      <c r="D1053" s="65" t="s">
        <v>1679</v>
      </c>
      <c r="E1053" s="65"/>
      <c r="F1053" s="65">
        <v>2</v>
      </c>
      <c r="G1053" s="65"/>
      <c r="H1053" s="55" t="s">
        <v>1680</v>
      </c>
      <c r="I1053" s="57"/>
      <c r="J1053" s="57"/>
      <c r="K1053" s="57"/>
      <c r="L1053" s="178" t="s">
        <v>921</v>
      </c>
      <c r="M1053" s="283">
        <v>0</v>
      </c>
    </row>
    <row r="1054" spans="1:13" x14ac:dyDescent="0.25">
      <c r="A1054" s="284">
        <v>0</v>
      </c>
      <c r="B1054" s="314" t="s">
        <v>62</v>
      </c>
      <c r="C1054" s="43"/>
      <c r="D1054" s="65" t="s">
        <v>1681</v>
      </c>
      <c r="E1054" s="65"/>
      <c r="F1054" s="65">
        <v>3</v>
      </c>
      <c r="G1054" s="65"/>
      <c r="H1054" s="43"/>
      <c r="I1054" s="65"/>
      <c r="J1054" s="65"/>
      <c r="K1054" s="65"/>
      <c r="L1054" s="65"/>
      <c r="M1054" s="283">
        <v>0</v>
      </c>
    </row>
    <row r="1055" spans="1:13" x14ac:dyDescent="0.25">
      <c r="A1055" s="284">
        <v>0</v>
      </c>
      <c r="B1055" s="314" t="s">
        <v>63</v>
      </c>
      <c r="C1055" s="43"/>
      <c r="D1055" s="65" t="s">
        <v>1682</v>
      </c>
      <c r="E1055" s="65"/>
      <c r="F1055" s="65">
        <v>4</v>
      </c>
      <c r="G1055" s="65"/>
      <c r="H1055" s="43"/>
      <c r="I1055" s="65"/>
      <c r="J1055" s="65"/>
      <c r="K1055" s="65"/>
      <c r="L1055" s="65"/>
      <c r="M1055" s="283">
        <v>0</v>
      </c>
    </row>
    <row r="1056" spans="1:13" x14ac:dyDescent="0.25">
      <c r="A1056" s="284">
        <v>0</v>
      </c>
      <c r="B1056" s="314" t="s">
        <v>64</v>
      </c>
      <c r="C1056" s="43"/>
      <c r="D1056" s="193" t="s">
        <v>1648</v>
      </c>
      <c r="E1056" s="195"/>
      <c r="F1056" s="194"/>
      <c r="G1056" s="194"/>
      <c r="H1056" s="43"/>
      <c r="I1056" s="65"/>
      <c r="J1056" s="65"/>
      <c r="K1056" s="65"/>
      <c r="L1056" s="65"/>
      <c r="M1056" s="283">
        <v>0</v>
      </c>
    </row>
    <row r="1057" spans="1:13" ht="47.25" x14ac:dyDescent="0.25">
      <c r="A1057" s="284">
        <v>0</v>
      </c>
      <c r="B1057" s="314" t="s">
        <v>65</v>
      </c>
      <c r="C1057" s="43"/>
      <c r="D1057" s="194"/>
      <c r="E1057" s="194"/>
      <c r="F1057" s="194"/>
      <c r="G1057" s="194"/>
      <c r="H1057" s="55" t="s">
        <v>1683</v>
      </c>
      <c r="I1057" s="57">
        <v>36</v>
      </c>
      <c r="J1057" s="57" t="s">
        <v>1238</v>
      </c>
      <c r="K1057" s="57" t="s">
        <v>1684</v>
      </c>
      <c r="L1057" s="125">
        <v>44644</v>
      </c>
      <c r="M1057" s="283">
        <v>487</v>
      </c>
    </row>
    <row r="1058" spans="1:13" x14ac:dyDescent="0.25">
      <c r="A1058" s="284">
        <v>0</v>
      </c>
      <c r="B1058" s="314" t="s">
        <v>66</v>
      </c>
      <c r="C1058" s="43"/>
      <c r="D1058" s="194"/>
      <c r="E1058" s="194"/>
      <c r="F1058" s="194"/>
      <c r="G1058" s="194"/>
      <c r="H1058" s="55" t="s">
        <v>1685</v>
      </c>
      <c r="I1058" s="57"/>
      <c r="J1058" s="57"/>
      <c r="K1058" s="57"/>
      <c r="L1058" s="178" t="s">
        <v>1664</v>
      </c>
      <c r="M1058" s="283">
        <v>0</v>
      </c>
    </row>
    <row r="1059" spans="1:13" x14ac:dyDescent="0.25">
      <c r="A1059" s="284">
        <v>0</v>
      </c>
      <c r="B1059" s="314" t="s">
        <v>67</v>
      </c>
      <c r="C1059" s="43"/>
      <c r="D1059" s="194"/>
      <c r="E1059" s="194"/>
      <c r="F1059" s="194"/>
      <c r="G1059" s="194"/>
      <c r="H1059" s="43"/>
      <c r="I1059" s="57"/>
      <c r="J1059" s="57"/>
      <c r="K1059" s="57"/>
      <c r="L1059" s="57"/>
      <c r="M1059" s="283">
        <v>0</v>
      </c>
    </row>
    <row r="1060" spans="1:13" x14ac:dyDescent="0.25">
      <c r="A1060" s="284">
        <v>0</v>
      </c>
      <c r="B1060" s="314" t="s">
        <v>68</v>
      </c>
      <c r="C1060" s="43"/>
      <c r="D1060" s="194"/>
      <c r="E1060" s="194"/>
      <c r="F1060" s="194"/>
      <c r="G1060" s="194"/>
      <c r="H1060" s="43"/>
      <c r="I1060" s="57"/>
      <c r="J1060" s="57"/>
      <c r="K1060" s="57"/>
      <c r="L1060" s="57"/>
      <c r="M1060" s="283">
        <v>2387</v>
      </c>
    </row>
    <row r="1061" spans="1:13" x14ac:dyDescent="0.25">
      <c r="A1061" s="284">
        <v>0</v>
      </c>
      <c r="B1061" s="315">
        <v>0.79166666666666663</v>
      </c>
      <c r="C1061" s="43"/>
      <c r="D1061" s="194"/>
      <c r="E1061" s="194"/>
      <c r="F1061" s="194"/>
      <c r="G1061" s="194"/>
      <c r="H1061" s="43"/>
      <c r="I1061" s="57"/>
      <c r="J1061" s="57"/>
      <c r="K1061" s="57"/>
      <c r="L1061" s="57"/>
      <c r="M1061" s="283">
        <v>0</v>
      </c>
    </row>
    <row r="1062" spans="1:13" x14ac:dyDescent="0.25">
      <c r="A1062" s="284">
        <v>0</v>
      </c>
      <c r="B1062" s="315">
        <v>0.83333333333333337</v>
      </c>
      <c r="C1062" s="43"/>
      <c r="D1062" s="194"/>
      <c r="E1062" s="194"/>
      <c r="F1062" s="194"/>
      <c r="G1062" s="194"/>
      <c r="H1062" s="43"/>
      <c r="I1062" s="57"/>
      <c r="J1062" s="57"/>
      <c r="K1062" s="57"/>
      <c r="L1062" s="57"/>
      <c r="M1062" s="283">
        <v>0</v>
      </c>
    </row>
    <row r="1063" spans="1:13" x14ac:dyDescent="0.25">
      <c r="A1063" s="284">
        <v>0</v>
      </c>
      <c r="B1063" s="315">
        <v>0.875</v>
      </c>
      <c r="C1063" s="43"/>
      <c r="D1063" s="194"/>
      <c r="E1063" s="194"/>
      <c r="F1063" s="194"/>
      <c r="G1063" s="194"/>
      <c r="H1063" s="43"/>
      <c r="I1063" s="57"/>
      <c r="J1063" s="57"/>
      <c r="K1063" s="57"/>
      <c r="L1063" s="57"/>
      <c r="M1063" s="283">
        <v>0</v>
      </c>
    </row>
    <row r="1064" spans="1:13" x14ac:dyDescent="0.25">
      <c r="A1064" s="284">
        <v>0</v>
      </c>
      <c r="B1064" s="315">
        <v>0.91666666666666663</v>
      </c>
      <c r="C1064" s="43"/>
      <c r="D1064" s="194"/>
      <c r="E1064" s="194"/>
      <c r="F1064" s="194"/>
      <c r="G1064" s="194"/>
      <c r="H1064" s="43"/>
      <c r="I1064" s="194"/>
      <c r="J1064" s="194"/>
      <c r="K1064" s="194"/>
      <c r="L1064" s="194"/>
      <c r="M1064" s="283">
        <v>0</v>
      </c>
    </row>
    <row r="1065" spans="1:13" x14ac:dyDescent="0.25">
      <c r="A1065" s="265">
        <f>SUM(A1049:A1064)</f>
        <v>6000</v>
      </c>
      <c r="B1065" s="316">
        <v>0.94791666666666663</v>
      </c>
      <c r="C1065" s="43"/>
      <c r="D1065" s="194"/>
      <c r="E1065" s="194"/>
      <c r="F1065" s="194"/>
      <c r="G1065" s="194"/>
      <c r="H1065" s="43"/>
      <c r="I1065" s="194"/>
      <c r="J1065" s="194"/>
      <c r="K1065" s="194"/>
      <c r="L1065" s="194"/>
      <c r="M1065" s="8">
        <f>SUM(M1048:M1064)</f>
        <v>7041</v>
      </c>
    </row>
    <row r="1066" spans="1:13" ht="47.25" x14ac:dyDescent="0.25">
      <c r="A1066" s="281">
        <f>A1048+1</f>
        <v>44645</v>
      </c>
      <c r="B1066" s="317" t="s">
        <v>54</v>
      </c>
      <c r="C1066" s="43"/>
      <c r="D1066" s="65"/>
      <c r="E1066" s="65"/>
      <c r="F1066" s="65">
        <v>5</v>
      </c>
      <c r="G1066" s="65"/>
      <c r="H1066" s="55" t="s">
        <v>1686</v>
      </c>
      <c r="I1066" s="57">
        <v>60</v>
      </c>
      <c r="J1066" s="57" t="s">
        <v>25</v>
      </c>
      <c r="K1066" s="57" t="s">
        <v>1687</v>
      </c>
      <c r="L1066" s="125">
        <v>44645</v>
      </c>
      <c r="M1066" s="283">
        <v>0</v>
      </c>
    </row>
    <row r="1067" spans="1:13" ht="31.5" x14ac:dyDescent="0.25">
      <c r="A1067" s="284">
        <v>7500</v>
      </c>
      <c r="B1067" s="314" t="s">
        <v>57</v>
      </c>
      <c r="C1067" s="43"/>
      <c r="D1067" s="65"/>
      <c r="E1067" s="65"/>
      <c r="F1067" s="65">
        <v>6</v>
      </c>
      <c r="G1067" s="65"/>
      <c r="H1067" s="55" t="s">
        <v>1688</v>
      </c>
      <c r="I1067" s="57"/>
      <c r="J1067" s="57"/>
      <c r="K1067" s="57"/>
      <c r="L1067" s="57"/>
      <c r="M1067" s="283">
        <v>0</v>
      </c>
    </row>
    <row r="1068" spans="1:13" x14ac:dyDescent="0.25">
      <c r="A1068" s="284">
        <v>0</v>
      </c>
      <c r="B1068" s="314" t="s">
        <v>58</v>
      </c>
      <c r="C1068" s="43"/>
      <c r="D1068" s="65"/>
      <c r="E1068" s="65"/>
      <c r="F1068" s="65">
        <v>7</v>
      </c>
      <c r="G1068" s="65"/>
      <c r="H1068" s="43"/>
      <c r="I1068" s="65"/>
      <c r="J1068" s="65"/>
      <c r="K1068" s="65"/>
      <c r="L1068" s="65"/>
      <c r="M1068" s="283">
        <v>0</v>
      </c>
    </row>
    <row r="1069" spans="1:13" x14ac:dyDescent="0.25">
      <c r="A1069" s="284">
        <v>0</v>
      </c>
      <c r="B1069" s="314" t="s">
        <v>59</v>
      </c>
      <c r="C1069" s="43"/>
      <c r="D1069" s="65"/>
      <c r="E1069" s="65"/>
      <c r="F1069" s="65">
        <v>8</v>
      </c>
      <c r="G1069" s="65"/>
      <c r="H1069" s="43"/>
      <c r="I1069" s="65"/>
      <c r="J1069" s="65"/>
      <c r="K1069" s="65"/>
      <c r="L1069" s="65"/>
      <c r="M1069" s="283">
        <v>0</v>
      </c>
    </row>
    <row r="1070" spans="1:13" x14ac:dyDescent="0.25">
      <c r="A1070" s="284">
        <v>0</v>
      </c>
      <c r="B1070" s="314" t="s">
        <v>60</v>
      </c>
      <c r="C1070" s="43"/>
      <c r="D1070" s="65"/>
      <c r="E1070" s="65"/>
      <c r="F1070" s="65">
        <v>9</v>
      </c>
      <c r="G1070" s="65"/>
      <c r="H1070" s="43"/>
      <c r="I1070" s="65"/>
      <c r="J1070" s="65"/>
      <c r="K1070" s="65"/>
      <c r="L1070" s="65"/>
      <c r="M1070" s="283">
        <v>0</v>
      </c>
    </row>
    <row r="1071" spans="1:13" x14ac:dyDescent="0.25">
      <c r="A1071" s="284">
        <v>0</v>
      </c>
      <c r="B1071" s="314" t="s">
        <v>61</v>
      </c>
      <c r="C1071" s="43"/>
      <c r="D1071" s="65"/>
      <c r="E1071" s="65"/>
      <c r="F1071" s="65">
        <v>10</v>
      </c>
      <c r="G1071" s="65"/>
      <c r="H1071" s="43"/>
      <c r="I1071" s="86"/>
      <c r="J1071" s="86"/>
      <c r="K1071" s="86"/>
      <c r="L1071" s="86"/>
      <c r="M1071" s="283">
        <v>0</v>
      </c>
    </row>
    <row r="1072" spans="1:13" ht="47.25" x14ac:dyDescent="0.25">
      <c r="A1072" s="284">
        <v>0</v>
      </c>
      <c r="B1072" s="314" t="s">
        <v>62</v>
      </c>
      <c r="C1072" s="43"/>
      <c r="D1072" s="65"/>
      <c r="E1072" s="65"/>
      <c r="F1072" s="65">
        <v>11</v>
      </c>
      <c r="G1072" s="65"/>
      <c r="H1072" s="55" t="s">
        <v>1689</v>
      </c>
      <c r="I1072" s="57">
        <v>60</v>
      </c>
      <c r="J1072" s="57" t="s">
        <v>1690</v>
      </c>
      <c r="K1072" s="57" t="s">
        <v>1691</v>
      </c>
      <c r="L1072" s="125">
        <v>44645</v>
      </c>
      <c r="M1072" s="283">
        <v>0</v>
      </c>
    </row>
    <row r="1073" spans="1:13" ht="31.5" x14ac:dyDescent="0.25">
      <c r="A1073" s="284">
        <v>0</v>
      </c>
      <c r="B1073" s="314" t="s">
        <v>63</v>
      </c>
      <c r="C1073" s="43"/>
      <c r="D1073" s="193" t="s">
        <v>1647</v>
      </c>
      <c r="E1073" s="194"/>
      <c r="F1073" s="194"/>
      <c r="G1073" s="194"/>
      <c r="H1073" s="55" t="s">
        <v>1692</v>
      </c>
      <c r="I1073" s="57"/>
      <c r="J1073" s="57"/>
      <c r="K1073" s="57">
        <v>2</v>
      </c>
      <c r="L1073" s="57"/>
      <c r="M1073" s="283">
        <v>0</v>
      </c>
    </row>
    <row r="1074" spans="1:13" x14ac:dyDescent="0.25">
      <c r="A1074" s="284">
        <v>0</v>
      </c>
      <c r="B1074" s="314" t="s">
        <v>64</v>
      </c>
      <c r="C1074" s="43"/>
      <c r="D1074" s="193" t="s">
        <v>1648</v>
      </c>
      <c r="E1074" s="195"/>
      <c r="F1074" s="194"/>
      <c r="G1074" s="194"/>
      <c r="H1074" s="43"/>
      <c r="I1074" s="57"/>
      <c r="J1074" s="57"/>
      <c r="K1074" s="57">
        <v>3</v>
      </c>
      <c r="L1074" s="57"/>
      <c r="M1074" s="283">
        <v>0</v>
      </c>
    </row>
    <row r="1075" spans="1:13" x14ac:dyDescent="0.25">
      <c r="A1075" s="284">
        <v>0</v>
      </c>
      <c r="B1075" s="314" t="s">
        <v>65</v>
      </c>
      <c r="C1075" s="43"/>
      <c r="D1075" s="194"/>
      <c r="E1075" s="194"/>
      <c r="F1075" s="194"/>
      <c r="G1075" s="194"/>
      <c r="H1075" s="43"/>
      <c r="I1075" s="57"/>
      <c r="J1075" s="57"/>
      <c r="K1075" s="57">
        <v>4</v>
      </c>
      <c r="L1075" s="57"/>
      <c r="M1075" s="283">
        <v>0</v>
      </c>
    </row>
    <row r="1076" spans="1:13" x14ac:dyDescent="0.25">
      <c r="A1076" s="284">
        <v>0</v>
      </c>
      <c r="B1076" s="314" t="s">
        <v>66</v>
      </c>
      <c r="C1076" s="43"/>
      <c r="D1076" s="194"/>
      <c r="E1076" s="194"/>
      <c r="F1076" s="194"/>
      <c r="G1076" s="194"/>
      <c r="H1076" s="43"/>
      <c r="I1076" s="57"/>
      <c r="J1076" s="57"/>
      <c r="K1076" s="57">
        <v>5</v>
      </c>
      <c r="L1076" s="57"/>
      <c r="M1076" s="283">
        <v>0</v>
      </c>
    </row>
    <row r="1077" spans="1:13" x14ac:dyDescent="0.25">
      <c r="A1077" s="284">
        <v>0</v>
      </c>
      <c r="B1077" s="314" t="s">
        <v>67</v>
      </c>
      <c r="C1077" s="43"/>
      <c r="D1077" s="194"/>
      <c r="E1077" s="194"/>
      <c r="F1077" s="194"/>
      <c r="G1077" s="194"/>
      <c r="H1077" s="43"/>
      <c r="I1077" s="57"/>
      <c r="J1077" s="57"/>
      <c r="K1077" s="57">
        <v>6</v>
      </c>
      <c r="L1077" s="57"/>
      <c r="M1077" s="283">
        <v>0</v>
      </c>
    </row>
    <row r="1078" spans="1:13" x14ac:dyDescent="0.25">
      <c r="A1078" s="284">
        <v>0</v>
      </c>
      <c r="B1078" s="314" t="s">
        <v>68</v>
      </c>
      <c r="C1078" s="43"/>
      <c r="D1078" s="194"/>
      <c r="E1078" s="194"/>
      <c r="F1078" s="194"/>
      <c r="G1078" s="194"/>
      <c r="H1078" s="43"/>
      <c r="I1078" s="57"/>
      <c r="J1078" s="57"/>
      <c r="K1078" s="57">
        <v>7</v>
      </c>
      <c r="L1078" s="57"/>
      <c r="M1078" s="283">
        <v>0</v>
      </c>
    </row>
    <row r="1079" spans="1:13" x14ac:dyDescent="0.25">
      <c r="A1079" s="284">
        <v>0</v>
      </c>
      <c r="B1079" s="315">
        <v>0.79166666666666663</v>
      </c>
      <c r="C1079" s="43"/>
      <c r="D1079" s="194"/>
      <c r="E1079" s="194"/>
      <c r="F1079" s="194"/>
      <c r="G1079" s="194"/>
      <c r="H1079" s="43"/>
      <c r="I1079" s="57"/>
      <c r="J1079" s="57"/>
      <c r="K1079" s="57"/>
      <c r="L1079" s="57"/>
      <c r="M1079" s="283">
        <v>0</v>
      </c>
    </row>
    <row r="1080" spans="1:13" x14ac:dyDescent="0.25">
      <c r="A1080" s="284">
        <v>0</v>
      </c>
      <c r="B1080" s="315">
        <v>0.83333333333333337</v>
      </c>
      <c r="C1080" s="43"/>
      <c r="D1080" s="194"/>
      <c r="E1080" s="194"/>
      <c r="F1080" s="194"/>
      <c r="G1080" s="194"/>
      <c r="H1080" s="43"/>
      <c r="I1080" s="57"/>
      <c r="J1080" s="57"/>
      <c r="K1080" s="57"/>
      <c r="L1080" s="57"/>
      <c r="M1080" s="283">
        <v>0</v>
      </c>
    </row>
    <row r="1081" spans="1:13" x14ac:dyDescent="0.25">
      <c r="A1081" s="284">
        <v>0</v>
      </c>
      <c r="B1081" s="315">
        <v>0.875</v>
      </c>
      <c r="C1081" s="43"/>
      <c r="D1081" s="194"/>
      <c r="E1081" s="194"/>
      <c r="F1081" s="194"/>
      <c r="G1081" s="194"/>
      <c r="H1081" s="43"/>
      <c r="I1081" s="194"/>
      <c r="J1081" s="194"/>
      <c r="K1081" s="194"/>
      <c r="L1081" s="194"/>
      <c r="M1081" s="283">
        <v>0</v>
      </c>
    </row>
    <row r="1082" spans="1:13" x14ac:dyDescent="0.25">
      <c r="A1082" s="284">
        <v>0</v>
      </c>
      <c r="B1082" s="315">
        <v>0.91666666666666663</v>
      </c>
      <c r="C1082" s="43"/>
      <c r="D1082" s="194"/>
      <c r="E1082" s="194"/>
      <c r="F1082" s="194"/>
      <c r="G1082" s="194"/>
      <c r="H1082" s="43"/>
      <c r="I1082" s="194"/>
      <c r="J1082" s="194"/>
      <c r="K1082" s="194"/>
      <c r="L1082" s="194"/>
      <c r="M1082" s="283">
        <v>0</v>
      </c>
    </row>
    <row r="1083" spans="1:13" x14ac:dyDescent="0.25">
      <c r="A1083" s="265">
        <f>SUM(A1067:A1082)</f>
        <v>7500</v>
      </c>
      <c r="B1083" s="316">
        <v>0.94791666666666663</v>
      </c>
      <c r="C1083" s="43"/>
      <c r="D1083" s="194"/>
      <c r="E1083" s="194"/>
      <c r="F1083" s="194"/>
      <c r="G1083" s="194"/>
      <c r="H1083" s="43"/>
      <c r="I1083" s="194"/>
      <c r="J1083" s="194"/>
      <c r="K1083" s="194"/>
      <c r="L1083" s="194"/>
      <c r="M1083" s="8">
        <f>SUM(M1066:M1082)</f>
        <v>0</v>
      </c>
    </row>
    <row r="1084" spans="1:13" ht="47.25" x14ac:dyDescent="0.25">
      <c r="A1084" s="281">
        <f>A1066+3</f>
        <v>44648</v>
      </c>
      <c r="B1084" s="296" t="s">
        <v>54</v>
      </c>
      <c r="C1084" s="55" t="s">
        <v>1693</v>
      </c>
      <c r="D1084" s="56">
        <v>52</v>
      </c>
      <c r="E1084" s="57" t="s">
        <v>25</v>
      </c>
      <c r="F1084" s="57" t="s">
        <v>1548</v>
      </c>
      <c r="G1084" s="57" t="s">
        <v>1694</v>
      </c>
      <c r="H1084" s="55" t="s">
        <v>1695</v>
      </c>
      <c r="I1084" s="57">
        <v>48</v>
      </c>
      <c r="J1084" s="57" t="s">
        <v>70</v>
      </c>
      <c r="K1084" s="57" t="s">
        <v>1696</v>
      </c>
      <c r="L1084" s="125">
        <v>44645</v>
      </c>
      <c r="M1084" s="283">
        <v>900</v>
      </c>
    </row>
    <row r="1085" spans="1:13" ht="78.75" x14ac:dyDescent="0.25">
      <c r="A1085" s="284">
        <v>7000</v>
      </c>
      <c r="B1085" s="314" t="s">
        <v>57</v>
      </c>
      <c r="C1085" s="55" t="s">
        <v>1697</v>
      </c>
      <c r="D1085" s="65"/>
      <c r="E1085" s="65"/>
      <c r="F1085" s="65">
        <v>2</v>
      </c>
      <c r="G1085" s="65"/>
      <c r="H1085" s="55" t="s">
        <v>1698</v>
      </c>
      <c r="I1085" s="57"/>
      <c r="J1085" s="57"/>
      <c r="K1085" s="57"/>
      <c r="L1085" s="57" t="s">
        <v>917</v>
      </c>
      <c r="M1085" s="283">
        <v>0</v>
      </c>
    </row>
    <row r="1086" spans="1:13" x14ac:dyDescent="0.25">
      <c r="A1086" s="284">
        <v>0</v>
      </c>
      <c r="B1086" s="314" t="s">
        <v>58</v>
      </c>
      <c r="C1086" s="43"/>
      <c r="D1086" s="65"/>
      <c r="E1086" s="65"/>
      <c r="F1086" s="65">
        <v>3</v>
      </c>
      <c r="G1086" s="65"/>
      <c r="H1086" s="43"/>
      <c r="I1086" s="57"/>
      <c r="J1086" s="57"/>
      <c r="K1086" s="57"/>
      <c r="L1086" s="57"/>
      <c r="M1086" s="283">
        <v>500</v>
      </c>
    </row>
    <row r="1087" spans="1:13" x14ac:dyDescent="0.25">
      <c r="A1087" s="284">
        <v>0</v>
      </c>
      <c r="B1087" s="314" t="s">
        <v>59</v>
      </c>
      <c r="C1087" s="43"/>
      <c r="D1087" s="65"/>
      <c r="E1087" s="65"/>
      <c r="F1087" s="65">
        <v>4</v>
      </c>
      <c r="G1087" s="65"/>
      <c r="H1087" s="43"/>
      <c r="I1087" s="57"/>
      <c r="J1087" s="57"/>
      <c r="K1087" s="57"/>
      <c r="L1087" s="57"/>
      <c r="M1087" s="283">
        <v>0</v>
      </c>
    </row>
    <row r="1088" spans="1:13" x14ac:dyDescent="0.25">
      <c r="A1088" s="284">
        <v>0</v>
      </c>
      <c r="B1088" s="314" t="s">
        <v>60</v>
      </c>
      <c r="C1088" s="43"/>
      <c r="D1088" s="86"/>
      <c r="E1088" s="86"/>
      <c r="F1088" s="86">
        <v>5</v>
      </c>
      <c r="G1088" s="86"/>
      <c r="H1088" s="43"/>
      <c r="I1088" s="57"/>
      <c r="J1088" s="57"/>
      <c r="K1088" s="57"/>
      <c r="L1088" s="57"/>
      <c r="M1088" s="283">
        <v>540</v>
      </c>
    </row>
    <row r="1089" spans="1:13" x14ac:dyDescent="0.25">
      <c r="A1089" s="284">
        <v>0</v>
      </c>
      <c r="B1089" s="314" t="s">
        <v>61</v>
      </c>
      <c r="C1089" s="43"/>
      <c r="D1089" s="86"/>
      <c r="E1089" s="86"/>
      <c r="F1089" s="86">
        <v>6</v>
      </c>
      <c r="G1089" s="86"/>
      <c r="H1089" s="43"/>
      <c r="I1089" s="57"/>
      <c r="J1089" s="57"/>
      <c r="K1089" s="57"/>
      <c r="L1089" s="57"/>
      <c r="M1089" s="283">
        <v>0</v>
      </c>
    </row>
    <row r="1090" spans="1:13" x14ac:dyDescent="0.25">
      <c r="A1090" s="284">
        <v>0</v>
      </c>
      <c r="B1090" s="314" t="s">
        <v>62</v>
      </c>
      <c r="C1090" s="43"/>
      <c r="D1090" s="86"/>
      <c r="E1090" s="86"/>
      <c r="F1090" s="86">
        <v>7</v>
      </c>
      <c r="G1090" s="86"/>
      <c r="H1090" s="43"/>
      <c r="I1090" s="57"/>
      <c r="J1090" s="57"/>
      <c r="K1090" s="57"/>
      <c r="L1090" s="57"/>
      <c r="M1090" s="283">
        <v>0</v>
      </c>
    </row>
    <row r="1091" spans="1:13" x14ac:dyDescent="0.25">
      <c r="A1091" s="284">
        <v>0</v>
      </c>
      <c r="B1091" s="314" t="s">
        <v>63</v>
      </c>
      <c r="C1091" s="43"/>
      <c r="D1091" s="193" t="s">
        <v>1647</v>
      </c>
      <c r="E1091" s="194"/>
      <c r="F1091" s="194"/>
      <c r="G1091" s="194"/>
      <c r="H1091" s="43"/>
      <c r="I1091" s="57"/>
      <c r="J1091" s="57"/>
      <c r="K1091" s="57"/>
      <c r="L1091" s="57"/>
      <c r="M1091" s="283">
        <v>0</v>
      </c>
    </row>
    <row r="1092" spans="1:13" x14ac:dyDescent="0.25">
      <c r="A1092" s="284">
        <v>0</v>
      </c>
      <c r="B1092" s="314" t="s">
        <v>64</v>
      </c>
      <c r="C1092" s="43"/>
      <c r="D1092" s="193" t="s">
        <v>1648</v>
      </c>
      <c r="E1092" s="195"/>
      <c r="F1092" s="194"/>
      <c r="G1092" s="194"/>
      <c r="H1092" s="43"/>
      <c r="I1092" s="57"/>
      <c r="J1092" s="57"/>
      <c r="K1092" s="57"/>
      <c r="L1092" s="57"/>
      <c r="M1092" s="283">
        <v>0</v>
      </c>
    </row>
    <row r="1093" spans="1:13" x14ac:dyDescent="0.25">
      <c r="A1093" s="284">
        <v>0</v>
      </c>
      <c r="B1093" s="314" t="s">
        <v>65</v>
      </c>
      <c r="C1093" s="43"/>
      <c r="D1093" s="194"/>
      <c r="E1093" s="194"/>
      <c r="F1093" s="194"/>
      <c r="G1093" s="194"/>
      <c r="H1093" s="43"/>
      <c r="I1093" s="329"/>
      <c r="J1093" s="329"/>
      <c r="K1093" s="329"/>
      <c r="L1093" s="329"/>
      <c r="M1093" s="283">
        <v>0</v>
      </c>
    </row>
    <row r="1094" spans="1:13" x14ac:dyDescent="0.25">
      <c r="A1094" s="284">
        <v>0</v>
      </c>
      <c r="B1094" s="314" t="s">
        <v>66</v>
      </c>
      <c r="C1094" s="43"/>
      <c r="D1094" s="194"/>
      <c r="E1094" s="194"/>
      <c r="F1094" s="194"/>
      <c r="G1094" s="194"/>
      <c r="H1094" s="43"/>
      <c r="I1094" s="329"/>
      <c r="J1094" s="329"/>
      <c r="K1094" s="329"/>
      <c r="L1094" s="329"/>
      <c r="M1094" s="283">
        <v>0</v>
      </c>
    </row>
    <row r="1095" spans="1:13" x14ac:dyDescent="0.25">
      <c r="A1095" s="284">
        <v>0</v>
      </c>
      <c r="B1095" s="314" t="s">
        <v>67</v>
      </c>
      <c r="C1095" s="43"/>
      <c r="D1095" s="194"/>
      <c r="E1095" s="194"/>
      <c r="F1095" s="194"/>
      <c r="G1095" s="194"/>
      <c r="H1095" s="43"/>
      <c r="I1095" s="329"/>
      <c r="J1095" s="329"/>
      <c r="K1095" s="329"/>
      <c r="L1095" s="329"/>
      <c r="M1095" s="283">
        <v>0</v>
      </c>
    </row>
    <row r="1096" spans="1:13" x14ac:dyDescent="0.25">
      <c r="A1096" s="284">
        <v>0</v>
      </c>
      <c r="B1096" s="314" t="s">
        <v>68</v>
      </c>
      <c r="C1096" s="43"/>
      <c r="D1096" s="194"/>
      <c r="E1096" s="194"/>
      <c r="F1096" s="194"/>
      <c r="G1096" s="194"/>
      <c r="H1096" s="43"/>
      <c r="I1096" s="329"/>
      <c r="J1096" s="329"/>
      <c r="K1096" s="329"/>
      <c r="L1096" s="329"/>
      <c r="M1096" s="283">
        <v>0</v>
      </c>
    </row>
    <row r="1097" spans="1:13" x14ac:dyDescent="0.25">
      <c r="A1097" s="284">
        <v>0</v>
      </c>
      <c r="B1097" s="315">
        <v>0.79166666666666663</v>
      </c>
      <c r="C1097" s="43"/>
      <c r="D1097" s="194"/>
      <c r="E1097" s="194"/>
      <c r="F1097" s="194"/>
      <c r="G1097" s="194"/>
      <c r="H1097" s="43"/>
      <c r="I1097" s="329"/>
      <c r="J1097" s="329"/>
      <c r="K1097" s="329"/>
      <c r="L1097" s="329"/>
      <c r="M1097" s="283">
        <v>0</v>
      </c>
    </row>
    <row r="1098" spans="1:13" x14ac:dyDescent="0.25">
      <c r="A1098" s="284">
        <v>0</v>
      </c>
      <c r="B1098" s="315">
        <v>0.83333333333333337</v>
      </c>
      <c r="C1098" s="43"/>
      <c r="D1098" s="194"/>
      <c r="E1098" s="194"/>
      <c r="F1098" s="194"/>
      <c r="G1098" s="194"/>
      <c r="H1098" s="43"/>
      <c r="I1098" s="329"/>
      <c r="J1098" s="329"/>
      <c r="K1098" s="329"/>
      <c r="L1098" s="329"/>
      <c r="M1098" s="283">
        <v>0</v>
      </c>
    </row>
    <row r="1099" spans="1:13" x14ac:dyDescent="0.25">
      <c r="A1099" s="284">
        <v>0</v>
      </c>
      <c r="B1099" s="315">
        <v>0.875</v>
      </c>
      <c r="C1099" s="43"/>
      <c r="D1099" s="194"/>
      <c r="E1099" s="194"/>
      <c r="F1099" s="194"/>
      <c r="G1099" s="194"/>
      <c r="H1099" s="43"/>
      <c r="I1099" s="194"/>
      <c r="J1099" s="194"/>
      <c r="K1099" s="194"/>
      <c r="L1099" s="194"/>
      <c r="M1099" s="283">
        <v>0</v>
      </c>
    </row>
    <row r="1100" spans="1:13" x14ac:dyDescent="0.25">
      <c r="A1100" s="284">
        <v>0</v>
      </c>
      <c r="B1100" s="315">
        <v>0.91666666666666663</v>
      </c>
      <c r="C1100" s="43"/>
      <c r="D1100" s="194"/>
      <c r="E1100" s="194"/>
      <c r="F1100" s="194"/>
      <c r="G1100" s="194"/>
      <c r="H1100" s="43"/>
      <c r="I1100" s="194"/>
      <c r="J1100" s="194"/>
      <c r="K1100" s="194"/>
      <c r="L1100" s="194"/>
      <c r="M1100" s="283">
        <v>0</v>
      </c>
    </row>
    <row r="1101" spans="1:13" x14ac:dyDescent="0.25">
      <c r="A1101" s="265">
        <f>SUM(A1085:A1100)</f>
        <v>7000</v>
      </c>
      <c r="B1101" s="316">
        <v>0.94791666666666663</v>
      </c>
      <c r="C1101" s="43"/>
      <c r="D1101" s="194"/>
      <c r="E1101" s="194"/>
      <c r="F1101" s="194"/>
      <c r="G1101" s="194"/>
      <c r="H1101" s="43"/>
      <c r="I1101" s="194"/>
      <c r="J1101" s="194"/>
      <c r="K1101" s="194"/>
      <c r="L1101" s="194"/>
      <c r="M1101" s="8">
        <f>SUM(M1084:M1100)</f>
        <v>1940</v>
      </c>
    </row>
    <row r="1102" spans="1:13" ht="47.25" x14ac:dyDescent="0.25">
      <c r="A1102" s="281">
        <f>A1084+1</f>
        <v>44649</v>
      </c>
      <c r="B1102" s="317" t="s">
        <v>54</v>
      </c>
      <c r="C1102" s="87" t="s">
        <v>1699</v>
      </c>
      <c r="D1102" s="65" t="s">
        <v>1700</v>
      </c>
      <c r="E1102" s="65"/>
      <c r="F1102" s="65">
        <v>9</v>
      </c>
      <c r="G1102" s="65"/>
      <c r="H1102" s="55" t="s">
        <v>1701</v>
      </c>
      <c r="I1102" s="57">
        <v>60</v>
      </c>
      <c r="J1102" s="57" t="s">
        <v>85</v>
      </c>
      <c r="K1102" s="57" t="s">
        <v>1702</v>
      </c>
      <c r="L1102" s="125">
        <v>44648</v>
      </c>
      <c r="M1102" s="283">
        <v>0</v>
      </c>
    </row>
    <row r="1103" spans="1:13" ht="31.5" x14ac:dyDescent="0.25">
      <c r="A1103" s="284">
        <v>4500</v>
      </c>
      <c r="B1103" s="314" t="s">
        <v>57</v>
      </c>
      <c r="C1103" s="43"/>
      <c r="D1103" s="65"/>
      <c r="E1103" s="65"/>
      <c r="F1103" s="65">
        <v>10</v>
      </c>
      <c r="G1103" s="65"/>
      <c r="H1103" s="55" t="s">
        <v>1703</v>
      </c>
      <c r="I1103" s="57"/>
      <c r="J1103" s="57"/>
      <c r="K1103" s="57"/>
      <c r="L1103" s="57"/>
      <c r="M1103" s="283">
        <v>0</v>
      </c>
    </row>
    <row r="1104" spans="1:13" x14ac:dyDescent="0.25">
      <c r="A1104" s="284">
        <v>0</v>
      </c>
      <c r="B1104" s="314" t="s">
        <v>58</v>
      </c>
      <c r="C1104" s="43"/>
      <c r="D1104" s="65"/>
      <c r="E1104" s="65"/>
      <c r="F1104" s="65">
        <v>11</v>
      </c>
      <c r="G1104" s="65"/>
      <c r="H1104" s="43"/>
      <c r="I1104" s="57"/>
      <c r="J1104" s="57"/>
      <c r="K1104" s="57"/>
      <c r="L1104" s="57"/>
      <c r="M1104" s="283">
        <v>0</v>
      </c>
    </row>
    <row r="1105" spans="1:14" x14ac:dyDescent="0.25">
      <c r="A1105" s="284">
        <v>0</v>
      </c>
      <c r="B1105" s="314" t="s">
        <v>59</v>
      </c>
      <c r="C1105" s="43"/>
      <c r="D1105" s="65"/>
      <c r="E1105" s="65"/>
      <c r="F1105" s="65"/>
      <c r="G1105" s="65"/>
      <c r="H1105" s="43"/>
      <c r="I1105" s="57"/>
      <c r="J1105" s="57"/>
      <c r="K1105" s="57"/>
      <c r="L1105" s="57"/>
      <c r="M1105" s="283">
        <v>0</v>
      </c>
    </row>
    <row r="1106" spans="1:14" ht="47.25" x14ac:dyDescent="0.25">
      <c r="A1106" s="284">
        <v>0</v>
      </c>
      <c r="B1106" s="314" t="s">
        <v>60</v>
      </c>
      <c r="C1106" s="43"/>
      <c r="D1106" s="65"/>
      <c r="E1106" s="65"/>
      <c r="F1106" s="65"/>
      <c r="G1106" s="65"/>
      <c r="H1106" s="55" t="s">
        <v>1704</v>
      </c>
      <c r="I1106" s="86">
        <v>36</v>
      </c>
      <c r="J1106" s="84" t="s">
        <v>248</v>
      </c>
      <c r="K1106" s="84" t="s">
        <v>1705</v>
      </c>
      <c r="L1106" s="136">
        <v>44631</v>
      </c>
      <c r="M1106" s="283">
        <v>0</v>
      </c>
    </row>
    <row r="1107" spans="1:14" ht="31.5" x14ac:dyDescent="0.25">
      <c r="A1107" s="284">
        <v>0</v>
      </c>
      <c r="B1107" s="314" t="s">
        <v>61</v>
      </c>
      <c r="C1107" s="43"/>
      <c r="D1107" s="65"/>
      <c r="E1107" s="65"/>
      <c r="F1107" s="65"/>
      <c r="G1107" s="65"/>
      <c r="H1107" s="55" t="s">
        <v>1706</v>
      </c>
      <c r="I1107" s="86" t="s">
        <v>1707</v>
      </c>
      <c r="J1107" s="86"/>
      <c r="K1107" s="86"/>
      <c r="L1107" s="304"/>
      <c r="M1107" s="283">
        <v>0</v>
      </c>
    </row>
    <row r="1108" spans="1:14" x14ac:dyDescent="0.25">
      <c r="A1108" s="284">
        <v>0</v>
      </c>
      <c r="B1108" s="314" t="s">
        <v>62</v>
      </c>
      <c r="C1108" s="43"/>
      <c r="D1108" s="65"/>
      <c r="E1108" s="65"/>
      <c r="F1108" s="65"/>
      <c r="G1108" s="65"/>
      <c r="H1108" s="43"/>
      <c r="I1108" s="86"/>
      <c r="J1108" s="86"/>
      <c r="K1108" s="86"/>
      <c r="L1108" s="86"/>
      <c r="M1108" s="283">
        <v>0</v>
      </c>
    </row>
    <row r="1109" spans="1:14" x14ac:dyDescent="0.25">
      <c r="A1109" s="284">
        <v>0</v>
      </c>
      <c r="B1109" s="314" t="s">
        <v>63</v>
      </c>
      <c r="C1109" s="43"/>
      <c r="D1109" s="65"/>
      <c r="E1109" s="65"/>
      <c r="F1109" s="65"/>
      <c r="G1109" s="65"/>
      <c r="H1109" s="43"/>
      <c r="I1109" s="86"/>
      <c r="J1109" s="86"/>
      <c r="K1109" s="86"/>
      <c r="L1109" s="86"/>
      <c r="M1109" s="283">
        <v>0</v>
      </c>
    </row>
    <row r="1110" spans="1:14" x14ac:dyDescent="0.25">
      <c r="A1110" s="284">
        <v>0</v>
      </c>
      <c r="B1110" s="314" t="s">
        <v>64</v>
      </c>
      <c r="C1110" s="43"/>
      <c r="D1110" s="193" t="s">
        <v>1648</v>
      </c>
      <c r="E1110" s="195"/>
      <c r="F1110" s="194"/>
      <c r="G1110" s="194"/>
      <c r="H1110" s="43"/>
      <c r="I1110" s="86"/>
      <c r="J1110" s="86"/>
      <c r="K1110" s="86"/>
      <c r="L1110" s="86"/>
      <c r="M1110" s="283">
        <v>0</v>
      </c>
    </row>
    <row r="1111" spans="1:14" x14ac:dyDescent="0.25">
      <c r="A1111" s="284">
        <v>0</v>
      </c>
      <c r="B1111" s="314" t="s">
        <v>65</v>
      </c>
      <c r="C1111" s="43"/>
      <c r="D1111" s="194"/>
      <c r="E1111" s="194"/>
      <c r="F1111" s="194"/>
      <c r="G1111" s="194"/>
      <c r="H1111" s="43"/>
      <c r="I1111" s="86"/>
      <c r="J1111" s="86"/>
      <c r="K1111" s="86"/>
      <c r="L1111" s="86"/>
      <c r="M1111" s="283">
        <v>0</v>
      </c>
    </row>
    <row r="1112" spans="1:14" x14ac:dyDescent="0.25">
      <c r="A1112" s="284">
        <v>0</v>
      </c>
      <c r="B1112" s="314" t="s">
        <v>66</v>
      </c>
      <c r="C1112" s="43"/>
      <c r="D1112" s="194"/>
      <c r="E1112" s="194"/>
      <c r="F1112" s="194"/>
      <c r="G1112" s="194"/>
      <c r="H1112" s="43"/>
      <c r="I1112" s="86"/>
      <c r="J1112" s="86"/>
      <c r="K1112" s="86"/>
      <c r="L1112" s="86"/>
      <c r="M1112" s="283">
        <v>0</v>
      </c>
    </row>
    <row r="1113" spans="1:14" x14ac:dyDescent="0.25">
      <c r="A1113" s="284">
        <v>0</v>
      </c>
      <c r="B1113" s="314" t="s">
        <v>67</v>
      </c>
      <c r="C1113" s="43"/>
      <c r="D1113" s="194"/>
      <c r="E1113" s="194"/>
      <c r="F1113" s="194"/>
      <c r="G1113" s="194"/>
      <c r="H1113" s="43"/>
      <c r="I1113" s="86"/>
      <c r="J1113" s="86"/>
      <c r="K1113" s="86"/>
      <c r="L1113" s="86"/>
      <c r="M1113" s="283">
        <v>0</v>
      </c>
    </row>
    <row r="1114" spans="1:14" x14ac:dyDescent="0.25">
      <c r="A1114" s="284">
        <v>0</v>
      </c>
      <c r="B1114" s="314" t="s">
        <v>68</v>
      </c>
      <c r="C1114" s="43"/>
      <c r="D1114" s="194"/>
      <c r="E1114" s="194"/>
      <c r="F1114" s="194"/>
      <c r="G1114" s="194"/>
      <c r="H1114" s="43"/>
      <c r="I1114" s="86"/>
      <c r="J1114" s="86"/>
      <c r="K1114" s="86"/>
      <c r="L1114" s="86"/>
      <c r="M1114" s="283">
        <v>0</v>
      </c>
    </row>
    <row r="1115" spans="1:14" x14ac:dyDescent="0.25">
      <c r="A1115" s="284">
        <v>0</v>
      </c>
      <c r="B1115" s="315">
        <v>0.79166666666666663</v>
      </c>
      <c r="C1115" s="43"/>
      <c r="D1115" s="194"/>
      <c r="E1115" s="194"/>
      <c r="F1115" s="194"/>
      <c r="G1115" s="194"/>
      <c r="H1115" s="43"/>
      <c r="I1115" s="86"/>
      <c r="J1115" s="86"/>
      <c r="K1115" s="86"/>
      <c r="L1115" s="86"/>
      <c r="M1115" s="283">
        <v>0</v>
      </c>
    </row>
    <row r="1116" spans="1:14" x14ac:dyDescent="0.25">
      <c r="A1116" s="284">
        <v>0</v>
      </c>
      <c r="B1116" s="315">
        <v>0.83333333333333337</v>
      </c>
      <c r="C1116" s="43"/>
      <c r="D1116" s="194"/>
      <c r="E1116" s="194"/>
      <c r="F1116" s="194"/>
      <c r="G1116" s="194"/>
      <c r="H1116" s="43"/>
      <c r="I1116" s="86"/>
      <c r="J1116" s="86"/>
      <c r="K1116" s="86"/>
      <c r="L1116" s="86"/>
      <c r="M1116" s="283">
        <v>0</v>
      </c>
    </row>
    <row r="1117" spans="1:14" x14ac:dyDescent="0.25">
      <c r="A1117" s="284">
        <v>0</v>
      </c>
      <c r="B1117" s="315">
        <v>0.875</v>
      </c>
      <c r="C1117" s="43"/>
      <c r="D1117" s="194"/>
      <c r="E1117" s="194"/>
      <c r="F1117" s="194"/>
      <c r="G1117" s="194"/>
      <c r="H1117" s="43"/>
      <c r="I1117" s="194"/>
      <c r="J1117" s="194"/>
      <c r="K1117" s="194"/>
      <c r="L1117" s="194"/>
      <c r="M1117" s="283">
        <v>0</v>
      </c>
    </row>
    <row r="1118" spans="1:14" x14ac:dyDescent="0.25">
      <c r="A1118" s="284">
        <v>0</v>
      </c>
      <c r="B1118" s="315">
        <v>0.91666666666666663</v>
      </c>
      <c r="C1118" s="43"/>
      <c r="D1118" s="194"/>
      <c r="E1118" s="194"/>
      <c r="F1118" s="194"/>
      <c r="G1118" s="194"/>
      <c r="H1118" s="43"/>
      <c r="I1118" s="194"/>
      <c r="J1118" s="194"/>
      <c r="K1118" s="194"/>
      <c r="L1118" s="194"/>
      <c r="M1118" s="283">
        <v>0</v>
      </c>
    </row>
    <row r="1119" spans="1:14" x14ac:dyDescent="0.25">
      <c r="A1119" s="265">
        <f>SUM(A1103:A1118)</f>
        <v>4500</v>
      </c>
      <c r="B1119" s="316">
        <v>0.94791666666666663</v>
      </c>
      <c r="C1119" s="43"/>
      <c r="D1119" s="194"/>
      <c r="E1119" s="194"/>
      <c r="F1119" s="194"/>
      <c r="G1119" s="194"/>
      <c r="H1119" s="43"/>
      <c r="I1119" s="194"/>
      <c r="J1119" s="194"/>
      <c r="K1119" s="194"/>
      <c r="L1119" s="194"/>
      <c r="M1119" s="8">
        <f>SUM(M1102:M1118)</f>
        <v>0</v>
      </c>
    </row>
    <row r="1120" spans="1:14" ht="78.75" x14ac:dyDescent="0.25">
      <c r="A1120" s="281">
        <f>A1102+1</f>
        <v>44650</v>
      </c>
      <c r="B1120" s="317" t="s">
        <v>54</v>
      </c>
      <c r="C1120" s="55" t="s">
        <v>1708</v>
      </c>
      <c r="D1120" s="57">
        <v>36</v>
      </c>
      <c r="E1120" s="57" t="s">
        <v>25</v>
      </c>
      <c r="F1120" s="57" t="s">
        <v>1709</v>
      </c>
      <c r="G1120" s="125">
        <v>44650</v>
      </c>
      <c r="H1120" s="55" t="s">
        <v>1710</v>
      </c>
      <c r="I1120" s="57">
        <v>36</v>
      </c>
      <c r="J1120" s="57" t="s">
        <v>1234</v>
      </c>
      <c r="K1120" s="57" t="s">
        <v>1711</v>
      </c>
      <c r="L1120" s="125">
        <v>44651</v>
      </c>
      <c r="M1120" s="283">
        <v>0</v>
      </c>
      <c r="N1120" s="32" t="s">
        <v>1712</v>
      </c>
    </row>
    <row r="1121" spans="1:14" ht="63" x14ac:dyDescent="0.25">
      <c r="A1121" s="284">
        <v>6253</v>
      </c>
      <c r="B1121" s="314" t="s">
        <v>57</v>
      </c>
      <c r="C1121" s="55" t="s">
        <v>1713</v>
      </c>
      <c r="D1121" s="178" t="s">
        <v>1714</v>
      </c>
      <c r="E1121" s="178"/>
      <c r="F1121" s="57"/>
      <c r="G1121" s="57" t="s">
        <v>1715</v>
      </c>
      <c r="H1121" s="55" t="s">
        <v>1716</v>
      </c>
      <c r="I1121" s="65" t="s">
        <v>1707</v>
      </c>
      <c r="J1121" s="57"/>
      <c r="K1121" s="57"/>
      <c r="L1121" s="57" t="s">
        <v>1715</v>
      </c>
      <c r="M1121" s="283">
        <v>0</v>
      </c>
      <c r="N1121" s="32" t="s">
        <v>1717</v>
      </c>
    </row>
    <row r="1122" spans="1:14" ht="31.5" x14ac:dyDescent="0.25">
      <c r="A1122" s="284">
        <v>0</v>
      </c>
      <c r="B1122" s="314" t="s">
        <v>58</v>
      </c>
      <c r="C1122" s="43"/>
      <c r="D1122" s="178" t="s">
        <v>1718</v>
      </c>
      <c r="E1122" s="65"/>
      <c r="F1122" s="65"/>
      <c r="G1122" s="65"/>
      <c r="H1122" s="43"/>
      <c r="I1122" s="65"/>
      <c r="J1122" s="65"/>
      <c r="K1122" s="65"/>
      <c r="L1122" s="65"/>
      <c r="M1122" s="283">
        <v>0</v>
      </c>
    </row>
    <row r="1123" spans="1:14" x14ac:dyDescent="0.25">
      <c r="A1123" s="284">
        <v>0</v>
      </c>
      <c r="B1123" s="314" t="s">
        <v>59</v>
      </c>
      <c r="C1123" s="43"/>
      <c r="D1123" s="65"/>
      <c r="E1123" s="65"/>
      <c r="F1123" s="65"/>
      <c r="G1123" s="65"/>
      <c r="H1123" s="43"/>
      <c r="I1123" s="65"/>
      <c r="J1123" s="65"/>
      <c r="K1123" s="65"/>
      <c r="L1123" s="65"/>
      <c r="M1123" s="283">
        <v>0</v>
      </c>
    </row>
    <row r="1124" spans="1:14" x14ac:dyDescent="0.25">
      <c r="A1124" s="284">
        <v>0</v>
      </c>
      <c r="B1124" s="314" t="s">
        <v>60</v>
      </c>
      <c r="C1124" s="43"/>
      <c r="D1124" s="65"/>
      <c r="E1124" s="65"/>
      <c r="F1124" s="65"/>
      <c r="G1124" s="65"/>
      <c r="H1124" s="43"/>
      <c r="I1124" s="65"/>
      <c r="J1124" s="65"/>
      <c r="K1124" s="65"/>
      <c r="L1124" s="65"/>
      <c r="M1124" s="283">
        <v>0</v>
      </c>
    </row>
    <row r="1125" spans="1:14" ht="78.75" x14ac:dyDescent="0.25">
      <c r="A1125" s="284">
        <v>0</v>
      </c>
      <c r="B1125" s="314" t="s">
        <v>61</v>
      </c>
      <c r="C1125" s="43"/>
      <c r="D1125" s="65"/>
      <c r="E1125" s="65"/>
      <c r="F1125" s="65"/>
      <c r="G1125" s="65"/>
      <c r="H1125" s="55" t="s">
        <v>1719</v>
      </c>
      <c r="I1125" s="330" t="s">
        <v>1720</v>
      </c>
      <c r="J1125" s="57"/>
      <c r="K1125" s="57"/>
      <c r="L1125" s="57" t="s">
        <v>1721</v>
      </c>
      <c r="M1125" s="283">
        <v>0</v>
      </c>
    </row>
    <row r="1126" spans="1:14" x14ac:dyDescent="0.25">
      <c r="A1126" s="284">
        <v>0</v>
      </c>
      <c r="B1126" s="314" t="s">
        <v>62</v>
      </c>
      <c r="C1126" s="43"/>
      <c r="D1126" s="65"/>
      <c r="E1126" s="65"/>
      <c r="F1126" s="65"/>
      <c r="G1126" s="65"/>
      <c r="H1126" s="43"/>
      <c r="I1126" s="57"/>
      <c r="J1126" s="57"/>
      <c r="K1126" s="57"/>
      <c r="L1126" s="57"/>
      <c r="M1126" s="283">
        <v>0</v>
      </c>
    </row>
    <row r="1127" spans="1:14" ht="47.25" x14ac:dyDescent="0.25">
      <c r="A1127" s="284">
        <v>0</v>
      </c>
      <c r="B1127" s="314" t="s">
        <v>63</v>
      </c>
      <c r="C1127" s="43"/>
      <c r="D1127" s="193" t="s">
        <v>1647</v>
      </c>
      <c r="E1127" s="194"/>
      <c r="F1127" s="194"/>
      <c r="G1127" s="194"/>
      <c r="H1127" s="55" t="s">
        <v>1722</v>
      </c>
      <c r="I1127" s="57">
        <v>60</v>
      </c>
      <c r="J1127" s="57" t="s">
        <v>151</v>
      </c>
      <c r="K1127" s="57" t="s">
        <v>1723</v>
      </c>
      <c r="L1127" s="293">
        <v>44641</v>
      </c>
      <c r="M1127" s="283">
        <v>0</v>
      </c>
      <c r="N1127" s="32" t="s">
        <v>1724</v>
      </c>
    </row>
    <row r="1128" spans="1:14" ht="78.75" x14ac:dyDescent="0.25">
      <c r="A1128" s="284">
        <v>0</v>
      </c>
      <c r="B1128" s="314" t="s">
        <v>64</v>
      </c>
      <c r="C1128" s="43"/>
      <c r="D1128" s="193" t="s">
        <v>1648</v>
      </c>
      <c r="E1128" s="195"/>
      <c r="F1128" s="194"/>
      <c r="G1128" s="194"/>
      <c r="H1128" s="176" t="s">
        <v>1725</v>
      </c>
      <c r="I1128" s="330" t="s">
        <v>1720</v>
      </c>
      <c r="J1128" s="178"/>
      <c r="K1128" s="178">
        <v>2</v>
      </c>
      <c r="L1128" s="179"/>
      <c r="M1128" s="283">
        <v>0</v>
      </c>
      <c r="N1128" s="32" t="s">
        <v>1726</v>
      </c>
    </row>
    <row r="1129" spans="1:14" x14ac:dyDescent="0.25">
      <c r="A1129" s="284">
        <v>0</v>
      </c>
      <c r="B1129" s="314" t="s">
        <v>65</v>
      </c>
      <c r="C1129" s="43"/>
      <c r="D1129" s="194"/>
      <c r="E1129" s="194"/>
      <c r="F1129" s="194"/>
      <c r="G1129" s="194"/>
      <c r="H1129" s="87" t="s">
        <v>1727</v>
      </c>
      <c r="I1129" s="178"/>
      <c r="J1129" s="178"/>
      <c r="K1129" s="178">
        <v>3</v>
      </c>
      <c r="L1129" s="178"/>
      <c r="M1129" s="283">
        <v>0</v>
      </c>
    </row>
    <row r="1130" spans="1:14" x14ac:dyDescent="0.25">
      <c r="A1130" s="284">
        <v>0</v>
      </c>
      <c r="B1130" s="314" t="s">
        <v>66</v>
      </c>
      <c r="C1130" s="43"/>
      <c r="D1130" s="194"/>
      <c r="E1130" s="194"/>
      <c r="F1130" s="194"/>
      <c r="G1130" s="194"/>
      <c r="H1130" s="43"/>
      <c r="I1130" s="178"/>
      <c r="J1130" s="178"/>
      <c r="K1130" s="178">
        <v>4</v>
      </c>
      <c r="L1130" s="178"/>
      <c r="M1130" s="283">
        <v>0</v>
      </c>
    </row>
    <row r="1131" spans="1:14" x14ac:dyDescent="0.25">
      <c r="A1131" s="284">
        <v>0</v>
      </c>
      <c r="B1131" s="314" t="s">
        <v>67</v>
      </c>
      <c r="C1131" s="43"/>
      <c r="D1131" s="194"/>
      <c r="E1131" s="194"/>
      <c r="F1131" s="194"/>
      <c r="G1131" s="194"/>
      <c r="H1131" s="43"/>
      <c r="I1131" s="194"/>
      <c r="J1131" s="194"/>
      <c r="K1131" s="194"/>
      <c r="L1131" s="194"/>
      <c r="M1131" s="283">
        <v>0</v>
      </c>
    </row>
    <row r="1132" spans="1:14" x14ac:dyDescent="0.25">
      <c r="A1132" s="284">
        <v>0</v>
      </c>
      <c r="B1132" s="314" t="s">
        <v>68</v>
      </c>
      <c r="C1132" s="43"/>
      <c r="D1132" s="194"/>
      <c r="E1132" s="194"/>
      <c r="F1132" s="194"/>
      <c r="G1132" s="194"/>
      <c r="H1132" s="43"/>
      <c r="I1132" s="194"/>
      <c r="J1132" s="194"/>
      <c r="K1132" s="194"/>
      <c r="L1132" s="194"/>
      <c r="M1132" s="283">
        <v>0</v>
      </c>
    </row>
    <row r="1133" spans="1:14" x14ac:dyDescent="0.25">
      <c r="A1133" s="284">
        <v>0</v>
      </c>
      <c r="B1133" s="315">
        <v>0.79166666666666663</v>
      </c>
      <c r="C1133" s="43"/>
      <c r="D1133" s="194"/>
      <c r="E1133" s="194"/>
      <c r="F1133" s="194"/>
      <c r="G1133" s="194"/>
      <c r="H1133" s="43"/>
      <c r="I1133" s="194"/>
      <c r="J1133" s="194"/>
      <c r="K1133" s="194"/>
      <c r="L1133" s="194"/>
      <c r="M1133" s="283">
        <v>0</v>
      </c>
    </row>
    <row r="1134" spans="1:14" x14ac:dyDescent="0.25">
      <c r="A1134" s="284">
        <v>0</v>
      </c>
      <c r="B1134" s="315">
        <v>0.83333333333333337</v>
      </c>
      <c r="C1134" s="43"/>
      <c r="D1134" s="194"/>
      <c r="E1134" s="194"/>
      <c r="F1134" s="194"/>
      <c r="G1134" s="194"/>
      <c r="H1134" s="43"/>
      <c r="I1134" s="194"/>
      <c r="J1134" s="194"/>
      <c r="K1134" s="194"/>
      <c r="L1134" s="194"/>
      <c r="M1134" s="283">
        <v>0</v>
      </c>
    </row>
    <row r="1135" spans="1:14" x14ac:dyDescent="0.25">
      <c r="A1135" s="284">
        <v>0</v>
      </c>
      <c r="B1135" s="315">
        <v>0.875</v>
      </c>
      <c r="C1135" s="43"/>
      <c r="D1135" s="194"/>
      <c r="E1135" s="194"/>
      <c r="F1135" s="194"/>
      <c r="G1135" s="194"/>
      <c r="H1135" s="43"/>
      <c r="I1135" s="194"/>
      <c r="J1135" s="194"/>
      <c r="K1135" s="194"/>
      <c r="L1135" s="194"/>
      <c r="M1135" s="283">
        <v>0</v>
      </c>
    </row>
    <row r="1136" spans="1:14" x14ac:dyDescent="0.25">
      <c r="A1136" s="284">
        <v>0</v>
      </c>
      <c r="B1136" s="315">
        <v>0.91666666666666663</v>
      </c>
      <c r="C1136" s="43"/>
      <c r="D1136" s="194"/>
      <c r="E1136" s="194"/>
      <c r="F1136" s="194"/>
      <c r="G1136" s="194"/>
      <c r="H1136" s="43"/>
      <c r="I1136" s="194"/>
      <c r="J1136" s="194"/>
      <c r="K1136" s="194"/>
      <c r="L1136" s="194"/>
      <c r="M1136" s="283">
        <v>0</v>
      </c>
    </row>
    <row r="1137" spans="1:13" x14ac:dyDescent="0.25">
      <c r="A1137" s="265">
        <f>SUM(A1121:A1136)</f>
        <v>6253</v>
      </c>
      <c r="B1137" s="316">
        <v>0.94791666666666663</v>
      </c>
      <c r="C1137" s="43"/>
      <c r="D1137" s="194"/>
      <c r="E1137" s="194"/>
      <c r="F1137" s="194"/>
      <c r="G1137" s="194"/>
      <c r="H1137" s="43"/>
      <c r="I1137" s="194"/>
      <c r="J1137" s="194"/>
      <c r="K1137" s="194"/>
      <c r="L1137" s="194"/>
      <c r="M1137" s="8">
        <f>SUM(M1120:M1136)</f>
        <v>0</v>
      </c>
    </row>
    <row r="1138" spans="1:13" ht="126" x14ac:dyDescent="0.25">
      <c r="A1138" s="281">
        <f>A1120+1</f>
        <v>44651</v>
      </c>
      <c r="B1138" s="317" t="s">
        <v>54</v>
      </c>
      <c r="C1138" s="55" t="s">
        <v>1728</v>
      </c>
      <c r="D1138" s="57">
        <v>60</v>
      </c>
      <c r="E1138" s="167" t="s">
        <v>2877</v>
      </c>
      <c r="F1138" s="167" t="s">
        <v>1729</v>
      </c>
      <c r="G1138" s="197">
        <v>44648</v>
      </c>
      <c r="H1138" s="43"/>
      <c r="I1138" s="178"/>
      <c r="J1138" s="178"/>
      <c r="K1138" s="178">
        <v>5</v>
      </c>
      <c r="L1138" s="178"/>
      <c r="M1138" s="283">
        <v>0</v>
      </c>
    </row>
    <row r="1139" spans="1:13" ht="141.75" x14ac:dyDescent="0.25">
      <c r="A1139" s="284">
        <v>13725</v>
      </c>
      <c r="B1139" s="314" t="s">
        <v>57</v>
      </c>
      <c r="C1139" s="55" t="s">
        <v>1730</v>
      </c>
      <c r="D1139" s="202" t="s">
        <v>1731</v>
      </c>
      <c r="E1139" s="331"/>
      <c r="F1139" s="331">
        <v>2</v>
      </c>
      <c r="G1139" s="332">
        <v>44650</v>
      </c>
      <c r="H1139" s="43"/>
      <c r="I1139" s="178"/>
      <c r="J1139" s="178"/>
      <c r="K1139" s="178">
        <v>6</v>
      </c>
      <c r="L1139" s="178"/>
      <c r="M1139" s="283">
        <v>0</v>
      </c>
    </row>
    <row r="1140" spans="1:13" x14ac:dyDescent="0.25">
      <c r="A1140" s="284">
        <v>0</v>
      </c>
      <c r="B1140" s="314" t="s">
        <v>58</v>
      </c>
      <c r="C1140" s="43"/>
      <c r="D1140" s="201"/>
      <c r="E1140" s="201"/>
      <c r="F1140" s="201">
        <v>3</v>
      </c>
      <c r="G1140" s="201"/>
      <c r="H1140" s="43"/>
      <c r="I1140" s="178"/>
      <c r="J1140" s="178"/>
      <c r="K1140" s="178">
        <v>7</v>
      </c>
      <c r="L1140" s="178"/>
      <c r="M1140" s="283">
        <v>0</v>
      </c>
    </row>
    <row r="1141" spans="1:13" x14ac:dyDescent="0.25">
      <c r="A1141" s="284">
        <v>0</v>
      </c>
      <c r="B1141" s="314" t="s">
        <v>59</v>
      </c>
      <c r="C1141" s="43"/>
      <c r="D1141" s="201"/>
      <c r="E1141" s="201">
        <f>MAX(E1139:F1140)</f>
        <v>3</v>
      </c>
      <c r="F1141" s="201">
        <v>4</v>
      </c>
      <c r="G1141" s="201"/>
      <c r="H1141" s="43"/>
      <c r="I1141" s="65"/>
      <c r="J1141" s="65"/>
      <c r="K1141" s="65"/>
      <c r="L1141" s="65"/>
      <c r="M1141" s="283">
        <v>0</v>
      </c>
    </row>
    <row r="1142" spans="1:13" ht="94.5" x14ac:dyDescent="0.25">
      <c r="A1142" s="284">
        <v>0</v>
      </c>
      <c r="B1142" s="314" t="s">
        <v>60</v>
      </c>
      <c r="C1142" s="43"/>
      <c r="D1142" s="201"/>
      <c r="E1142" s="201"/>
      <c r="F1142" s="201">
        <v>5</v>
      </c>
      <c r="G1142" s="201"/>
      <c r="H1142" s="55" t="s">
        <v>1732</v>
      </c>
      <c r="I1142" s="57">
        <v>48</v>
      </c>
      <c r="J1142" s="57" t="s">
        <v>1238</v>
      </c>
      <c r="K1142" s="57" t="s">
        <v>1733</v>
      </c>
      <c r="L1142" s="125">
        <v>44643</v>
      </c>
      <c r="M1142" s="283">
        <v>0</v>
      </c>
    </row>
    <row r="1143" spans="1:13" ht="63" x14ac:dyDescent="0.25">
      <c r="A1143" s="284">
        <v>0</v>
      </c>
      <c r="B1143" s="314" t="s">
        <v>61</v>
      </c>
      <c r="C1143" s="43"/>
      <c r="D1143" s="201"/>
      <c r="E1143" s="201"/>
      <c r="F1143" s="201">
        <v>6</v>
      </c>
      <c r="G1143" s="201"/>
      <c r="H1143" s="55" t="s">
        <v>1734</v>
      </c>
      <c r="I1143" s="331" t="s">
        <v>1735</v>
      </c>
      <c r="J1143" s="331"/>
      <c r="K1143" s="331">
        <v>2</v>
      </c>
      <c r="L1143" s="331" t="s">
        <v>1664</v>
      </c>
      <c r="M1143" s="283">
        <v>0</v>
      </c>
    </row>
    <row r="1144" spans="1:13" x14ac:dyDescent="0.25">
      <c r="A1144" s="284">
        <v>0</v>
      </c>
      <c r="B1144" s="314" t="s">
        <v>62</v>
      </c>
      <c r="C1144" s="43"/>
      <c r="D1144" s="201"/>
      <c r="E1144" s="201"/>
      <c r="F1144" s="201">
        <v>7</v>
      </c>
      <c r="G1144" s="201"/>
      <c r="H1144" s="43"/>
      <c r="I1144" s="331"/>
      <c r="J1144" s="331"/>
      <c r="K1144" s="331">
        <v>3</v>
      </c>
      <c r="L1144" s="331"/>
      <c r="M1144" s="283">
        <v>0</v>
      </c>
    </row>
    <row r="1145" spans="1:13" x14ac:dyDescent="0.25">
      <c r="A1145" s="284">
        <v>0</v>
      </c>
      <c r="B1145" s="314" t="s">
        <v>63</v>
      </c>
      <c r="C1145" s="43"/>
      <c r="D1145" s="201"/>
      <c r="E1145" s="201"/>
      <c r="F1145" s="201"/>
      <c r="G1145" s="201"/>
      <c r="H1145" s="43"/>
      <c r="I1145" s="331"/>
      <c r="J1145" s="331"/>
      <c r="K1145" s="331">
        <v>4</v>
      </c>
      <c r="L1145" s="331"/>
      <c r="M1145" s="283">
        <v>0</v>
      </c>
    </row>
    <row r="1146" spans="1:13" x14ac:dyDescent="0.25">
      <c r="A1146" s="284">
        <v>0</v>
      </c>
      <c r="B1146" s="314" t="s">
        <v>64</v>
      </c>
      <c r="C1146" s="43"/>
      <c r="D1146" s="194"/>
      <c r="E1146" s="194"/>
      <c r="F1146" s="194"/>
      <c r="G1146" s="194"/>
      <c r="H1146" s="43"/>
      <c r="I1146" s="331"/>
      <c r="J1146" s="331"/>
      <c r="K1146" s="331"/>
      <c r="L1146" s="331"/>
      <c r="M1146" s="283">
        <v>0</v>
      </c>
    </row>
    <row r="1147" spans="1:13" x14ac:dyDescent="0.25">
      <c r="A1147" s="284">
        <v>0</v>
      </c>
      <c r="B1147" s="314" t="s">
        <v>65</v>
      </c>
      <c r="C1147" s="43"/>
      <c r="D1147" s="194"/>
      <c r="E1147" s="194"/>
      <c r="F1147" s="194"/>
      <c r="G1147" s="194"/>
      <c r="H1147" s="43"/>
      <c r="I1147" s="194"/>
      <c r="J1147" s="194"/>
      <c r="K1147" s="194"/>
      <c r="L1147" s="194"/>
      <c r="M1147" s="283">
        <v>0</v>
      </c>
    </row>
    <row r="1148" spans="1:13" x14ac:dyDescent="0.25">
      <c r="A1148" s="284">
        <v>0</v>
      </c>
      <c r="B1148" s="314" t="s">
        <v>66</v>
      </c>
      <c r="C1148" s="43"/>
      <c r="D1148" s="194"/>
      <c r="E1148" s="194"/>
      <c r="F1148" s="194"/>
      <c r="G1148" s="194"/>
      <c r="H1148" s="43"/>
      <c r="I1148" s="194"/>
      <c r="J1148" s="194"/>
      <c r="K1148" s="194"/>
      <c r="L1148" s="194"/>
      <c r="M1148" s="283">
        <v>0</v>
      </c>
    </row>
    <row r="1149" spans="1:13" x14ac:dyDescent="0.25">
      <c r="A1149" s="284">
        <v>0</v>
      </c>
      <c r="B1149" s="314" t="s">
        <v>67</v>
      </c>
      <c r="C1149" s="43"/>
      <c r="D1149" s="194"/>
      <c r="E1149" s="194"/>
      <c r="F1149" s="194"/>
      <c r="G1149" s="194"/>
      <c r="H1149" s="43"/>
      <c r="I1149" s="194"/>
      <c r="J1149" s="194"/>
      <c r="K1149" s="194"/>
      <c r="L1149" s="194"/>
      <c r="M1149" s="283">
        <v>0</v>
      </c>
    </row>
    <row r="1150" spans="1:13" x14ac:dyDescent="0.25">
      <c r="A1150" s="284">
        <v>0</v>
      </c>
      <c r="B1150" s="314" t="s">
        <v>68</v>
      </c>
      <c r="C1150" s="43"/>
      <c r="D1150" s="194"/>
      <c r="E1150" s="194"/>
      <c r="F1150" s="194"/>
      <c r="G1150" s="194"/>
      <c r="H1150" s="43"/>
      <c r="I1150" s="194"/>
      <c r="J1150" s="194"/>
      <c r="K1150" s="194"/>
      <c r="L1150" s="194"/>
      <c r="M1150" s="283">
        <v>0</v>
      </c>
    </row>
    <row r="1151" spans="1:13" x14ac:dyDescent="0.25">
      <c r="A1151" s="284">
        <v>0</v>
      </c>
      <c r="B1151" s="315">
        <v>0.79166666666666663</v>
      </c>
      <c r="C1151" s="43"/>
      <c r="D1151" s="194"/>
      <c r="E1151" s="194"/>
      <c r="F1151" s="194"/>
      <c r="G1151" s="194"/>
      <c r="H1151" s="43"/>
      <c r="I1151" s="194"/>
      <c r="J1151" s="194"/>
      <c r="K1151" s="194"/>
      <c r="L1151" s="194"/>
      <c r="M1151" s="283">
        <v>0</v>
      </c>
    </row>
    <row r="1152" spans="1:13" x14ac:dyDescent="0.25">
      <c r="A1152" s="284">
        <v>0</v>
      </c>
      <c r="B1152" s="315">
        <v>0.83333333333333337</v>
      </c>
      <c r="C1152" s="43"/>
      <c r="D1152" s="194"/>
      <c r="E1152" s="194"/>
      <c r="F1152" s="194"/>
      <c r="G1152" s="194"/>
      <c r="H1152" s="43"/>
      <c r="I1152" s="194"/>
      <c r="J1152" s="194"/>
      <c r="K1152" s="194"/>
      <c r="L1152" s="194"/>
      <c r="M1152" s="283">
        <v>0</v>
      </c>
    </row>
    <row r="1153" spans="1:14" x14ac:dyDescent="0.25">
      <c r="A1153" s="284">
        <v>0</v>
      </c>
      <c r="B1153" s="315">
        <v>0.875</v>
      </c>
      <c r="C1153" s="43"/>
      <c r="D1153" s="194"/>
      <c r="E1153" s="194"/>
      <c r="F1153" s="194"/>
      <c r="G1153" s="194"/>
      <c r="H1153" s="43"/>
      <c r="I1153" s="194"/>
      <c r="J1153" s="194"/>
      <c r="K1153" s="194"/>
      <c r="L1153" s="194"/>
      <c r="M1153" s="283">
        <v>0</v>
      </c>
    </row>
    <row r="1154" spans="1:14" x14ac:dyDescent="0.25">
      <c r="A1154" s="284">
        <v>0</v>
      </c>
      <c r="B1154" s="315">
        <v>0.91666666666666663</v>
      </c>
      <c r="C1154" s="43"/>
      <c r="D1154" s="194"/>
      <c r="E1154" s="194"/>
      <c r="F1154" s="194"/>
      <c r="G1154" s="194"/>
      <c r="H1154" s="43"/>
      <c r="I1154" s="194"/>
      <c r="J1154" s="194"/>
      <c r="K1154" s="194"/>
      <c r="L1154" s="194"/>
      <c r="M1154" s="283">
        <v>0</v>
      </c>
    </row>
    <row r="1155" spans="1:14" x14ac:dyDescent="0.25">
      <c r="A1155" s="265">
        <f>SUM(A1139:A1154)</f>
        <v>13725</v>
      </c>
      <c r="B1155" s="316">
        <v>0.94791666666666663</v>
      </c>
      <c r="C1155" s="43"/>
      <c r="D1155" s="194"/>
      <c r="E1155" s="194"/>
      <c r="F1155" s="194"/>
      <c r="G1155" s="194"/>
      <c r="H1155" s="43"/>
      <c r="I1155" s="194"/>
      <c r="J1155" s="194"/>
      <c r="K1155" s="194"/>
      <c r="L1155" s="194"/>
      <c r="M1155" s="8">
        <f>SUM(M1138:M1154)</f>
        <v>0</v>
      </c>
    </row>
    <row r="1156" spans="1:14" ht="78.75" x14ac:dyDescent="0.25">
      <c r="A1156" s="281">
        <f>A1138+1</f>
        <v>44652</v>
      </c>
      <c r="B1156" s="317" t="s">
        <v>54</v>
      </c>
      <c r="C1156" s="57" t="s">
        <v>1736</v>
      </c>
      <c r="D1156" s="57">
        <v>40</v>
      </c>
      <c r="E1156" s="57" t="s">
        <v>1271</v>
      </c>
      <c r="F1156" s="57" t="s">
        <v>1737</v>
      </c>
      <c r="G1156" s="125">
        <v>44651</v>
      </c>
      <c r="H1156" s="57" t="s">
        <v>1738</v>
      </c>
      <c r="I1156" s="103">
        <v>48</v>
      </c>
      <c r="J1156" s="84" t="s">
        <v>18</v>
      </c>
      <c r="K1156" s="84" t="s">
        <v>1739</v>
      </c>
      <c r="L1156" s="84" t="s">
        <v>1740</v>
      </c>
      <c r="M1156" s="283">
        <v>9000</v>
      </c>
      <c r="N1156" s="32" t="s">
        <v>1741</v>
      </c>
    </row>
    <row r="1157" spans="1:14" ht="110.25" x14ac:dyDescent="0.25">
      <c r="A1157" s="284">
        <v>8000</v>
      </c>
      <c r="B1157" s="314" t="s">
        <v>57</v>
      </c>
      <c r="C1157" s="57" t="s">
        <v>1742</v>
      </c>
      <c r="D1157" s="178" t="s">
        <v>1714</v>
      </c>
      <c r="E1157" s="57"/>
      <c r="F1157" s="57"/>
      <c r="G1157" s="57" t="s">
        <v>972</v>
      </c>
      <c r="H1157" s="57" t="s">
        <v>1743</v>
      </c>
      <c r="I1157" s="84" t="s">
        <v>1744</v>
      </c>
      <c r="J1157" s="333" t="s">
        <v>1745</v>
      </c>
      <c r="K1157" s="334" t="s">
        <v>1746</v>
      </c>
      <c r="L1157" s="84"/>
      <c r="M1157" s="283">
        <v>0</v>
      </c>
      <c r="N1157" s="32" t="s">
        <v>1747</v>
      </c>
    </row>
    <row r="1158" spans="1:14" x14ac:dyDescent="0.25">
      <c r="A1158" s="284">
        <v>0</v>
      </c>
      <c r="B1158" s="314" t="s">
        <v>58</v>
      </c>
      <c r="C1158" s="65"/>
      <c r="D1158" s="65"/>
      <c r="E1158" s="65"/>
      <c r="F1158" s="65"/>
      <c r="G1158" s="65"/>
      <c r="H1158" s="65"/>
      <c r="I1158" s="172" t="s">
        <v>1748</v>
      </c>
      <c r="J1158" s="86"/>
      <c r="K1158" s="86"/>
      <c r="L1158" s="86"/>
      <c r="M1158" s="283">
        <v>0</v>
      </c>
    </row>
    <row r="1159" spans="1:14" x14ac:dyDescent="0.25">
      <c r="A1159" s="284">
        <v>0</v>
      </c>
      <c r="B1159" s="314" t="s">
        <v>59</v>
      </c>
      <c r="C1159" s="65"/>
      <c r="D1159" s="65"/>
      <c r="E1159" s="65"/>
      <c r="F1159" s="65"/>
      <c r="G1159" s="65"/>
      <c r="H1159" s="65"/>
      <c r="I1159" s="86"/>
      <c r="J1159" s="86"/>
      <c r="K1159" s="86"/>
      <c r="L1159" s="86"/>
      <c r="M1159" s="283">
        <v>0</v>
      </c>
    </row>
    <row r="1160" spans="1:14" x14ac:dyDescent="0.25">
      <c r="A1160" s="284">
        <v>0</v>
      </c>
      <c r="B1160" s="314" t="s">
        <v>60</v>
      </c>
      <c r="C1160" s="65"/>
      <c r="D1160" s="65"/>
      <c r="E1160" s="65"/>
      <c r="F1160" s="65"/>
      <c r="G1160" s="65"/>
      <c r="H1160" s="65"/>
      <c r="I1160" s="86"/>
      <c r="J1160" s="86"/>
      <c r="K1160" s="86"/>
      <c r="L1160" s="86"/>
      <c r="M1160" s="283">
        <v>0</v>
      </c>
    </row>
    <row r="1161" spans="1:14" x14ac:dyDescent="0.25">
      <c r="A1161" s="284">
        <v>0</v>
      </c>
      <c r="B1161" s="314" t="s">
        <v>61</v>
      </c>
      <c r="C1161" s="65"/>
      <c r="D1161" s="65"/>
      <c r="E1161" s="65"/>
      <c r="F1161" s="65"/>
      <c r="G1161" s="65"/>
      <c r="H1161" s="65"/>
      <c r="I1161" s="86"/>
      <c r="J1161" s="86"/>
      <c r="K1161" s="86"/>
      <c r="L1161" s="86"/>
      <c r="M1161" s="283">
        <v>0</v>
      </c>
    </row>
    <row r="1162" spans="1:14" x14ac:dyDescent="0.25">
      <c r="A1162" s="284">
        <v>0</v>
      </c>
      <c r="B1162" s="314" t="s">
        <v>62</v>
      </c>
      <c r="C1162" s="65"/>
      <c r="D1162" s="65"/>
      <c r="E1162" s="65"/>
      <c r="F1162" s="65"/>
      <c r="G1162" s="65"/>
      <c r="H1162" s="65"/>
      <c r="I1162" s="86"/>
      <c r="J1162" s="86"/>
      <c r="K1162" s="86"/>
      <c r="L1162" s="86"/>
      <c r="M1162" s="283">
        <v>0</v>
      </c>
    </row>
    <row r="1163" spans="1:14" x14ac:dyDescent="0.25">
      <c r="A1163" s="284">
        <v>0</v>
      </c>
      <c r="B1163" s="314" t="s">
        <v>63</v>
      </c>
      <c r="C1163" s="65"/>
      <c r="D1163" s="65"/>
      <c r="E1163" s="65"/>
      <c r="F1163" s="65"/>
      <c r="G1163" s="65"/>
      <c r="H1163" s="65"/>
      <c r="I1163" s="86"/>
      <c r="J1163" s="86"/>
      <c r="K1163" s="86"/>
      <c r="L1163" s="86"/>
      <c r="M1163" s="283">
        <v>0</v>
      </c>
    </row>
    <row r="1164" spans="1:14" x14ac:dyDescent="0.25">
      <c r="A1164" s="284">
        <v>0</v>
      </c>
      <c r="B1164" s="314" t="s">
        <v>64</v>
      </c>
      <c r="C1164" s="65"/>
      <c r="D1164" s="335" t="s">
        <v>1648</v>
      </c>
      <c r="E1164" s="336"/>
      <c r="F1164" s="65"/>
      <c r="G1164" s="65"/>
      <c r="H1164" s="65"/>
      <c r="I1164" s="86"/>
      <c r="J1164" s="86"/>
      <c r="K1164" s="86"/>
      <c r="L1164" s="86"/>
      <c r="M1164" s="283">
        <v>0</v>
      </c>
    </row>
    <row r="1165" spans="1:14" x14ac:dyDescent="0.25">
      <c r="A1165" s="284">
        <v>0</v>
      </c>
      <c r="B1165" s="314" t="s">
        <v>65</v>
      </c>
      <c r="C1165" s="65"/>
      <c r="D1165" s="65"/>
      <c r="E1165" s="65"/>
      <c r="F1165" s="65"/>
      <c r="G1165" s="65"/>
      <c r="H1165" s="65"/>
      <c r="I1165" s="86"/>
      <c r="J1165" s="86"/>
      <c r="K1165" s="86"/>
      <c r="L1165" s="86"/>
      <c r="M1165" s="283">
        <v>0</v>
      </c>
    </row>
    <row r="1166" spans="1:14" x14ac:dyDescent="0.25">
      <c r="A1166" s="284">
        <v>0</v>
      </c>
      <c r="B1166" s="314" t="s">
        <v>66</v>
      </c>
      <c r="C1166" s="65"/>
      <c r="D1166" s="65"/>
      <c r="E1166" s="65"/>
      <c r="F1166" s="65"/>
      <c r="G1166" s="65"/>
      <c r="H1166" s="65"/>
      <c r="I1166" s="86"/>
      <c r="J1166" s="86"/>
      <c r="K1166" s="86"/>
      <c r="L1166" s="86"/>
      <c r="M1166" s="283">
        <v>0</v>
      </c>
    </row>
    <row r="1167" spans="1:14" x14ac:dyDescent="0.25">
      <c r="A1167" s="284">
        <v>0</v>
      </c>
      <c r="B1167" s="314" t="s">
        <v>67</v>
      </c>
      <c r="C1167" s="65"/>
      <c r="D1167" s="65"/>
      <c r="E1167" s="65"/>
      <c r="F1167" s="65"/>
      <c r="G1167" s="65"/>
      <c r="H1167" s="65"/>
      <c r="I1167" s="86"/>
      <c r="J1167" s="86"/>
      <c r="K1167" s="86"/>
      <c r="L1167" s="86"/>
      <c r="M1167" s="283">
        <v>0</v>
      </c>
    </row>
    <row r="1168" spans="1:14" x14ac:dyDescent="0.25">
      <c r="A1168" s="284">
        <v>0</v>
      </c>
      <c r="B1168" s="314" t="s">
        <v>68</v>
      </c>
      <c r="C1168" s="65"/>
      <c r="D1168" s="65"/>
      <c r="E1168" s="65"/>
      <c r="F1168" s="65"/>
      <c r="G1168" s="65"/>
      <c r="H1168" s="65"/>
      <c r="I1168" s="86"/>
      <c r="J1168" s="86"/>
      <c r="K1168" s="86"/>
      <c r="L1168" s="86"/>
      <c r="M1168" s="283">
        <v>0</v>
      </c>
    </row>
    <row r="1169" spans="1:13" x14ac:dyDescent="0.25">
      <c r="A1169" s="284">
        <v>0</v>
      </c>
      <c r="B1169" s="315">
        <v>0.79166666666666663</v>
      </c>
      <c r="C1169" s="65"/>
      <c r="D1169" s="65"/>
      <c r="E1169" s="65"/>
      <c r="F1169" s="65"/>
      <c r="G1169" s="65"/>
      <c r="H1169" s="65"/>
      <c r="I1169" s="86"/>
      <c r="J1169" s="86"/>
      <c r="K1169" s="86"/>
      <c r="L1169" s="86"/>
      <c r="M1169" s="283">
        <v>0</v>
      </c>
    </row>
    <row r="1170" spans="1:13" x14ac:dyDescent="0.25">
      <c r="A1170" s="284">
        <v>0</v>
      </c>
      <c r="B1170" s="315">
        <v>0.83333333333333337</v>
      </c>
      <c r="C1170" s="43"/>
      <c r="D1170" s="194"/>
      <c r="E1170" s="194"/>
      <c r="F1170" s="194"/>
      <c r="G1170" s="194"/>
      <c r="H1170" s="43"/>
      <c r="I1170" s="86"/>
      <c r="J1170" s="86"/>
      <c r="K1170" s="86"/>
      <c r="L1170" s="86"/>
      <c r="M1170" s="283">
        <v>0</v>
      </c>
    </row>
    <row r="1171" spans="1:13" x14ac:dyDescent="0.25">
      <c r="A1171" s="284">
        <v>0</v>
      </c>
      <c r="B1171" s="315">
        <v>0.875</v>
      </c>
      <c r="C1171" s="43"/>
      <c r="D1171" s="194"/>
      <c r="E1171" s="194"/>
      <c r="F1171" s="194"/>
      <c r="G1171" s="194"/>
      <c r="H1171" s="43"/>
      <c r="I1171" s="194"/>
      <c r="J1171" s="194"/>
      <c r="K1171" s="194"/>
      <c r="L1171" s="194"/>
      <c r="M1171" s="283">
        <v>0</v>
      </c>
    </row>
    <row r="1172" spans="1:13" x14ac:dyDescent="0.25">
      <c r="A1172" s="284">
        <v>0</v>
      </c>
      <c r="B1172" s="315">
        <v>0.91666666666666663</v>
      </c>
      <c r="C1172" s="43"/>
      <c r="D1172" s="194"/>
      <c r="E1172" s="194"/>
      <c r="F1172" s="194"/>
      <c r="G1172" s="194"/>
      <c r="H1172" s="43"/>
      <c r="I1172" s="194"/>
      <c r="J1172" s="194"/>
      <c r="K1172" s="194"/>
      <c r="L1172" s="194"/>
      <c r="M1172" s="283">
        <v>0</v>
      </c>
    </row>
    <row r="1173" spans="1:13" x14ac:dyDescent="0.25">
      <c r="A1173" s="265">
        <f>SUM(A1157:A1172)</f>
        <v>8000</v>
      </c>
      <c r="B1173" s="316">
        <v>0.94791666666666663</v>
      </c>
      <c r="C1173" s="43"/>
      <c r="D1173" s="194"/>
      <c r="E1173" s="194"/>
      <c r="F1173" s="194"/>
      <c r="G1173" s="194"/>
      <c r="H1173" s="43"/>
      <c r="I1173" s="194"/>
      <c r="J1173" s="194"/>
      <c r="K1173" s="194"/>
      <c r="L1173" s="194"/>
      <c r="M1173" s="8">
        <f>SUM(M1156:M1172)</f>
        <v>9000</v>
      </c>
    </row>
    <row r="1174" spans="1:13" ht="78.75" x14ac:dyDescent="0.25">
      <c r="A1174" s="281">
        <f>A1156+3</f>
        <v>44655</v>
      </c>
      <c r="B1174" s="296" t="s">
        <v>54</v>
      </c>
      <c r="C1174" s="55" t="s">
        <v>1749</v>
      </c>
      <c r="D1174" s="84">
        <v>48</v>
      </c>
      <c r="E1174" s="84" t="s">
        <v>70</v>
      </c>
      <c r="F1174" s="84" t="s">
        <v>1750</v>
      </c>
      <c r="G1174" s="136">
        <v>44655</v>
      </c>
      <c r="H1174" s="43" t="s">
        <v>1751</v>
      </c>
      <c r="I1174" s="86"/>
      <c r="J1174" s="86"/>
      <c r="K1174" s="86"/>
      <c r="L1174" s="86"/>
      <c r="M1174" s="283">
        <v>2100</v>
      </c>
    </row>
    <row r="1175" spans="1:13" ht="63" x14ac:dyDescent="0.25">
      <c r="A1175" s="284">
        <v>5333</v>
      </c>
      <c r="B1175" s="314" t="s">
        <v>57</v>
      </c>
      <c r="C1175" s="55" t="s">
        <v>1752</v>
      </c>
      <c r="D1175" s="202" t="s">
        <v>1753</v>
      </c>
      <c r="E1175" s="331"/>
      <c r="F1175" s="331">
        <v>2</v>
      </c>
      <c r="G1175" s="331" t="s">
        <v>1754</v>
      </c>
      <c r="H1175" s="43"/>
      <c r="I1175" s="86"/>
      <c r="J1175" s="86"/>
      <c r="K1175" s="86"/>
      <c r="L1175" s="86"/>
      <c r="M1175" s="283">
        <v>0</v>
      </c>
    </row>
    <row r="1176" spans="1:13" x14ac:dyDescent="0.25">
      <c r="A1176" s="284">
        <v>0</v>
      </c>
      <c r="B1176" s="314" t="s">
        <v>58</v>
      </c>
      <c r="C1176" s="43"/>
      <c r="D1176" s="201"/>
      <c r="E1176" s="201"/>
      <c r="F1176" s="201">
        <v>3</v>
      </c>
      <c r="G1176" s="201"/>
      <c r="H1176" s="43"/>
      <c r="I1176" s="86"/>
      <c r="J1176" s="86"/>
      <c r="K1176" s="86"/>
      <c r="L1176" s="86"/>
      <c r="M1176" s="283">
        <v>0</v>
      </c>
    </row>
    <row r="1177" spans="1:13" x14ac:dyDescent="0.25">
      <c r="A1177" s="284">
        <v>0</v>
      </c>
      <c r="B1177" s="314" t="s">
        <v>59</v>
      </c>
      <c r="C1177" s="43"/>
      <c r="D1177" s="201"/>
      <c r="E1177" s="201"/>
      <c r="F1177" s="201">
        <v>4</v>
      </c>
      <c r="G1177" s="201"/>
      <c r="H1177" s="43"/>
      <c r="I1177" s="86"/>
      <c r="J1177" s="86"/>
      <c r="K1177" s="86"/>
      <c r="L1177" s="86"/>
      <c r="M1177" s="283">
        <v>0</v>
      </c>
    </row>
    <row r="1178" spans="1:13" ht="220.5" x14ac:dyDescent="0.25">
      <c r="A1178" s="284">
        <v>7036</v>
      </c>
      <c r="B1178" s="314" t="s">
        <v>60</v>
      </c>
      <c r="C1178" s="55" t="s">
        <v>1755</v>
      </c>
      <c r="D1178" s="167" t="s">
        <v>2878</v>
      </c>
      <c r="E1178" s="167" t="s">
        <v>1167</v>
      </c>
      <c r="F1178" s="167" t="s">
        <v>1756</v>
      </c>
      <c r="G1178" s="197">
        <v>44655</v>
      </c>
      <c r="H1178" s="43"/>
      <c r="I1178" s="86"/>
      <c r="J1178" s="86"/>
      <c r="K1178" s="86"/>
      <c r="L1178" s="86"/>
      <c r="M1178" s="283">
        <v>0</v>
      </c>
    </row>
    <row r="1179" spans="1:13" ht="94.5" x14ac:dyDescent="0.25">
      <c r="A1179" s="284">
        <v>0</v>
      </c>
      <c r="B1179" s="314" t="s">
        <v>61</v>
      </c>
      <c r="C1179" s="55" t="s">
        <v>1757</v>
      </c>
      <c r="D1179" s="202" t="s">
        <v>1714</v>
      </c>
      <c r="E1179" s="331"/>
      <c r="F1179" s="331">
        <v>2</v>
      </c>
      <c r="G1179" s="331" t="s">
        <v>972</v>
      </c>
      <c r="H1179" s="43"/>
      <c r="I1179" s="86"/>
      <c r="J1179" s="86"/>
      <c r="K1179" s="86"/>
      <c r="L1179" s="86"/>
      <c r="M1179" s="283">
        <v>0</v>
      </c>
    </row>
    <row r="1180" spans="1:13" x14ac:dyDescent="0.25">
      <c r="A1180" s="284">
        <v>0</v>
      </c>
      <c r="B1180" s="314" t="s">
        <v>62</v>
      </c>
      <c r="C1180" s="43"/>
      <c r="D1180" s="201"/>
      <c r="E1180" s="201"/>
      <c r="F1180" s="201">
        <v>3</v>
      </c>
      <c r="G1180" s="201"/>
      <c r="H1180" s="43"/>
      <c r="I1180" s="86"/>
      <c r="J1180" s="86"/>
      <c r="K1180" s="86"/>
      <c r="L1180" s="86"/>
      <c r="M1180" s="283">
        <v>0</v>
      </c>
    </row>
    <row r="1181" spans="1:13" x14ac:dyDescent="0.25">
      <c r="A1181" s="284">
        <v>0</v>
      </c>
      <c r="B1181" s="314" t="s">
        <v>63</v>
      </c>
      <c r="C1181" s="43"/>
      <c r="D1181" s="193" t="s">
        <v>1647</v>
      </c>
      <c r="E1181" s="194"/>
      <c r="F1181" s="194"/>
      <c r="G1181" s="194"/>
      <c r="H1181" s="43"/>
      <c r="I1181" s="86"/>
      <c r="J1181" s="86"/>
      <c r="K1181" s="86"/>
      <c r="L1181" s="86"/>
      <c r="M1181" s="283">
        <v>0</v>
      </c>
    </row>
    <row r="1182" spans="1:13" ht="47.25" x14ac:dyDescent="0.25">
      <c r="A1182" s="284">
        <v>0</v>
      </c>
      <c r="B1182" s="314" t="s">
        <v>64</v>
      </c>
      <c r="C1182" s="43"/>
      <c r="D1182" s="193" t="s">
        <v>1648</v>
      </c>
      <c r="E1182" s="195"/>
      <c r="F1182" s="194"/>
      <c r="G1182" s="194"/>
      <c r="H1182" s="55" t="s">
        <v>2879</v>
      </c>
      <c r="I1182" s="57">
        <v>48</v>
      </c>
      <c r="J1182" s="84" t="s">
        <v>1637</v>
      </c>
      <c r="K1182" s="84" t="s">
        <v>1758</v>
      </c>
      <c r="L1182" s="84" t="s">
        <v>2880</v>
      </c>
      <c r="M1182" s="283">
        <v>5250</v>
      </c>
    </row>
    <row r="1183" spans="1:13" ht="63" x14ac:dyDescent="0.25">
      <c r="A1183" s="284">
        <v>0</v>
      </c>
      <c r="B1183" s="314" t="s">
        <v>65</v>
      </c>
      <c r="C1183" s="43"/>
      <c r="D1183" s="194"/>
      <c r="E1183" s="194"/>
      <c r="F1183" s="194"/>
      <c r="G1183" s="194"/>
      <c r="H1183" s="55" t="s">
        <v>1759</v>
      </c>
      <c r="I1183" s="330" t="s">
        <v>1004</v>
      </c>
      <c r="J1183" s="86"/>
      <c r="K1183" s="86">
        <v>2</v>
      </c>
      <c r="L1183" s="337" t="s">
        <v>1715</v>
      </c>
      <c r="M1183" s="283">
        <v>0</v>
      </c>
    </row>
    <row r="1184" spans="1:13" x14ac:dyDescent="0.25">
      <c r="A1184" s="284">
        <v>0</v>
      </c>
      <c r="B1184" s="314" t="s">
        <v>66</v>
      </c>
      <c r="C1184" s="43"/>
      <c r="D1184" s="194"/>
      <c r="E1184" s="194"/>
      <c r="F1184" s="194"/>
      <c r="G1184" s="194"/>
      <c r="H1184" s="43"/>
      <c r="I1184" s="65"/>
      <c r="J1184" s="86"/>
      <c r="K1184" s="86">
        <v>3</v>
      </c>
      <c r="L1184" s="86"/>
      <c r="M1184" s="283">
        <v>0</v>
      </c>
    </row>
    <row r="1185" spans="1:13" x14ac:dyDescent="0.25">
      <c r="A1185" s="284">
        <v>0</v>
      </c>
      <c r="B1185" s="314" t="s">
        <v>67</v>
      </c>
      <c r="C1185" s="43"/>
      <c r="D1185" s="194"/>
      <c r="E1185" s="194"/>
      <c r="F1185" s="194"/>
      <c r="G1185" s="194"/>
      <c r="H1185" s="43"/>
      <c r="I1185" s="65"/>
      <c r="J1185" s="86"/>
      <c r="K1185" s="86">
        <v>4</v>
      </c>
      <c r="L1185" s="86"/>
      <c r="M1185" s="283">
        <v>0</v>
      </c>
    </row>
    <row r="1186" spans="1:13" x14ac:dyDescent="0.25">
      <c r="A1186" s="284">
        <v>0</v>
      </c>
      <c r="B1186" s="314" t="s">
        <v>68</v>
      </c>
      <c r="C1186" s="43"/>
      <c r="D1186" s="194"/>
      <c r="E1186" s="194"/>
      <c r="F1186" s="194"/>
      <c r="G1186" s="194"/>
      <c r="H1186" s="43"/>
      <c r="I1186" s="65"/>
      <c r="J1186" s="86"/>
      <c r="K1186" s="86">
        <v>5</v>
      </c>
      <c r="L1186" s="86"/>
      <c r="M1186" s="283">
        <v>0</v>
      </c>
    </row>
    <row r="1187" spans="1:13" x14ac:dyDescent="0.25">
      <c r="A1187" s="284">
        <v>0</v>
      </c>
      <c r="B1187" s="315">
        <v>0.79166666666666663</v>
      </c>
      <c r="C1187" s="43"/>
      <c r="D1187" s="194"/>
      <c r="E1187" s="194"/>
      <c r="F1187" s="194"/>
      <c r="G1187" s="194"/>
      <c r="H1187" s="43"/>
      <c r="I1187" s="65"/>
      <c r="J1187" s="86"/>
      <c r="K1187" s="86">
        <v>6</v>
      </c>
      <c r="L1187" s="86"/>
      <c r="M1187" s="283">
        <v>0</v>
      </c>
    </row>
    <row r="1188" spans="1:13" x14ac:dyDescent="0.25">
      <c r="A1188" s="284">
        <v>0</v>
      </c>
      <c r="B1188" s="315">
        <v>0.83333333333333337</v>
      </c>
      <c r="C1188" s="43"/>
      <c r="D1188" s="194"/>
      <c r="E1188" s="194"/>
      <c r="F1188" s="194"/>
      <c r="G1188" s="194"/>
      <c r="H1188" s="43"/>
      <c r="I1188" s="65"/>
      <c r="J1188" s="86"/>
      <c r="K1188" s="86"/>
      <c r="L1188" s="86"/>
      <c r="M1188" s="283">
        <v>0</v>
      </c>
    </row>
    <row r="1189" spans="1:13" x14ac:dyDescent="0.25">
      <c r="A1189" s="284">
        <v>0</v>
      </c>
      <c r="B1189" s="315">
        <v>0.875</v>
      </c>
      <c r="C1189" s="43"/>
      <c r="D1189" s="194"/>
      <c r="E1189" s="194"/>
      <c r="F1189" s="194"/>
      <c r="G1189" s="194"/>
      <c r="H1189" s="43"/>
      <c r="I1189" s="194"/>
      <c r="J1189" s="194"/>
      <c r="K1189" s="194"/>
      <c r="L1189" s="194"/>
      <c r="M1189" s="283">
        <v>0</v>
      </c>
    </row>
    <row r="1190" spans="1:13" x14ac:dyDescent="0.25">
      <c r="A1190" s="284">
        <v>0</v>
      </c>
      <c r="B1190" s="315">
        <v>0.91666666666666663</v>
      </c>
      <c r="C1190" s="43"/>
      <c r="D1190" s="194"/>
      <c r="E1190" s="194"/>
      <c r="F1190" s="194"/>
      <c r="G1190" s="194"/>
      <c r="H1190" s="43"/>
      <c r="I1190" s="194"/>
      <c r="J1190" s="194"/>
      <c r="K1190" s="194"/>
      <c r="L1190" s="194"/>
      <c r="M1190" s="283">
        <v>0</v>
      </c>
    </row>
    <row r="1191" spans="1:13" x14ac:dyDescent="0.25">
      <c r="A1191" s="265">
        <f>SUM(A1175:A1190)</f>
        <v>12369</v>
      </c>
      <c r="B1191" s="316">
        <v>0.94791666666666663</v>
      </c>
      <c r="C1191" s="43"/>
      <c r="D1191" s="194"/>
      <c r="E1191" s="194"/>
      <c r="F1191" s="194"/>
      <c r="G1191" s="194"/>
      <c r="H1191" s="43"/>
      <c r="I1191" s="194"/>
      <c r="J1191" s="194"/>
      <c r="K1191" s="194"/>
      <c r="L1191" s="194"/>
      <c r="M1191" s="8">
        <f>SUM(M1174:M1190)</f>
        <v>7350</v>
      </c>
    </row>
    <row r="1192" spans="1:13" ht="78.75" x14ac:dyDescent="0.25">
      <c r="A1192" s="281">
        <f>A1174+1</f>
        <v>44656</v>
      </c>
      <c r="B1192" s="317" t="s">
        <v>54</v>
      </c>
      <c r="C1192" s="176" t="s">
        <v>1760</v>
      </c>
      <c r="D1192" s="200">
        <v>57.093000000000004</v>
      </c>
      <c r="E1192" s="200" t="s">
        <v>1761</v>
      </c>
      <c r="F1192" s="200" t="s">
        <v>1762</v>
      </c>
      <c r="G1192" s="217">
        <v>44651</v>
      </c>
      <c r="H1192" s="55" t="s">
        <v>2881</v>
      </c>
      <c r="I1192" s="84"/>
      <c r="J1192" s="84" t="s">
        <v>204</v>
      </c>
      <c r="K1192" s="84" t="s">
        <v>2882</v>
      </c>
      <c r="L1192" s="136">
        <v>44636</v>
      </c>
      <c r="M1192" s="283">
        <v>1440</v>
      </c>
    </row>
    <row r="1193" spans="1:13" ht="141.75" x14ac:dyDescent="0.25">
      <c r="A1193" s="284">
        <v>2600</v>
      </c>
      <c r="B1193" s="314" t="s">
        <v>57</v>
      </c>
      <c r="C1193" s="176"/>
      <c r="D1193" s="338" t="s">
        <v>1763</v>
      </c>
      <c r="E1193" s="202" t="s">
        <v>1764</v>
      </c>
      <c r="F1193" s="202"/>
      <c r="G1193" s="202" t="s">
        <v>1765</v>
      </c>
      <c r="H1193" s="55" t="s">
        <v>1766</v>
      </c>
      <c r="I1193" s="84" t="s">
        <v>1767</v>
      </c>
      <c r="J1193" s="84"/>
      <c r="K1193" s="84"/>
      <c r="L1193" s="84" t="s">
        <v>1768</v>
      </c>
      <c r="M1193" s="283">
        <v>0</v>
      </c>
    </row>
    <row r="1194" spans="1:13" x14ac:dyDescent="0.25">
      <c r="A1194" s="284">
        <v>0</v>
      </c>
      <c r="B1194" s="314" t="s">
        <v>58</v>
      </c>
      <c r="C1194" s="43"/>
      <c r="D1194" s="201"/>
      <c r="E1194" s="201"/>
      <c r="F1194" s="201"/>
      <c r="G1194" s="201"/>
      <c r="H1194" s="43"/>
      <c r="I1194" s="84"/>
      <c r="J1194" s="84"/>
      <c r="K1194" s="84"/>
      <c r="L1194" s="84"/>
      <c r="M1194" s="283">
        <v>0</v>
      </c>
    </row>
    <row r="1195" spans="1:13" ht="110.25" x14ac:dyDescent="0.25">
      <c r="A1195" s="284">
        <v>6900</v>
      </c>
      <c r="B1195" s="314" t="s">
        <v>59</v>
      </c>
      <c r="C1195" s="176" t="s">
        <v>1769</v>
      </c>
      <c r="D1195" s="200">
        <v>49.25</v>
      </c>
      <c r="E1195" s="200" t="s">
        <v>1761</v>
      </c>
      <c r="F1195" s="200" t="s">
        <v>1770</v>
      </c>
      <c r="G1195" s="217">
        <v>44651</v>
      </c>
      <c r="H1195" s="43"/>
      <c r="I1195" s="84"/>
      <c r="J1195" s="84"/>
      <c r="K1195" s="84"/>
      <c r="L1195" s="84"/>
      <c r="M1195" s="283">
        <v>0</v>
      </c>
    </row>
    <row r="1196" spans="1:13" ht="63" x14ac:dyDescent="0.25">
      <c r="A1196" s="284">
        <v>0</v>
      </c>
      <c r="B1196" s="314" t="s">
        <v>60</v>
      </c>
      <c r="C1196" s="176"/>
      <c r="D1196" s="338" t="s">
        <v>1763</v>
      </c>
      <c r="E1196" s="202"/>
      <c r="F1196" s="202"/>
      <c r="G1196" s="202" t="s">
        <v>1765</v>
      </c>
      <c r="H1196" s="55" t="s">
        <v>2883</v>
      </c>
      <c r="I1196" s="103">
        <v>30</v>
      </c>
      <c r="J1196" s="84" t="s">
        <v>1771</v>
      </c>
      <c r="K1196" s="84" t="s">
        <v>1772</v>
      </c>
      <c r="L1196" s="84" t="s">
        <v>2884</v>
      </c>
      <c r="M1196" s="283">
        <v>1901</v>
      </c>
    </row>
    <row r="1197" spans="1:13" ht="63" x14ac:dyDescent="0.25">
      <c r="A1197" s="284">
        <v>0</v>
      </c>
      <c r="B1197" s="314" t="s">
        <v>61</v>
      </c>
      <c r="C1197" s="43"/>
      <c r="D1197" s="201"/>
      <c r="E1197" s="201"/>
      <c r="F1197" s="201"/>
      <c r="G1197" s="201"/>
      <c r="H1197" s="55" t="s">
        <v>1773</v>
      </c>
      <c r="I1197" s="339" t="s">
        <v>1004</v>
      </c>
      <c r="J1197" s="340" t="s">
        <v>1774</v>
      </c>
      <c r="K1197" s="84">
        <v>2</v>
      </c>
      <c r="L1197" s="84" t="s">
        <v>1775</v>
      </c>
      <c r="M1197" s="283">
        <v>0</v>
      </c>
    </row>
    <row r="1198" spans="1:13" x14ac:dyDescent="0.25">
      <c r="A1198" s="284">
        <v>0</v>
      </c>
      <c r="B1198" s="314" t="s">
        <v>62</v>
      </c>
      <c r="C1198" s="43"/>
      <c r="D1198" s="201"/>
      <c r="E1198" s="201"/>
      <c r="F1198" s="201"/>
      <c r="G1198" s="201"/>
      <c r="H1198" s="43"/>
      <c r="I1198" s="86"/>
      <c r="J1198" s="86"/>
      <c r="K1198" s="86">
        <v>3</v>
      </c>
      <c r="L1198" s="86"/>
      <c r="M1198" s="283">
        <v>0</v>
      </c>
    </row>
    <row r="1199" spans="1:13" ht="110.25" x14ac:dyDescent="0.25">
      <c r="A1199" s="284">
        <v>810</v>
      </c>
      <c r="B1199" s="314" t="s">
        <v>63</v>
      </c>
      <c r="C1199" s="55" t="s">
        <v>1776</v>
      </c>
      <c r="D1199" s="167" t="s">
        <v>2885</v>
      </c>
      <c r="E1199" s="167" t="s">
        <v>1140</v>
      </c>
      <c r="F1199" s="167" t="s">
        <v>1777</v>
      </c>
      <c r="G1199" s="197">
        <v>44659</v>
      </c>
      <c r="H1199" s="43"/>
      <c r="I1199" s="86"/>
      <c r="J1199" s="86"/>
      <c r="K1199" s="86">
        <v>4</v>
      </c>
      <c r="L1199" s="86"/>
      <c r="M1199" s="283">
        <v>0</v>
      </c>
    </row>
    <row r="1200" spans="1:13" x14ac:dyDescent="0.25">
      <c r="A1200" s="284">
        <v>0</v>
      </c>
      <c r="B1200" s="314" t="s">
        <v>64</v>
      </c>
      <c r="C1200" s="43"/>
      <c r="D1200" s="341" t="s">
        <v>1778</v>
      </c>
      <c r="E1200" s="201"/>
      <c r="F1200" s="201"/>
      <c r="G1200" s="201"/>
      <c r="H1200" s="43"/>
      <c r="I1200" s="86"/>
      <c r="J1200" s="86"/>
      <c r="K1200" s="86">
        <v>5</v>
      </c>
      <c r="L1200" s="86"/>
      <c r="M1200" s="283">
        <v>0</v>
      </c>
    </row>
    <row r="1201" spans="1:13" x14ac:dyDescent="0.25">
      <c r="A1201" s="284">
        <v>0</v>
      </c>
      <c r="B1201" s="314" t="s">
        <v>65</v>
      </c>
      <c r="C1201" s="43"/>
      <c r="D1201" s="193" t="s">
        <v>1648</v>
      </c>
      <c r="E1201" s="195"/>
      <c r="F1201" s="194"/>
      <c r="G1201" s="194"/>
      <c r="H1201" s="43"/>
      <c r="I1201" s="86"/>
      <c r="J1201" s="86"/>
      <c r="K1201" s="86">
        <v>6</v>
      </c>
      <c r="L1201" s="86"/>
      <c r="M1201" s="283">
        <v>0</v>
      </c>
    </row>
    <row r="1202" spans="1:13" x14ac:dyDescent="0.25">
      <c r="A1202" s="284">
        <v>0</v>
      </c>
      <c r="B1202" s="314" t="s">
        <v>66</v>
      </c>
      <c r="C1202" s="43"/>
      <c r="D1202" s="194"/>
      <c r="E1202" s="194"/>
      <c r="F1202" s="194"/>
      <c r="G1202" s="194"/>
      <c r="H1202" s="43"/>
      <c r="I1202" s="86"/>
      <c r="J1202" s="86"/>
      <c r="K1202" s="86"/>
      <c r="L1202" s="86"/>
      <c r="M1202" s="283">
        <v>0</v>
      </c>
    </row>
    <row r="1203" spans="1:13" x14ac:dyDescent="0.25">
      <c r="A1203" s="284">
        <v>0</v>
      </c>
      <c r="B1203" s="314" t="s">
        <v>67</v>
      </c>
      <c r="C1203" s="43"/>
      <c r="D1203" s="194"/>
      <c r="E1203" s="194"/>
      <c r="F1203" s="194"/>
      <c r="G1203" s="194"/>
      <c r="H1203" s="43"/>
      <c r="M1203" s="283">
        <v>0</v>
      </c>
    </row>
    <row r="1204" spans="1:13" ht="47.25" x14ac:dyDescent="0.25">
      <c r="A1204" s="284">
        <v>0</v>
      </c>
      <c r="B1204" s="314" t="s">
        <v>68</v>
      </c>
      <c r="C1204" s="43"/>
      <c r="D1204" s="194"/>
      <c r="E1204" s="194"/>
      <c r="F1204" s="194"/>
      <c r="G1204" s="194"/>
      <c r="H1204" s="204" t="s">
        <v>1779</v>
      </c>
      <c r="I1204" s="342">
        <v>21</v>
      </c>
      <c r="J1204" s="342" t="s">
        <v>1780</v>
      </c>
      <c r="K1204" s="342" t="s">
        <v>1781</v>
      </c>
      <c r="L1204" s="342" t="s">
        <v>1782</v>
      </c>
      <c r="M1204" s="283">
        <v>1020</v>
      </c>
    </row>
    <row r="1205" spans="1:13" ht="31.5" x14ac:dyDescent="0.25">
      <c r="A1205" s="284">
        <v>0</v>
      </c>
      <c r="B1205" s="315">
        <v>0.79166666666666663</v>
      </c>
      <c r="C1205" s="43"/>
      <c r="D1205" s="194"/>
      <c r="E1205" s="194"/>
      <c r="F1205" s="194"/>
      <c r="G1205" s="194"/>
      <c r="H1205" s="55"/>
      <c r="I1205" s="201"/>
      <c r="J1205" s="343" t="s">
        <v>1783</v>
      </c>
      <c r="K1205" s="201"/>
      <c r="L1205" s="344" t="s">
        <v>1784</v>
      </c>
      <c r="M1205" s="283">
        <v>0</v>
      </c>
    </row>
    <row r="1206" spans="1:13" x14ac:dyDescent="0.25">
      <c r="A1206" s="284">
        <v>0</v>
      </c>
      <c r="B1206" s="315">
        <v>0.83333333333333337</v>
      </c>
      <c r="C1206" s="43"/>
      <c r="D1206" s="194"/>
      <c r="E1206" s="194"/>
      <c r="F1206" s="194"/>
      <c r="G1206" s="194"/>
      <c r="H1206" s="43"/>
      <c r="I1206" s="201"/>
      <c r="J1206" s="201"/>
      <c r="K1206" s="201"/>
      <c r="L1206" s="201"/>
      <c r="M1206" s="283">
        <v>0</v>
      </c>
    </row>
    <row r="1207" spans="1:13" x14ac:dyDescent="0.25">
      <c r="A1207" s="284">
        <v>0</v>
      </c>
      <c r="B1207" s="315">
        <v>0.875</v>
      </c>
      <c r="C1207" s="43"/>
      <c r="D1207" s="194"/>
      <c r="E1207" s="194"/>
      <c r="F1207" s="194"/>
      <c r="G1207" s="194"/>
      <c r="H1207" s="43"/>
      <c r="I1207" s="194"/>
      <c r="J1207" s="194"/>
      <c r="K1207" s="194"/>
      <c r="L1207" s="194"/>
      <c r="M1207" s="283">
        <v>0</v>
      </c>
    </row>
    <row r="1208" spans="1:13" x14ac:dyDescent="0.25">
      <c r="A1208" s="284">
        <v>0</v>
      </c>
      <c r="B1208" s="315">
        <v>0.91666666666666663</v>
      </c>
      <c r="C1208" s="43"/>
      <c r="D1208" s="194"/>
      <c r="E1208" s="194"/>
      <c r="F1208" s="194"/>
      <c r="G1208" s="194"/>
      <c r="H1208" s="43"/>
      <c r="I1208" s="194"/>
      <c r="J1208" s="194"/>
      <c r="K1208" s="194"/>
      <c r="L1208" s="194"/>
      <c r="M1208" s="283">
        <v>0</v>
      </c>
    </row>
    <row r="1209" spans="1:13" x14ac:dyDescent="0.25">
      <c r="A1209" s="265">
        <f>SUM(A1193:A1208)</f>
        <v>10310</v>
      </c>
      <c r="B1209" s="316">
        <v>0.94791666666666663</v>
      </c>
      <c r="C1209" s="43"/>
      <c r="D1209" s="194"/>
      <c r="E1209" s="194"/>
      <c r="F1209" s="194"/>
      <c r="G1209" s="194"/>
      <c r="H1209" s="43"/>
      <c r="I1209" s="194"/>
      <c r="J1209" s="194"/>
      <c r="K1209" s="194"/>
      <c r="L1209" s="194"/>
      <c r="M1209" s="8">
        <f>SUM(M1192:M1208)</f>
        <v>4361</v>
      </c>
    </row>
    <row r="1210" spans="1:13" ht="173.25" x14ac:dyDescent="0.25">
      <c r="A1210" s="281">
        <f>A1192+1</f>
        <v>44657</v>
      </c>
      <c r="B1210" s="317" t="s">
        <v>54</v>
      </c>
      <c r="C1210" s="84" t="s">
        <v>1785</v>
      </c>
      <c r="D1210" s="84">
        <v>48</v>
      </c>
      <c r="E1210" s="84" t="s">
        <v>1786</v>
      </c>
      <c r="F1210" s="84" t="s">
        <v>1787</v>
      </c>
      <c r="G1210" s="136">
        <v>44656</v>
      </c>
      <c r="H1210" s="176" t="s">
        <v>1788</v>
      </c>
      <c r="I1210" s="200">
        <v>48</v>
      </c>
      <c r="J1210" s="200" t="s">
        <v>1789</v>
      </c>
      <c r="K1210" s="200" t="s">
        <v>1790</v>
      </c>
      <c r="L1210" s="217">
        <v>44656</v>
      </c>
      <c r="M1210" s="283">
        <v>1252</v>
      </c>
    </row>
    <row r="1211" spans="1:13" ht="110.25" x14ac:dyDescent="0.25">
      <c r="A1211" s="284">
        <v>9428</v>
      </c>
      <c r="B1211" s="314" t="s">
        <v>57</v>
      </c>
      <c r="C1211" s="84" t="s">
        <v>1791</v>
      </c>
      <c r="D1211" s="309" t="s">
        <v>1792</v>
      </c>
      <c r="E1211" s="84"/>
      <c r="F1211" s="84"/>
      <c r="G1211" s="130" t="s">
        <v>1754</v>
      </c>
      <c r="H1211" s="176"/>
      <c r="I1211" s="202"/>
      <c r="J1211" s="202" t="s">
        <v>1793</v>
      </c>
      <c r="K1211" s="202" t="s">
        <v>1794</v>
      </c>
      <c r="L1211" s="202" t="s">
        <v>1754</v>
      </c>
      <c r="M1211" s="283">
        <v>0</v>
      </c>
    </row>
    <row r="1212" spans="1:13" x14ac:dyDescent="0.25">
      <c r="A1212" s="284">
        <v>0</v>
      </c>
      <c r="B1212" s="314" t="s">
        <v>58</v>
      </c>
      <c r="C1212" s="86"/>
      <c r="D1212" s="86"/>
      <c r="E1212" s="86"/>
      <c r="F1212" s="86"/>
      <c r="G1212" s="86"/>
      <c r="H1212" s="43"/>
      <c r="I1212" s="201"/>
      <c r="J1212" s="201"/>
      <c r="K1212" s="201"/>
      <c r="L1212" s="201"/>
      <c r="M1212" s="283">
        <v>0</v>
      </c>
    </row>
    <row r="1213" spans="1:13" ht="47.25" x14ac:dyDescent="0.25">
      <c r="A1213" s="284">
        <v>0</v>
      </c>
      <c r="B1213" s="314" t="s">
        <v>59</v>
      </c>
      <c r="C1213" s="86"/>
      <c r="D1213" s="86"/>
      <c r="E1213" s="86"/>
      <c r="F1213" s="86"/>
      <c r="G1213" s="86"/>
      <c r="H1213" s="176" t="s">
        <v>1795</v>
      </c>
      <c r="I1213" s="200">
        <v>60</v>
      </c>
      <c r="J1213" s="200" t="s">
        <v>1789</v>
      </c>
      <c r="K1213" s="200" t="s">
        <v>1796</v>
      </c>
      <c r="L1213" s="217">
        <v>44656</v>
      </c>
      <c r="M1213" s="283">
        <v>1216</v>
      </c>
    </row>
    <row r="1214" spans="1:13" ht="47.25" x14ac:dyDescent="0.25">
      <c r="A1214" s="284">
        <v>0</v>
      </c>
      <c r="B1214" s="314" t="s">
        <v>60</v>
      </c>
      <c r="C1214" s="86"/>
      <c r="D1214" s="86"/>
      <c r="E1214" s="86"/>
      <c r="F1214" s="86"/>
      <c r="G1214" s="86"/>
      <c r="H1214" s="43"/>
      <c r="I1214" s="202"/>
      <c r="J1214" s="202"/>
      <c r="K1214" s="202" t="s">
        <v>1794</v>
      </c>
      <c r="L1214" s="202" t="s">
        <v>1754</v>
      </c>
      <c r="M1214" s="283">
        <v>0</v>
      </c>
    </row>
    <row r="1215" spans="1:13" x14ac:dyDescent="0.25">
      <c r="A1215" s="284">
        <v>0</v>
      </c>
      <c r="B1215" s="314" t="s">
        <v>61</v>
      </c>
      <c r="C1215" s="86"/>
      <c r="D1215" s="86"/>
      <c r="E1215" s="86"/>
      <c r="F1215" s="86"/>
      <c r="G1215" s="86"/>
      <c r="H1215" s="43"/>
      <c r="I1215" s="201"/>
      <c r="J1215" s="201"/>
      <c r="K1215" s="201"/>
      <c r="L1215" s="201"/>
      <c r="M1215" s="283">
        <v>0</v>
      </c>
    </row>
    <row r="1216" spans="1:13" ht="47.25" x14ac:dyDescent="0.25">
      <c r="A1216" s="284">
        <v>0</v>
      </c>
      <c r="B1216" s="314" t="s">
        <v>62</v>
      </c>
      <c r="C1216" s="86"/>
      <c r="D1216" s="86"/>
      <c r="E1216" s="86"/>
      <c r="F1216" s="86"/>
      <c r="G1216" s="86"/>
      <c r="H1216" s="176" t="s">
        <v>1797</v>
      </c>
      <c r="I1216" s="200">
        <v>30</v>
      </c>
      <c r="J1216" s="200" t="s">
        <v>1234</v>
      </c>
      <c r="K1216" s="200" t="s">
        <v>1798</v>
      </c>
      <c r="L1216" s="217">
        <v>44657</v>
      </c>
      <c r="M1216" s="283">
        <v>500</v>
      </c>
    </row>
    <row r="1217" spans="1:13" x14ac:dyDescent="0.25">
      <c r="A1217" s="284">
        <v>0</v>
      </c>
      <c r="B1217" s="314" t="s">
        <v>63</v>
      </c>
      <c r="C1217" s="43"/>
      <c r="D1217" s="193" t="s">
        <v>1647</v>
      </c>
      <c r="E1217" s="194"/>
      <c r="F1217" s="194"/>
      <c r="G1217" s="194"/>
      <c r="H1217" s="176"/>
      <c r="I1217" s="202"/>
      <c r="J1217" s="202"/>
      <c r="K1217" s="202"/>
      <c r="L1217" s="202" t="s">
        <v>1799</v>
      </c>
      <c r="M1217" s="283">
        <v>0</v>
      </c>
    </row>
    <row r="1218" spans="1:13" x14ac:dyDescent="0.25">
      <c r="A1218" s="284">
        <v>0</v>
      </c>
      <c r="B1218" s="314" t="s">
        <v>64</v>
      </c>
      <c r="C1218" s="43"/>
      <c r="D1218" s="193" t="s">
        <v>1648</v>
      </c>
      <c r="E1218" s="195"/>
      <c r="F1218" s="194"/>
      <c r="G1218" s="194"/>
      <c r="H1218" s="43"/>
      <c r="I1218" s="201"/>
      <c r="J1218" s="201"/>
      <c r="K1218" s="201"/>
      <c r="L1218" s="201"/>
      <c r="M1218" s="283">
        <v>0</v>
      </c>
    </row>
    <row r="1219" spans="1:13" x14ac:dyDescent="0.25">
      <c r="A1219" s="284">
        <v>0</v>
      </c>
      <c r="B1219" s="314" t="s">
        <v>65</v>
      </c>
      <c r="C1219" s="43"/>
      <c r="D1219" s="194"/>
      <c r="E1219" s="194"/>
      <c r="F1219" s="194"/>
      <c r="G1219" s="194"/>
      <c r="H1219" s="43"/>
      <c r="I1219" s="201"/>
      <c r="J1219" s="201"/>
      <c r="K1219" s="201"/>
      <c r="L1219" s="201"/>
      <c r="M1219" s="283">
        <v>0</v>
      </c>
    </row>
    <row r="1220" spans="1:13" x14ac:dyDescent="0.25">
      <c r="A1220" s="284">
        <v>0</v>
      </c>
      <c r="B1220" s="314" t="s">
        <v>66</v>
      </c>
      <c r="C1220" s="43"/>
      <c r="D1220" s="194"/>
      <c r="E1220" s="194"/>
      <c r="F1220" s="194"/>
      <c r="G1220" s="194"/>
      <c r="H1220" s="43"/>
      <c r="I1220" s="32"/>
      <c r="J1220" s="32"/>
      <c r="K1220" s="32"/>
      <c r="L1220" s="32"/>
      <c r="M1220" s="283">
        <v>0</v>
      </c>
    </row>
    <row r="1221" spans="1:13" x14ac:dyDescent="0.25">
      <c r="A1221" s="284">
        <v>0</v>
      </c>
      <c r="B1221" s="314" t="s">
        <v>67</v>
      </c>
      <c r="C1221" s="43"/>
      <c r="D1221" s="194"/>
      <c r="E1221" s="194"/>
      <c r="F1221" s="194"/>
      <c r="G1221" s="194"/>
      <c r="H1221" s="43"/>
      <c r="I1221" s="32"/>
      <c r="J1221" s="32"/>
      <c r="K1221" s="32"/>
      <c r="L1221" s="32"/>
      <c r="M1221" s="283">
        <v>0</v>
      </c>
    </row>
    <row r="1222" spans="1:13" x14ac:dyDescent="0.25">
      <c r="A1222" s="284">
        <v>0</v>
      </c>
      <c r="B1222" s="314" t="s">
        <v>68</v>
      </c>
      <c r="C1222" s="43"/>
      <c r="D1222" s="194"/>
      <c r="E1222" s="194"/>
      <c r="F1222" s="194"/>
      <c r="G1222" s="194"/>
      <c r="H1222" s="43"/>
      <c r="I1222" s="32"/>
      <c r="J1222" s="32"/>
      <c r="K1222" s="32"/>
      <c r="L1222" s="32"/>
      <c r="M1222" s="283">
        <v>0</v>
      </c>
    </row>
    <row r="1223" spans="1:13" x14ac:dyDescent="0.25">
      <c r="A1223" s="284">
        <v>0</v>
      </c>
      <c r="B1223" s="315">
        <v>0.79166666666666663</v>
      </c>
      <c r="C1223" s="43"/>
      <c r="D1223" s="194"/>
      <c r="E1223" s="194"/>
      <c r="F1223" s="194"/>
      <c r="G1223" s="194"/>
      <c r="H1223" s="43"/>
      <c r="I1223" s="32"/>
      <c r="J1223" s="32"/>
      <c r="K1223" s="32"/>
      <c r="L1223" s="32"/>
      <c r="M1223" s="283">
        <v>0</v>
      </c>
    </row>
    <row r="1224" spans="1:13" x14ac:dyDescent="0.25">
      <c r="A1224" s="284">
        <v>0</v>
      </c>
      <c r="B1224" s="315">
        <v>0.83333333333333337</v>
      </c>
      <c r="C1224" s="43"/>
      <c r="D1224" s="194"/>
      <c r="E1224" s="194"/>
      <c r="F1224" s="194"/>
      <c r="G1224" s="194"/>
      <c r="H1224" s="43"/>
      <c r="I1224" s="32"/>
      <c r="J1224" s="32"/>
      <c r="K1224" s="32"/>
      <c r="L1224" s="32"/>
      <c r="M1224" s="283">
        <v>0</v>
      </c>
    </row>
    <row r="1225" spans="1:13" x14ac:dyDescent="0.25">
      <c r="A1225" s="284">
        <v>0</v>
      </c>
      <c r="B1225" s="315">
        <v>0.875</v>
      </c>
      <c r="C1225" s="43"/>
      <c r="D1225" s="194"/>
      <c r="E1225" s="194"/>
      <c r="F1225" s="194"/>
      <c r="G1225" s="194"/>
      <c r="H1225" s="43"/>
      <c r="I1225" s="194"/>
      <c r="J1225" s="194"/>
      <c r="K1225" s="194"/>
      <c r="L1225" s="194"/>
      <c r="M1225" s="283">
        <v>0</v>
      </c>
    </row>
    <row r="1226" spans="1:13" x14ac:dyDescent="0.25">
      <c r="A1226" s="284">
        <v>0</v>
      </c>
      <c r="B1226" s="315">
        <v>0.91666666666666663</v>
      </c>
      <c r="C1226" s="43"/>
      <c r="D1226" s="194"/>
      <c r="E1226" s="194"/>
      <c r="F1226" s="194"/>
      <c r="G1226" s="194"/>
      <c r="H1226" s="43"/>
      <c r="I1226" s="194"/>
      <c r="J1226" s="194"/>
      <c r="K1226" s="194"/>
      <c r="L1226" s="194"/>
      <c r="M1226" s="283">
        <v>0</v>
      </c>
    </row>
    <row r="1227" spans="1:13" x14ac:dyDescent="0.25">
      <c r="A1227" s="265">
        <f>SUM(A1211:A1226)</f>
        <v>9428</v>
      </c>
      <c r="B1227" s="316">
        <v>0.94791666666666663</v>
      </c>
      <c r="C1227" s="43"/>
      <c r="D1227" s="194"/>
      <c r="E1227" s="194"/>
      <c r="F1227" s="194"/>
      <c r="G1227" s="194"/>
      <c r="H1227" s="43"/>
      <c r="I1227" s="194"/>
      <c r="J1227" s="194"/>
      <c r="K1227" s="194"/>
      <c r="L1227" s="194"/>
      <c r="M1227" s="8">
        <f>SUM(M1210:M1226)</f>
        <v>2968</v>
      </c>
    </row>
    <row r="1228" spans="1:13" ht="204.75" x14ac:dyDescent="0.25">
      <c r="A1228" s="281">
        <f>A1210+1</f>
        <v>44658</v>
      </c>
      <c r="B1228" s="317" t="s">
        <v>54</v>
      </c>
      <c r="C1228" s="55" t="s">
        <v>1800</v>
      </c>
      <c r="D1228" s="167">
        <v>60</v>
      </c>
      <c r="E1228" s="167" t="s">
        <v>1148</v>
      </c>
      <c r="F1228" s="167" t="s">
        <v>1801</v>
      </c>
      <c r="G1228" s="197">
        <v>44659</v>
      </c>
      <c r="H1228" s="55" t="s">
        <v>1802</v>
      </c>
      <c r="I1228" s="57" t="s">
        <v>1803</v>
      </c>
      <c r="J1228" s="57" t="s">
        <v>100</v>
      </c>
      <c r="K1228" s="57" t="s">
        <v>1804</v>
      </c>
      <c r="L1228" s="125">
        <v>44662</v>
      </c>
      <c r="M1228" s="283">
        <v>940</v>
      </c>
    </row>
    <row r="1229" spans="1:13" ht="94.5" x14ac:dyDescent="0.25">
      <c r="A1229" s="284">
        <v>4018</v>
      </c>
      <c r="B1229" s="314" t="s">
        <v>57</v>
      </c>
      <c r="C1229" s="55" t="s">
        <v>1805</v>
      </c>
      <c r="D1229" s="331"/>
      <c r="E1229" s="331"/>
      <c r="F1229" s="331"/>
      <c r="G1229" s="344" t="s">
        <v>1806</v>
      </c>
      <c r="H1229" s="55" t="s">
        <v>1807</v>
      </c>
      <c r="I1229" s="311" t="s">
        <v>1808</v>
      </c>
      <c r="J1229" s="57"/>
      <c r="K1229" s="57"/>
      <c r="L1229" s="178" t="s">
        <v>1806</v>
      </c>
      <c r="M1229" s="283">
        <v>0</v>
      </c>
    </row>
    <row r="1230" spans="1:13" x14ac:dyDescent="0.25">
      <c r="A1230" s="284">
        <v>0</v>
      </c>
      <c r="B1230" s="314" t="s">
        <v>58</v>
      </c>
      <c r="C1230" s="43"/>
      <c r="D1230" s="201"/>
      <c r="E1230" s="201"/>
      <c r="F1230" s="201"/>
      <c r="G1230" s="201"/>
      <c r="H1230" s="43"/>
      <c r="I1230" s="65"/>
      <c r="J1230" s="65"/>
      <c r="K1230" s="65"/>
      <c r="L1230" s="65"/>
      <c r="M1230" s="283">
        <v>0</v>
      </c>
    </row>
    <row r="1231" spans="1:13" ht="47.25" x14ac:dyDescent="0.25">
      <c r="A1231" s="284">
        <v>0</v>
      </c>
      <c r="B1231" s="314" t="s">
        <v>59</v>
      </c>
      <c r="C1231" s="43"/>
      <c r="D1231" s="201"/>
      <c r="E1231" s="201"/>
      <c r="F1231" s="201"/>
      <c r="G1231" s="201"/>
      <c r="H1231" s="55" t="s">
        <v>1809</v>
      </c>
      <c r="I1231" s="84">
        <v>60</v>
      </c>
      <c r="J1231" s="84" t="s">
        <v>1354</v>
      </c>
      <c r="K1231" s="84" t="s">
        <v>1810</v>
      </c>
      <c r="L1231" s="136">
        <v>44657</v>
      </c>
      <c r="M1231" s="283">
        <v>5625</v>
      </c>
    </row>
    <row r="1232" spans="1:13" ht="31.5" x14ac:dyDescent="0.25">
      <c r="A1232" s="284">
        <v>0</v>
      </c>
      <c r="B1232" s="314" t="s">
        <v>60</v>
      </c>
      <c r="C1232" s="43"/>
      <c r="D1232" s="201"/>
      <c r="E1232" s="201"/>
      <c r="F1232" s="201"/>
      <c r="G1232" s="201"/>
      <c r="H1232" s="55" t="s">
        <v>1811</v>
      </c>
      <c r="I1232" s="172" t="s">
        <v>1812</v>
      </c>
      <c r="J1232" s="84"/>
      <c r="K1232" s="84"/>
      <c r="L1232" s="130" t="s">
        <v>1799</v>
      </c>
      <c r="M1232" s="283">
        <v>0</v>
      </c>
    </row>
    <row r="1233" spans="1:13" x14ac:dyDescent="0.25">
      <c r="A1233" s="284">
        <v>0</v>
      </c>
      <c r="B1233" s="314" t="s">
        <v>61</v>
      </c>
      <c r="C1233" s="43"/>
      <c r="D1233" s="201"/>
      <c r="E1233" s="201"/>
      <c r="F1233" s="201"/>
      <c r="G1233" s="201"/>
      <c r="H1233" s="43"/>
      <c r="I1233" s="86"/>
      <c r="J1233" s="86"/>
      <c r="K1233" s="86"/>
      <c r="L1233" s="86"/>
      <c r="M1233" s="283">
        <v>0</v>
      </c>
    </row>
    <row r="1234" spans="1:13" x14ac:dyDescent="0.25">
      <c r="A1234" s="284">
        <v>0</v>
      </c>
      <c r="B1234" s="314" t="s">
        <v>62</v>
      </c>
      <c r="C1234" s="43"/>
      <c r="D1234" s="201"/>
      <c r="E1234" s="201"/>
      <c r="F1234" s="201"/>
      <c r="G1234" s="201"/>
      <c r="H1234" s="43"/>
      <c r="I1234" s="86"/>
      <c r="J1234" s="86"/>
      <c r="K1234" s="86"/>
      <c r="L1234" s="86"/>
      <c r="M1234" s="283">
        <v>0</v>
      </c>
    </row>
    <row r="1235" spans="1:13" x14ac:dyDescent="0.25">
      <c r="A1235" s="284">
        <v>0</v>
      </c>
      <c r="B1235" s="314" t="s">
        <v>63</v>
      </c>
      <c r="C1235" s="43"/>
      <c r="D1235" s="193" t="s">
        <v>1647</v>
      </c>
      <c r="E1235" s="194"/>
      <c r="F1235" s="194"/>
      <c r="G1235" s="194"/>
      <c r="H1235" s="43"/>
      <c r="I1235" s="86"/>
      <c r="J1235" s="86"/>
      <c r="K1235" s="86"/>
      <c r="L1235" s="86"/>
      <c r="M1235" s="283">
        <v>0</v>
      </c>
    </row>
    <row r="1236" spans="1:13" x14ac:dyDescent="0.25">
      <c r="A1236" s="284">
        <v>0</v>
      </c>
      <c r="B1236" s="314" t="s">
        <v>64</v>
      </c>
      <c r="C1236" s="43"/>
      <c r="D1236" s="193" t="s">
        <v>1648</v>
      </c>
      <c r="E1236" s="195"/>
      <c r="F1236" s="194"/>
      <c r="G1236" s="194"/>
      <c r="H1236" s="43"/>
      <c r="I1236" s="86"/>
      <c r="J1236" s="86"/>
      <c r="K1236" s="86"/>
      <c r="L1236" s="86"/>
      <c r="M1236" s="283">
        <v>0</v>
      </c>
    </row>
    <row r="1237" spans="1:13" x14ac:dyDescent="0.25">
      <c r="A1237" s="284">
        <v>0</v>
      </c>
      <c r="B1237" s="314" t="s">
        <v>65</v>
      </c>
      <c r="C1237" s="43"/>
      <c r="D1237" s="194"/>
      <c r="E1237" s="194"/>
      <c r="F1237" s="194"/>
      <c r="G1237" s="194"/>
      <c r="H1237" s="43"/>
      <c r="I1237" s="86"/>
      <c r="J1237" s="86"/>
      <c r="K1237" s="86"/>
      <c r="L1237" s="86"/>
      <c r="M1237" s="283">
        <v>0</v>
      </c>
    </row>
    <row r="1238" spans="1:13" x14ac:dyDescent="0.25">
      <c r="A1238" s="284">
        <v>0</v>
      </c>
      <c r="B1238" s="314" t="s">
        <v>66</v>
      </c>
      <c r="C1238" s="43"/>
      <c r="D1238" s="194"/>
      <c r="E1238" s="194"/>
      <c r="F1238" s="194"/>
      <c r="G1238" s="194"/>
      <c r="H1238" s="43"/>
      <c r="I1238" s="86"/>
      <c r="J1238" s="86"/>
      <c r="K1238" s="86"/>
      <c r="L1238" s="86"/>
      <c r="M1238" s="283">
        <v>0</v>
      </c>
    </row>
    <row r="1239" spans="1:13" x14ac:dyDescent="0.25">
      <c r="A1239" s="284">
        <v>0</v>
      </c>
      <c r="B1239" s="314" t="s">
        <v>67</v>
      </c>
      <c r="C1239" s="43"/>
      <c r="D1239" s="194"/>
      <c r="E1239" s="194"/>
      <c r="F1239" s="194"/>
      <c r="G1239" s="194"/>
      <c r="H1239" s="43"/>
      <c r="I1239" s="32"/>
      <c r="J1239" s="32"/>
      <c r="K1239" s="32"/>
      <c r="L1239" s="32"/>
      <c r="M1239" s="283">
        <v>0</v>
      </c>
    </row>
    <row r="1240" spans="1:13" x14ac:dyDescent="0.25">
      <c r="A1240" s="284">
        <v>0</v>
      </c>
      <c r="B1240" s="314" t="s">
        <v>68</v>
      </c>
      <c r="C1240" s="43"/>
      <c r="D1240" s="194"/>
      <c r="E1240" s="194"/>
      <c r="F1240" s="194"/>
      <c r="G1240" s="194"/>
      <c r="H1240" s="43"/>
      <c r="I1240" s="32"/>
      <c r="J1240" s="32"/>
      <c r="K1240" s="32"/>
      <c r="L1240" s="32"/>
      <c r="M1240" s="283">
        <v>0</v>
      </c>
    </row>
    <row r="1241" spans="1:13" x14ac:dyDescent="0.25">
      <c r="A1241" s="284">
        <v>0</v>
      </c>
      <c r="B1241" s="315">
        <v>0.79166666666666663</v>
      </c>
      <c r="C1241" s="43"/>
      <c r="D1241" s="194"/>
      <c r="E1241" s="194"/>
      <c r="F1241" s="194"/>
      <c r="G1241" s="194"/>
      <c r="H1241" s="43"/>
      <c r="I1241" s="32"/>
      <c r="J1241" s="32"/>
      <c r="K1241" s="32"/>
      <c r="L1241" s="32"/>
      <c r="M1241" s="283">
        <v>0</v>
      </c>
    </row>
    <row r="1242" spans="1:13" x14ac:dyDescent="0.25">
      <c r="A1242" s="284">
        <v>0</v>
      </c>
      <c r="B1242" s="315">
        <v>0.83333333333333337</v>
      </c>
      <c r="C1242" s="43"/>
      <c r="D1242" s="194"/>
      <c r="E1242" s="194"/>
      <c r="F1242" s="194"/>
      <c r="G1242" s="194"/>
      <c r="H1242" s="43"/>
      <c r="I1242" s="32"/>
      <c r="J1242" s="32"/>
      <c r="K1242" s="32"/>
      <c r="L1242" s="32"/>
      <c r="M1242" s="283">
        <v>0</v>
      </c>
    </row>
    <row r="1243" spans="1:13" x14ac:dyDescent="0.25">
      <c r="A1243" s="284">
        <v>0</v>
      </c>
      <c r="B1243" s="315">
        <v>0.875</v>
      </c>
      <c r="C1243" s="43"/>
      <c r="D1243" s="194"/>
      <c r="E1243" s="194"/>
      <c r="F1243" s="194"/>
      <c r="G1243" s="194"/>
      <c r="H1243" s="43"/>
      <c r="I1243" s="194"/>
      <c r="J1243" s="194"/>
      <c r="K1243" s="194"/>
      <c r="L1243" s="194"/>
      <c r="M1243" s="283">
        <v>0</v>
      </c>
    </row>
    <row r="1244" spans="1:13" x14ac:dyDescent="0.25">
      <c r="A1244" s="284">
        <v>0</v>
      </c>
      <c r="B1244" s="315">
        <v>0.91666666666666663</v>
      </c>
      <c r="C1244" s="43"/>
      <c r="D1244" s="194"/>
      <c r="E1244" s="194"/>
      <c r="F1244" s="194"/>
      <c r="G1244" s="194"/>
      <c r="H1244" s="43"/>
      <c r="I1244" s="194"/>
      <c r="J1244" s="194"/>
      <c r="K1244" s="194"/>
      <c r="L1244" s="194"/>
      <c r="M1244" s="283">
        <v>0</v>
      </c>
    </row>
    <row r="1245" spans="1:13" x14ac:dyDescent="0.25">
      <c r="A1245" s="265">
        <f>SUM(A1229:A1244)</f>
        <v>4018</v>
      </c>
      <c r="B1245" s="316">
        <v>0.94791666666666663</v>
      </c>
      <c r="C1245" s="43"/>
      <c r="D1245" s="194"/>
      <c r="E1245" s="194"/>
      <c r="F1245" s="194"/>
      <c r="G1245" s="194"/>
      <c r="H1245" s="43"/>
      <c r="I1245" s="194"/>
      <c r="J1245" s="194"/>
      <c r="K1245" s="194"/>
      <c r="L1245" s="194"/>
      <c r="M1245" s="8">
        <f>SUM(M1228:M1244)</f>
        <v>6565</v>
      </c>
    </row>
    <row r="1246" spans="1:13" ht="126" x14ac:dyDescent="0.25">
      <c r="A1246" s="281">
        <f>A1228+1</f>
        <v>44659</v>
      </c>
      <c r="B1246" s="317" t="s">
        <v>54</v>
      </c>
      <c r="C1246" s="55" t="s">
        <v>1813</v>
      </c>
      <c r="D1246" s="167">
        <v>48</v>
      </c>
      <c r="E1246" s="167" t="s">
        <v>1814</v>
      </c>
      <c r="F1246" s="167" t="s">
        <v>1815</v>
      </c>
      <c r="G1246" s="197">
        <v>44659</v>
      </c>
      <c r="H1246" s="43"/>
      <c r="M1246" s="283">
        <v>5000</v>
      </c>
    </row>
    <row r="1247" spans="1:13" ht="63" x14ac:dyDescent="0.25">
      <c r="A1247" s="284">
        <v>7666</v>
      </c>
      <c r="B1247" s="314" t="s">
        <v>57</v>
      </c>
      <c r="C1247" s="55" t="s">
        <v>1816</v>
      </c>
      <c r="D1247" s="201"/>
      <c r="E1247" s="201"/>
      <c r="F1247" s="201"/>
      <c r="G1247" s="201"/>
      <c r="H1247" s="43"/>
      <c r="M1247" s="283">
        <v>0</v>
      </c>
    </row>
    <row r="1248" spans="1:13" x14ac:dyDescent="0.25">
      <c r="A1248" s="284">
        <v>0</v>
      </c>
      <c r="B1248" s="314" t="s">
        <v>58</v>
      </c>
      <c r="C1248" s="43"/>
      <c r="D1248" s="201"/>
      <c r="E1248" s="201"/>
      <c r="F1248" s="201"/>
      <c r="G1248" s="201"/>
      <c r="H1248" s="43"/>
      <c r="M1248" s="283">
        <v>0</v>
      </c>
    </row>
    <row r="1249" spans="1:13" x14ac:dyDescent="0.25">
      <c r="A1249" s="284">
        <v>0</v>
      </c>
      <c r="B1249" s="314" t="s">
        <v>59</v>
      </c>
      <c r="C1249" s="43"/>
      <c r="D1249" s="201"/>
      <c r="E1249" s="201"/>
      <c r="F1249" s="201"/>
      <c r="G1249" s="201"/>
      <c r="H1249" s="43"/>
      <c r="M1249" s="283">
        <v>0</v>
      </c>
    </row>
    <row r="1250" spans="1:13" x14ac:dyDescent="0.25">
      <c r="A1250" s="284">
        <v>0</v>
      </c>
      <c r="B1250" s="314" t="s">
        <v>60</v>
      </c>
      <c r="C1250" s="43"/>
      <c r="D1250" s="201"/>
      <c r="E1250" s="201"/>
      <c r="F1250" s="201"/>
      <c r="G1250" s="201"/>
      <c r="H1250" s="43"/>
      <c r="M1250" s="283">
        <v>0</v>
      </c>
    </row>
    <row r="1251" spans="1:13" x14ac:dyDescent="0.25">
      <c r="A1251" s="284">
        <v>0</v>
      </c>
      <c r="B1251" s="314" t="s">
        <v>61</v>
      </c>
      <c r="C1251" s="43"/>
      <c r="D1251" s="201"/>
      <c r="E1251" s="201"/>
      <c r="F1251" s="201"/>
      <c r="G1251" s="201"/>
      <c r="H1251" s="43"/>
      <c r="M1251" s="283">
        <v>0</v>
      </c>
    </row>
    <row r="1252" spans="1:13" x14ac:dyDescent="0.25">
      <c r="A1252" s="284">
        <v>0</v>
      </c>
      <c r="B1252" s="314" t="s">
        <v>62</v>
      </c>
      <c r="C1252" s="43"/>
      <c r="D1252" s="201"/>
      <c r="E1252" s="201"/>
      <c r="F1252" s="201"/>
      <c r="G1252" s="201"/>
      <c r="H1252" s="43"/>
      <c r="M1252" s="283">
        <v>0</v>
      </c>
    </row>
    <row r="1253" spans="1:13" x14ac:dyDescent="0.25">
      <c r="A1253" s="284">
        <v>0</v>
      </c>
      <c r="B1253" s="314" t="s">
        <v>63</v>
      </c>
      <c r="C1253" s="43"/>
      <c r="D1253" s="193" t="s">
        <v>1647</v>
      </c>
      <c r="E1253" s="194"/>
      <c r="F1253" s="194"/>
      <c r="G1253" s="194"/>
      <c r="H1253" s="43"/>
      <c r="M1253" s="283">
        <v>0</v>
      </c>
    </row>
    <row r="1254" spans="1:13" x14ac:dyDescent="0.25">
      <c r="A1254" s="284">
        <v>0</v>
      </c>
      <c r="B1254" s="314" t="s">
        <v>64</v>
      </c>
      <c r="C1254" s="43"/>
      <c r="D1254" s="193" t="s">
        <v>1648</v>
      </c>
      <c r="E1254" s="195"/>
      <c r="F1254" s="194"/>
      <c r="G1254" s="194"/>
      <c r="H1254" s="43"/>
      <c r="M1254" s="283">
        <v>0</v>
      </c>
    </row>
    <row r="1255" spans="1:13" x14ac:dyDescent="0.25">
      <c r="A1255" s="284">
        <v>0</v>
      </c>
      <c r="B1255" s="314" t="s">
        <v>65</v>
      </c>
      <c r="C1255" s="43"/>
      <c r="D1255" s="194"/>
      <c r="E1255" s="194"/>
      <c r="F1255" s="194"/>
      <c r="G1255" s="194"/>
      <c r="H1255" s="43"/>
      <c r="I1255" s="32"/>
      <c r="J1255" s="32"/>
      <c r="K1255" s="32"/>
      <c r="L1255" s="32"/>
      <c r="M1255" s="283">
        <v>0</v>
      </c>
    </row>
    <row r="1256" spans="1:13" x14ac:dyDescent="0.25">
      <c r="A1256" s="284">
        <v>0</v>
      </c>
      <c r="B1256" s="314" t="s">
        <v>66</v>
      </c>
      <c r="C1256" s="43"/>
      <c r="D1256" s="194"/>
      <c r="E1256" s="194"/>
      <c r="F1256" s="194"/>
      <c r="G1256" s="194"/>
      <c r="H1256" s="43"/>
      <c r="I1256" s="32"/>
      <c r="J1256" s="32"/>
      <c r="K1256" s="32"/>
      <c r="L1256" s="32"/>
      <c r="M1256" s="283">
        <v>0</v>
      </c>
    </row>
    <row r="1257" spans="1:13" x14ac:dyDescent="0.25">
      <c r="A1257" s="284">
        <v>0</v>
      </c>
      <c r="B1257" s="314" t="s">
        <v>67</v>
      </c>
      <c r="C1257" s="43"/>
      <c r="D1257" s="194"/>
      <c r="E1257" s="194"/>
      <c r="F1257" s="194"/>
      <c r="G1257" s="194"/>
      <c r="H1257" s="43"/>
      <c r="I1257" s="32"/>
      <c r="J1257" s="32"/>
      <c r="K1257" s="32"/>
      <c r="L1257" s="32"/>
      <c r="M1257" s="283">
        <v>0</v>
      </c>
    </row>
    <row r="1258" spans="1:13" x14ac:dyDescent="0.25">
      <c r="A1258" s="284">
        <v>0</v>
      </c>
      <c r="B1258" s="314" t="s">
        <v>68</v>
      </c>
      <c r="C1258" s="43"/>
      <c r="D1258" s="194"/>
      <c r="E1258" s="194"/>
      <c r="F1258" s="194"/>
      <c r="G1258" s="194"/>
      <c r="H1258" s="43"/>
      <c r="I1258" s="32"/>
      <c r="J1258" s="32"/>
      <c r="K1258" s="32"/>
      <c r="L1258" s="32"/>
      <c r="M1258" s="283">
        <v>0</v>
      </c>
    </row>
    <row r="1259" spans="1:13" x14ac:dyDescent="0.25">
      <c r="A1259" s="284">
        <v>0</v>
      </c>
      <c r="B1259" s="315">
        <v>0.79166666666666663</v>
      </c>
      <c r="C1259" s="43"/>
      <c r="D1259" s="194"/>
      <c r="E1259" s="194"/>
      <c r="F1259" s="194"/>
      <c r="G1259" s="194"/>
      <c r="H1259" s="43"/>
      <c r="I1259" s="32"/>
      <c r="J1259" s="32"/>
      <c r="K1259" s="32"/>
      <c r="L1259" s="32"/>
      <c r="M1259" s="283">
        <v>0</v>
      </c>
    </row>
    <row r="1260" spans="1:13" x14ac:dyDescent="0.25">
      <c r="A1260" s="284">
        <v>0</v>
      </c>
      <c r="B1260" s="315">
        <v>0.83333333333333337</v>
      </c>
      <c r="C1260" s="43"/>
      <c r="D1260" s="194"/>
      <c r="E1260" s="194"/>
      <c r="F1260" s="194"/>
      <c r="G1260" s="194"/>
      <c r="H1260" s="43"/>
      <c r="I1260" s="32"/>
      <c r="J1260" s="32"/>
      <c r="K1260" s="32"/>
      <c r="L1260" s="32"/>
      <c r="M1260" s="283">
        <v>0</v>
      </c>
    </row>
    <row r="1261" spans="1:13" x14ac:dyDescent="0.25">
      <c r="A1261" s="284">
        <v>0</v>
      </c>
      <c r="B1261" s="315">
        <v>0.875</v>
      </c>
      <c r="C1261" s="43"/>
      <c r="D1261" s="194"/>
      <c r="E1261" s="194"/>
      <c r="F1261" s="194"/>
      <c r="G1261" s="194"/>
      <c r="H1261" s="43"/>
      <c r="I1261" s="194"/>
      <c r="J1261" s="194"/>
      <c r="K1261" s="194"/>
      <c r="L1261" s="194"/>
      <c r="M1261" s="283">
        <v>0</v>
      </c>
    </row>
    <row r="1262" spans="1:13" x14ac:dyDescent="0.25">
      <c r="A1262" s="284">
        <v>0</v>
      </c>
      <c r="B1262" s="315">
        <v>0.91666666666666663</v>
      </c>
      <c r="C1262" s="43"/>
      <c r="D1262" s="194"/>
      <c r="E1262" s="194"/>
      <c r="F1262" s="194"/>
      <c r="G1262" s="194"/>
      <c r="H1262" s="43"/>
      <c r="I1262" s="194"/>
      <c r="J1262" s="194"/>
      <c r="K1262" s="194"/>
      <c r="L1262" s="194"/>
      <c r="M1262" s="283">
        <v>0</v>
      </c>
    </row>
    <row r="1263" spans="1:13" x14ac:dyDescent="0.25">
      <c r="A1263" s="265">
        <f>SUM(A1247:A1262)</f>
        <v>7666</v>
      </c>
      <c r="B1263" s="316">
        <v>0.94791666666666663</v>
      </c>
      <c r="C1263" s="43"/>
      <c r="D1263" s="194"/>
      <c r="E1263" s="194"/>
      <c r="F1263" s="194"/>
      <c r="G1263" s="194"/>
      <c r="H1263" s="43"/>
      <c r="I1263" s="194"/>
      <c r="J1263" s="194"/>
      <c r="K1263" s="194"/>
      <c r="L1263" s="194"/>
      <c r="M1263" s="8">
        <f>SUM(M1246:M1262)</f>
        <v>5000</v>
      </c>
    </row>
    <row r="1264" spans="1:13" ht="141.75" x14ac:dyDescent="0.25">
      <c r="A1264" s="281">
        <f>A1246+3</f>
        <v>44662</v>
      </c>
      <c r="B1264" s="296" t="s">
        <v>54</v>
      </c>
      <c r="C1264" s="55" t="s">
        <v>1817</v>
      </c>
      <c r="D1264" s="167">
        <v>58</v>
      </c>
      <c r="E1264" s="167" t="s">
        <v>1202</v>
      </c>
      <c r="F1264" s="167" t="s">
        <v>1818</v>
      </c>
      <c r="G1264" s="197">
        <v>44662</v>
      </c>
      <c r="H1264" s="43"/>
      <c r="M1264" s="283">
        <v>4800</v>
      </c>
    </row>
    <row r="1265" spans="1:13" ht="63" x14ac:dyDescent="0.25">
      <c r="A1265" s="284">
        <v>2822</v>
      </c>
      <c r="B1265" s="314" t="s">
        <v>57</v>
      </c>
      <c r="C1265" s="55" t="s">
        <v>1819</v>
      </c>
      <c r="D1265" s="345" t="s">
        <v>1820</v>
      </c>
      <c r="E1265" s="345" t="s">
        <v>1821</v>
      </c>
      <c r="F1265" s="331"/>
      <c r="G1265" s="331"/>
      <c r="H1265" s="43"/>
      <c r="M1265" s="283">
        <v>0</v>
      </c>
    </row>
    <row r="1266" spans="1:13" ht="157.5" x14ac:dyDescent="0.25">
      <c r="A1266" s="284">
        <v>11489</v>
      </c>
      <c r="B1266" s="314" t="s">
        <v>58</v>
      </c>
      <c r="C1266" s="176" t="s">
        <v>1822</v>
      </c>
      <c r="D1266" s="200">
        <v>60</v>
      </c>
      <c r="E1266" s="200" t="s">
        <v>25</v>
      </c>
      <c r="F1266" s="200" t="s">
        <v>1823</v>
      </c>
      <c r="G1266" s="217">
        <v>44662</v>
      </c>
      <c r="H1266" s="43"/>
      <c r="M1266" s="283">
        <v>0</v>
      </c>
    </row>
    <row r="1267" spans="1:13" x14ac:dyDescent="0.25">
      <c r="A1267" s="284">
        <v>0</v>
      </c>
      <c r="B1267" s="314" t="s">
        <v>59</v>
      </c>
      <c r="C1267" s="176"/>
      <c r="D1267" s="202"/>
      <c r="E1267" s="202"/>
      <c r="F1267" s="202">
        <v>2</v>
      </c>
      <c r="G1267" s="202" t="s">
        <v>1824</v>
      </c>
      <c r="H1267" s="43"/>
      <c r="M1267" s="283">
        <v>0</v>
      </c>
    </row>
    <row r="1268" spans="1:13" ht="47.25" x14ac:dyDescent="0.25">
      <c r="A1268" s="284">
        <v>0</v>
      </c>
      <c r="B1268" s="314" t="s">
        <v>60</v>
      </c>
      <c r="C1268" s="43"/>
      <c r="D1268" s="202"/>
      <c r="E1268" s="202"/>
      <c r="F1268" s="202">
        <v>3</v>
      </c>
      <c r="G1268" s="202" t="s">
        <v>1825</v>
      </c>
      <c r="H1268" s="43"/>
      <c r="M1268" s="283">
        <v>0</v>
      </c>
    </row>
    <row r="1269" spans="1:13" x14ac:dyDescent="0.25">
      <c r="A1269" s="284">
        <v>0</v>
      </c>
      <c r="B1269" s="314" t="s">
        <v>61</v>
      </c>
      <c r="C1269" s="43"/>
      <c r="D1269" s="202"/>
      <c r="E1269" s="202"/>
      <c r="F1269" s="202">
        <v>4</v>
      </c>
      <c r="G1269" s="202"/>
      <c r="H1269" s="43"/>
      <c r="M1269" s="283">
        <v>0</v>
      </c>
    </row>
    <row r="1270" spans="1:13" x14ac:dyDescent="0.25">
      <c r="A1270" s="284">
        <v>0</v>
      </c>
      <c r="B1270" s="314" t="s">
        <v>62</v>
      </c>
      <c r="C1270" s="43"/>
      <c r="D1270" s="202"/>
      <c r="E1270" s="202"/>
      <c r="F1270" s="202">
        <v>5</v>
      </c>
      <c r="G1270" s="202"/>
      <c r="H1270" s="43"/>
      <c r="M1270" s="283">
        <v>0</v>
      </c>
    </row>
    <row r="1271" spans="1:13" x14ac:dyDescent="0.25">
      <c r="A1271" s="284">
        <v>0</v>
      </c>
      <c r="B1271" s="314" t="s">
        <v>63</v>
      </c>
      <c r="C1271" s="43"/>
      <c r="D1271" s="193" t="s">
        <v>1647</v>
      </c>
      <c r="E1271" s="194"/>
      <c r="F1271" s="194"/>
      <c r="G1271" s="194"/>
      <c r="H1271" s="43"/>
      <c r="M1271" s="283">
        <v>0</v>
      </c>
    </row>
    <row r="1272" spans="1:13" x14ac:dyDescent="0.25">
      <c r="A1272" s="284">
        <v>0</v>
      </c>
      <c r="B1272" s="314" t="s">
        <v>64</v>
      </c>
      <c r="C1272" s="43"/>
      <c r="D1272" s="193" t="s">
        <v>1648</v>
      </c>
      <c r="E1272" s="195"/>
      <c r="F1272" s="194"/>
      <c r="G1272" s="194"/>
      <c r="H1272" s="43"/>
      <c r="M1272" s="283">
        <v>0</v>
      </c>
    </row>
    <row r="1273" spans="1:13" x14ac:dyDescent="0.25">
      <c r="A1273" s="284">
        <v>0</v>
      </c>
      <c r="B1273" s="314" t="s">
        <v>65</v>
      </c>
      <c r="C1273" s="43"/>
      <c r="D1273" s="194"/>
      <c r="E1273" s="194"/>
      <c r="F1273" s="194"/>
      <c r="G1273" s="194"/>
      <c r="H1273" s="43"/>
      <c r="I1273" s="32"/>
      <c r="J1273" s="32"/>
      <c r="K1273" s="32"/>
      <c r="L1273" s="32"/>
      <c r="M1273" s="283">
        <v>0</v>
      </c>
    </row>
    <row r="1274" spans="1:13" x14ac:dyDescent="0.25">
      <c r="A1274" s="284">
        <v>0</v>
      </c>
      <c r="B1274" s="314" t="s">
        <v>66</v>
      </c>
      <c r="C1274" s="43"/>
      <c r="D1274" s="194"/>
      <c r="E1274" s="194"/>
      <c r="F1274" s="194"/>
      <c r="G1274" s="194"/>
      <c r="H1274" s="43"/>
      <c r="I1274" s="32"/>
      <c r="J1274" s="32"/>
      <c r="K1274" s="32"/>
      <c r="L1274" s="32"/>
      <c r="M1274" s="283">
        <v>0</v>
      </c>
    </row>
    <row r="1275" spans="1:13" x14ac:dyDescent="0.25">
      <c r="A1275" s="284">
        <v>0</v>
      </c>
      <c r="B1275" s="314" t="s">
        <v>67</v>
      </c>
      <c r="C1275" s="43"/>
      <c r="D1275" s="194"/>
      <c r="E1275" s="194"/>
      <c r="F1275" s="194"/>
      <c r="G1275" s="194"/>
      <c r="H1275" s="43"/>
      <c r="I1275" s="32"/>
      <c r="J1275" s="32"/>
      <c r="K1275" s="32"/>
      <c r="L1275" s="32"/>
      <c r="M1275" s="283">
        <v>0</v>
      </c>
    </row>
    <row r="1276" spans="1:13" x14ac:dyDescent="0.25">
      <c r="A1276" s="284">
        <v>0</v>
      </c>
      <c r="B1276" s="314" t="s">
        <v>68</v>
      </c>
      <c r="C1276" s="43"/>
      <c r="D1276" s="194"/>
      <c r="E1276" s="194"/>
      <c r="F1276" s="194"/>
      <c r="G1276" s="194"/>
      <c r="H1276" s="43"/>
      <c r="I1276" s="32"/>
      <c r="J1276" s="32"/>
      <c r="K1276" s="32"/>
      <c r="L1276" s="32"/>
      <c r="M1276" s="283">
        <v>0</v>
      </c>
    </row>
    <row r="1277" spans="1:13" x14ac:dyDescent="0.25">
      <c r="A1277" s="284">
        <v>0</v>
      </c>
      <c r="B1277" s="315">
        <v>0.79166666666666663</v>
      </c>
      <c r="C1277" s="43"/>
      <c r="D1277" s="194"/>
      <c r="E1277" s="194"/>
      <c r="F1277" s="194"/>
      <c r="G1277" s="194"/>
      <c r="H1277" s="43"/>
      <c r="I1277" s="32"/>
      <c r="J1277" s="32"/>
      <c r="K1277" s="32"/>
      <c r="L1277" s="32"/>
      <c r="M1277" s="283">
        <v>0</v>
      </c>
    </row>
    <row r="1278" spans="1:13" x14ac:dyDescent="0.25">
      <c r="A1278" s="284">
        <v>0</v>
      </c>
      <c r="B1278" s="315">
        <v>0.83333333333333337</v>
      </c>
      <c r="C1278" s="43"/>
      <c r="D1278" s="194"/>
      <c r="E1278" s="194"/>
      <c r="F1278" s="194"/>
      <c r="G1278" s="194"/>
      <c r="H1278" s="43"/>
      <c r="I1278" s="32"/>
      <c r="J1278" s="32"/>
      <c r="K1278" s="32"/>
      <c r="L1278" s="32"/>
      <c r="M1278" s="283">
        <v>0</v>
      </c>
    </row>
    <row r="1279" spans="1:13" x14ac:dyDescent="0.25">
      <c r="A1279" s="284">
        <v>0</v>
      </c>
      <c r="B1279" s="315">
        <v>0.875</v>
      </c>
      <c r="C1279" s="43"/>
      <c r="D1279" s="194"/>
      <c r="E1279" s="194"/>
      <c r="F1279" s="194"/>
      <c r="G1279" s="194"/>
      <c r="H1279" s="43"/>
      <c r="I1279" s="194"/>
      <c r="J1279" s="194"/>
      <c r="K1279" s="194"/>
      <c r="L1279" s="194"/>
      <c r="M1279" s="283">
        <v>0</v>
      </c>
    </row>
    <row r="1280" spans="1:13" x14ac:dyDescent="0.25">
      <c r="A1280" s="284">
        <v>0</v>
      </c>
      <c r="B1280" s="315">
        <v>0.91666666666666663</v>
      </c>
      <c r="C1280" s="43"/>
      <c r="D1280" s="194"/>
      <c r="E1280" s="194"/>
      <c r="F1280" s="194"/>
      <c r="G1280" s="194"/>
      <c r="H1280" s="43"/>
      <c r="I1280" s="194"/>
      <c r="J1280" s="194"/>
      <c r="K1280" s="194"/>
      <c r="L1280" s="194"/>
      <c r="M1280" s="283">
        <v>0</v>
      </c>
    </row>
    <row r="1281" spans="1:13" x14ac:dyDescent="0.25">
      <c r="A1281" s="265">
        <f>SUM(A1265:A1280)</f>
        <v>14311</v>
      </c>
      <c r="B1281" s="316">
        <v>0.94791666666666663</v>
      </c>
      <c r="C1281" s="43"/>
      <c r="D1281" s="194"/>
      <c r="E1281" s="194"/>
      <c r="F1281" s="194"/>
      <c r="G1281" s="194"/>
      <c r="H1281" s="43"/>
      <c r="I1281" s="194"/>
      <c r="J1281" s="194"/>
      <c r="K1281" s="194"/>
      <c r="L1281" s="194"/>
      <c r="M1281" s="8">
        <f>SUM(M1264:M1280)</f>
        <v>4800</v>
      </c>
    </row>
    <row r="1282" spans="1:13" ht="110.25" x14ac:dyDescent="0.25">
      <c r="A1282" s="281">
        <f>A1264+1</f>
        <v>44663</v>
      </c>
      <c r="B1282" s="317" t="s">
        <v>54</v>
      </c>
      <c r="C1282" s="176" t="s">
        <v>1826</v>
      </c>
      <c r="D1282" s="200">
        <v>36</v>
      </c>
      <c r="E1282" s="200" t="s">
        <v>1422</v>
      </c>
      <c r="F1282" s="200" t="s">
        <v>1827</v>
      </c>
      <c r="G1282" s="217">
        <v>44659</v>
      </c>
      <c r="H1282" s="43"/>
      <c r="M1282" s="283">
        <v>2200</v>
      </c>
    </row>
    <row r="1283" spans="1:13" ht="47.25" x14ac:dyDescent="0.25">
      <c r="A1283" s="284">
        <v>1184</v>
      </c>
      <c r="B1283" s="314" t="s">
        <v>57</v>
      </c>
      <c r="C1283" s="318"/>
      <c r="D1283" s="346"/>
      <c r="E1283" s="346"/>
      <c r="F1283" s="202" t="s">
        <v>1828</v>
      </c>
      <c r="G1283" s="346" t="s">
        <v>1829</v>
      </c>
      <c r="H1283" s="43"/>
      <c r="M1283" s="283">
        <v>0</v>
      </c>
    </row>
    <row r="1284" spans="1:13" x14ac:dyDescent="0.25">
      <c r="A1284" s="284">
        <v>0</v>
      </c>
      <c r="B1284" s="314" t="s">
        <v>58</v>
      </c>
      <c r="C1284" s="318"/>
      <c r="D1284" s="346"/>
      <c r="E1284" s="346"/>
      <c r="F1284" s="346"/>
      <c r="G1284" s="346"/>
      <c r="H1284" s="43"/>
      <c r="M1284" s="283">
        <v>0</v>
      </c>
    </row>
    <row r="1285" spans="1:13" x14ac:dyDescent="0.25">
      <c r="A1285" s="284">
        <v>0</v>
      </c>
      <c r="B1285" s="314" t="s">
        <v>59</v>
      </c>
      <c r="C1285" s="318"/>
      <c r="D1285" s="346"/>
      <c r="E1285" s="346"/>
      <c r="F1285" s="346"/>
      <c r="G1285" s="346"/>
      <c r="H1285" s="43"/>
      <c r="M1285" s="283">
        <v>0</v>
      </c>
    </row>
    <row r="1286" spans="1:13" ht="63" x14ac:dyDescent="0.25">
      <c r="A1286" s="284">
        <v>1924</v>
      </c>
      <c r="B1286" s="314" t="s">
        <v>60</v>
      </c>
      <c r="C1286" s="55" t="s">
        <v>1830</v>
      </c>
      <c r="D1286" s="167">
        <v>54</v>
      </c>
      <c r="E1286" s="167" t="s">
        <v>248</v>
      </c>
      <c r="F1286" s="167" t="s">
        <v>1831</v>
      </c>
      <c r="G1286" s="197">
        <v>44662</v>
      </c>
      <c r="H1286" s="43"/>
      <c r="M1286" s="283">
        <v>0</v>
      </c>
    </row>
    <row r="1287" spans="1:13" ht="78.75" x14ac:dyDescent="0.25">
      <c r="A1287" s="284">
        <v>0</v>
      </c>
      <c r="B1287" s="314" t="s">
        <v>61</v>
      </c>
      <c r="C1287" s="55" t="s">
        <v>1832</v>
      </c>
      <c r="D1287" s="331"/>
      <c r="E1287" s="331"/>
      <c r="F1287" s="331">
        <v>2</v>
      </c>
      <c r="G1287" s="331" t="s">
        <v>1806</v>
      </c>
      <c r="H1287" s="43"/>
      <c r="M1287" s="283">
        <v>0</v>
      </c>
    </row>
    <row r="1288" spans="1:13" x14ac:dyDescent="0.25">
      <c r="A1288" s="284">
        <v>0</v>
      </c>
      <c r="B1288" s="314" t="s">
        <v>62</v>
      </c>
      <c r="C1288" s="43"/>
      <c r="D1288" s="201"/>
      <c r="E1288" s="201"/>
      <c r="F1288" s="201">
        <v>3</v>
      </c>
      <c r="G1288" s="201"/>
      <c r="H1288" s="43"/>
      <c r="M1288" s="283">
        <v>0</v>
      </c>
    </row>
    <row r="1289" spans="1:13" x14ac:dyDescent="0.25">
      <c r="A1289" s="284">
        <v>0</v>
      </c>
      <c r="B1289" s="314" t="s">
        <v>63</v>
      </c>
      <c r="C1289" s="43"/>
      <c r="D1289" s="193" t="s">
        <v>1647</v>
      </c>
      <c r="E1289" s="194"/>
      <c r="F1289" s="194"/>
      <c r="G1289" s="194"/>
      <c r="H1289" s="43"/>
      <c r="M1289" s="283">
        <v>0</v>
      </c>
    </row>
    <row r="1290" spans="1:13" x14ac:dyDescent="0.25">
      <c r="A1290" s="284">
        <v>0</v>
      </c>
      <c r="B1290" s="314" t="s">
        <v>64</v>
      </c>
      <c r="C1290" s="43"/>
      <c r="D1290" s="193" t="s">
        <v>1648</v>
      </c>
      <c r="E1290" s="195"/>
      <c r="F1290" s="194"/>
      <c r="G1290" s="194"/>
      <c r="H1290" s="43"/>
      <c r="M1290" s="283">
        <v>0</v>
      </c>
    </row>
    <row r="1291" spans="1:13" x14ac:dyDescent="0.25">
      <c r="A1291" s="284">
        <v>0</v>
      </c>
      <c r="B1291" s="314" t="s">
        <v>65</v>
      </c>
      <c r="C1291" s="43"/>
      <c r="D1291" s="194"/>
      <c r="E1291" s="194"/>
      <c r="F1291" s="194"/>
      <c r="G1291" s="194"/>
      <c r="H1291" s="43"/>
      <c r="I1291" s="32"/>
      <c r="J1291" s="32"/>
      <c r="K1291" s="32"/>
      <c r="L1291" s="32"/>
      <c r="M1291" s="283">
        <v>0</v>
      </c>
    </row>
    <row r="1292" spans="1:13" x14ac:dyDescent="0.25">
      <c r="A1292" s="284">
        <v>0</v>
      </c>
      <c r="B1292" s="314" t="s">
        <v>66</v>
      </c>
      <c r="C1292" s="43"/>
      <c r="D1292" s="194"/>
      <c r="E1292" s="194"/>
      <c r="F1292" s="194"/>
      <c r="G1292" s="194"/>
      <c r="H1292" s="43"/>
      <c r="I1292" s="32"/>
      <c r="J1292" s="32"/>
      <c r="K1292" s="32"/>
      <c r="L1292" s="32"/>
      <c r="M1292" s="283">
        <v>0</v>
      </c>
    </row>
    <row r="1293" spans="1:13" x14ac:dyDescent="0.25">
      <c r="A1293" s="284">
        <v>0</v>
      </c>
      <c r="B1293" s="314" t="s">
        <v>67</v>
      </c>
      <c r="C1293" s="43"/>
      <c r="D1293" s="194"/>
      <c r="E1293" s="194"/>
      <c r="F1293" s="194"/>
      <c r="G1293" s="194"/>
      <c r="H1293" s="43"/>
      <c r="I1293" s="32"/>
      <c r="J1293" s="32"/>
      <c r="K1293" s="32"/>
      <c r="L1293" s="32"/>
      <c r="M1293" s="283">
        <v>0</v>
      </c>
    </row>
    <row r="1294" spans="1:13" x14ac:dyDescent="0.25">
      <c r="A1294" s="284">
        <v>0</v>
      </c>
      <c r="B1294" s="314" t="s">
        <v>68</v>
      </c>
      <c r="C1294" s="43"/>
      <c r="D1294" s="194"/>
      <c r="E1294" s="194"/>
      <c r="F1294" s="194"/>
      <c r="G1294" s="194"/>
      <c r="H1294" s="43"/>
      <c r="I1294" s="32"/>
      <c r="J1294" s="32"/>
      <c r="K1294" s="32"/>
      <c r="L1294" s="32"/>
      <c r="M1294" s="283">
        <v>0</v>
      </c>
    </row>
    <row r="1295" spans="1:13" x14ac:dyDescent="0.25">
      <c r="A1295" s="284">
        <v>0</v>
      </c>
      <c r="B1295" s="315">
        <v>0.79166666666666663</v>
      </c>
      <c r="C1295" s="43"/>
      <c r="D1295" s="194"/>
      <c r="E1295" s="194"/>
      <c r="F1295" s="194"/>
      <c r="G1295" s="194"/>
      <c r="H1295" s="43"/>
      <c r="I1295" s="32"/>
      <c r="J1295" s="32"/>
      <c r="K1295" s="32"/>
      <c r="L1295" s="32"/>
      <c r="M1295" s="283">
        <v>0</v>
      </c>
    </row>
    <row r="1296" spans="1:13" x14ac:dyDescent="0.25">
      <c r="A1296" s="284">
        <v>0</v>
      </c>
      <c r="B1296" s="315">
        <v>0.83333333333333337</v>
      </c>
      <c r="C1296" s="43"/>
      <c r="D1296" s="194"/>
      <c r="E1296" s="194"/>
      <c r="F1296" s="194"/>
      <c r="G1296" s="194"/>
      <c r="H1296" s="43"/>
      <c r="I1296" s="32"/>
      <c r="J1296" s="32"/>
      <c r="K1296" s="32"/>
      <c r="L1296" s="32"/>
      <c r="M1296" s="283">
        <v>0</v>
      </c>
    </row>
    <row r="1297" spans="1:13" x14ac:dyDescent="0.25">
      <c r="A1297" s="284">
        <v>0</v>
      </c>
      <c r="B1297" s="315">
        <v>0.875</v>
      </c>
      <c r="C1297" s="43"/>
      <c r="D1297" s="194"/>
      <c r="E1297" s="194"/>
      <c r="F1297" s="194"/>
      <c r="G1297" s="194"/>
      <c r="H1297" s="43"/>
      <c r="I1297" s="194"/>
      <c r="J1297" s="194"/>
      <c r="K1297" s="194"/>
      <c r="L1297" s="194"/>
      <c r="M1297" s="283">
        <v>0</v>
      </c>
    </row>
    <row r="1298" spans="1:13" x14ac:dyDescent="0.25">
      <c r="A1298" s="284">
        <v>0</v>
      </c>
      <c r="B1298" s="315">
        <v>0.91666666666666663</v>
      </c>
      <c r="C1298" s="43"/>
      <c r="D1298" s="194"/>
      <c r="E1298" s="194"/>
      <c r="F1298" s="194"/>
      <c r="G1298" s="194"/>
      <c r="H1298" s="43"/>
      <c r="I1298" s="194"/>
      <c r="J1298" s="194"/>
      <c r="K1298" s="194"/>
      <c r="L1298" s="194"/>
      <c r="M1298" s="283">
        <v>0</v>
      </c>
    </row>
    <row r="1299" spans="1:13" x14ac:dyDescent="0.25">
      <c r="A1299" s="265">
        <f>SUM(A1283:A1298)</f>
        <v>3108</v>
      </c>
      <c r="B1299" s="316">
        <v>0.94791666666666663</v>
      </c>
      <c r="C1299" s="43"/>
      <c r="D1299" s="194"/>
      <c r="E1299" s="194"/>
      <c r="F1299" s="194"/>
      <c r="G1299" s="194"/>
      <c r="H1299" s="43"/>
      <c r="I1299" s="194"/>
      <c r="J1299" s="194"/>
      <c r="K1299" s="194"/>
      <c r="L1299" s="194"/>
      <c r="M1299" s="8">
        <f>SUM(M1282:M1298)</f>
        <v>2200</v>
      </c>
    </row>
    <row r="1300" spans="1:13" x14ac:dyDescent="0.25">
      <c r="A1300" s="281">
        <f>A1282+1</f>
        <v>44664</v>
      </c>
      <c r="B1300" s="317" t="s">
        <v>54</v>
      </c>
      <c r="C1300" s="43"/>
      <c r="H1300" s="43"/>
      <c r="M1300" s="283">
        <v>0</v>
      </c>
    </row>
    <row r="1301" spans="1:13" x14ac:dyDescent="0.25">
      <c r="A1301" s="284">
        <v>0</v>
      </c>
      <c r="B1301" s="314" t="s">
        <v>57</v>
      </c>
      <c r="C1301" s="43"/>
      <c r="H1301" s="43"/>
      <c r="M1301" s="283">
        <v>0</v>
      </c>
    </row>
    <row r="1302" spans="1:13" x14ac:dyDescent="0.25">
      <c r="A1302" s="284">
        <v>0</v>
      </c>
      <c r="B1302" s="314" t="s">
        <v>58</v>
      </c>
      <c r="C1302" s="43"/>
      <c r="H1302" s="43"/>
      <c r="M1302" s="283">
        <v>0</v>
      </c>
    </row>
    <row r="1303" spans="1:13" x14ac:dyDescent="0.25">
      <c r="A1303" s="284">
        <v>0</v>
      </c>
      <c r="B1303" s="314" t="s">
        <v>59</v>
      </c>
      <c r="C1303" s="43"/>
      <c r="H1303" s="43"/>
      <c r="M1303" s="283">
        <v>0</v>
      </c>
    </row>
    <row r="1304" spans="1:13" x14ac:dyDescent="0.25">
      <c r="A1304" s="284">
        <v>0</v>
      </c>
      <c r="B1304" s="314" t="s">
        <v>60</v>
      </c>
      <c r="C1304" s="43"/>
      <c r="H1304" s="43"/>
      <c r="M1304" s="283">
        <v>0</v>
      </c>
    </row>
    <row r="1305" spans="1:13" x14ac:dyDescent="0.25">
      <c r="A1305" s="284">
        <v>0</v>
      </c>
      <c r="B1305" s="314" t="s">
        <v>61</v>
      </c>
      <c r="C1305" s="43"/>
      <c r="H1305" s="43"/>
      <c r="M1305" s="283">
        <v>0</v>
      </c>
    </row>
    <row r="1306" spans="1:13" x14ac:dyDescent="0.25">
      <c r="A1306" s="284">
        <v>0</v>
      </c>
      <c r="B1306" s="314" t="s">
        <v>62</v>
      </c>
      <c r="C1306" s="43"/>
      <c r="H1306" s="43"/>
      <c r="M1306" s="283">
        <v>0</v>
      </c>
    </row>
    <row r="1307" spans="1:13" x14ac:dyDescent="0.25">
      <c r="A1307" s="284">
        <v>0</v>
      </c>
      <c r="B1307" s="314" t="s">
        <v>63</v>
      </c>
      <c r="C1307" s="43"/>
      <c r="D1307" s="193" t="s">
        <v>1647</v>
      </c>
      <c r="E1307" s="194"/>
      <c r="F1307" s="194"/>
      <c r="G1307" s="194"/>
      <c r="H1307" s="43"/>
      <c r="M1307" s="283">
        <v>0</v>
      </c>
    </row>
    <row r="1308" spans="1:13" x14ac:dyDescent="0.25">
      <c r="A1308" s="284">
        <v>0</v>
      </c>
      <c r="B1308" s="314" t="s">
        <v>64</v>
      </c>
      <c r="C1308" s="43"/>
      <c r="D1308" s="193" t="s">
        <v>1648</v>
      </c>
      <c r="E1308" s="195"/>
      <c r="F1308" s="194"/>
      <c r="G1308" s="194"/>
      <c r="H1308" s="43"/>
      <c r="M1308" s="283">
        <v>0</v>
      </c>
    </row>
    <row r="1309" spans="1:13" x14ac:dyDescent="0.25">
      <c r="A1309" s="284">
        <v>0</v>
      </c>
      <c r="B1309" s="314" t="s">
        <v>65</v>
      </c>
      <c r="C1309" s="43"/>
      <c r="D1309" s="194"/>
      <c r="E1309" s="194"/>
      <c r="F1309" s="194"/>
      <c r="G1309" s="194"/>
      <c r="H1309" s="43"/>
      <c r="I1309" s="32"/>
      <c r="J1309" s="32"/>
      <c r="K1309" s="32"/>
      <c r="L1309" s="32"/>
      <c r="M1309" s="283">
        <v>0</v>
      </c>
    </row>
    <row r="1310" spans="1:13" x14ac:dyDescent="0.25">
      <c r="A1310" s="284">
        <v>0</v>
      </c>
      <c r="B1310" s="314" t="s">
        <v>66</v>
      </c>
      <c r="C1310" s="43"/>
      <c r="D1310" s="194"/>
      <c r="E1310" s="194"/>
      <c r="F1310" s="194"/>
      <c r="G1310" s="194"/>
      <c r="H1310" s="43"/>
      <c r="I1310" s="32"/>
      <c r="J1310" s="32"/>
      <c r="K1310" s="32"/>
      <c r="L1310" s="32"/>
      <c r="M1310" s="283">
        <v>0</v>
      </c>
    </row>
    <row r="1311" spans="1:13" x14ac:dyDescent="0.25">
      <c r="A1311" s="284">
        <v>0</v>
      </c>
      <c r="B1311" s="314" t="s">
        <v>67</v>
      </c>
      <c r="C1311" s="43"/>
      <c r="D1311" s="194"/>
      <c r="E1311" s="194"/>
      <c r="F1311" s="194"/>
      <c r="G1311" s="194"/>
      <c r="H1311" s="43"/>
      <c r="I1311" s="32"/>
      <c r="J1311" s="32"/>
      <c r="K1311" s="32"/>
      <c r="L1311" s="32"/>
      <c r="M1311" s="283">
        <v>0</v>
      </c>
    </row>
    <row r="1312" spans="1:13" x14ac:dyDescent="0.25">
      <c r="A1312" s="284">
        <v>0</v>
      </c>
      <c r="B1312" s="314" t="s">
        <v>68</v>
      </c>
      <c r="C1312" s="43"/>
      <c r="D1312" s="194"/>
      <c r="E1312" s="194"/>
      <c r="F1312" s="194"/>
      <c r="G1312" s="194"/>
      <c r="H1312" s="43"/>
      <c r="I1312" s="32"/>
      <c r="J1312" s="32"/>
      <c r="K1312" s="32"/>
      <c r="L1312" s="32"/>
      <c r="M1312" s="283">
        <v>0</v>
      </c>
    </row>
    <row r="1313" spans="1:13" x14ac:dyDescent="0.25">
      <c r="A1313" s="284">
        <v>0</v>
      </c>
      <c r="B1313" s="315">
        <v>0.79166666666666663</v>
      </c>
      <c r="C1313" s="43"/>
      <c r="D1313" s="194"/>
      <c r="E1313" s="194"/>
      <c r="F1313" s="194"/>
      <c r="G1313" s="194"/>
      <c r="H1313" s="43"/>
      <c r="I1313" s="32"/>
      <c r="J1313" s="32"/>
      <c r="K1313" s="32"/>
      <c r="L1313" s="32"/>
      <c r="M1313" s="283">
        <v>0</v>
      </c>
    </row>
    <row r="1314" spans="1:13" x14ac:dyDescent="0.25">
      <c r="A1314" s="284">
        <v>0</v>
      </c>
      <c r="B1314" s="315">
        <v>0.83333333333333337</v>
      </c>
      <c r="C1314" s="43"/>
      <c r="D1314" s="194"/>
      <c r="E1314" s="194"/>
      <c r="F1314" s="194"/>
      <c r="G1314" s="194"/>
      <c r="H1314" s="43"/>
      <c r="I1314" s="32"/>
      <c r="J1314" s="32"/>
      <c r="K1314" s="32"/>
      <c r="L1314" s="32"/>
      <c r="M1314" s="283">
        <v>0</v>
      </c>
    </row>
    <row r="1315" spans="1:13" x14ac:dyDescent="0.25">
      <c r="A1315" s="284">
        <v>0</v>
      </c>
      <c r="B1315" s="315">
        <v>0.875</v>
      </c>
      <c r="C1315" s="43"/>
      <c r="D1315" s="194"/>
      <c r="E1315" s="194"/>
      <c r="F1315" s="194"/>
      <c r="G1315" s="194"/>
      <c r="H1315" s="43"/>
      <c r="I1315" s="194"/>
      <c r="J1315" s="194"/>
      <c r="K1315" s="194"/>
      <c r="L1315" s="194"/>
      <c r="M1315" s="283">
        <v>0</v>
      </c>
    </row>
    <row r="1316" spans="1:13" x14ac:dyDescent="0.25">
      <c r="A1316" s="284">
        <v>0</v>
      </c>
      <c r="B1316" s="315">
        <v>0.91666666666666663</v>
      </c>
      <c r="C1316" s="43"/>
      <c r="D1316" s="194"/>
      <c r="E1316" s="194"/>
      <c r="F1316" s="194"/>
      <c r="G1316" s="194"/>
      <c r="H1316" s="43"/>
      <c r="I1316" s="194"/>
      <c r="J1316" s="194"/>
      <c r="K1316" s="194"/>
      <c r="L1316" s="194"/>
      <c r="M1316" s="283">
        <v>0</v>
      </c>
    </row>
    <row r="1317" spans="1:13" x14ac:dyDescent="0.25">
      <c r="A1317" s="265">
        <f>SUM(A1301:A1316)</f>
        <v>0</v>
      </c>
      <c r="B1317" s="316">
        <v>0.94791666666666663</v>
      </c>
      <c r="C1317" s="43"/>
      <c r="D1317" s="194"/>
      <c r="E1317" s="194"/>
      <c r="F1317" s="194"/>
      <c r="G1317" s="194"/>
      <c r="H1317" s="43"/>
      <c r="I1317" s="194"/>
      <c r="J1317" s="194"/>
      <c r="K1317" s="194"/>
      <c r="L1317" s="194"/>
      <c r="M1317" s="8">
        <f>SUM(M1300:M1316)</f>
        <v>0</v>
      </c>
    </row>
    <row r="1318" spans="1:13" x14ac:dyDescent="0.25">
      <c r="A1318" s="281">
        <f>A1300+1</f>
        <v>44665</v>
      </c>
      <c r="B1318" s="317" t="s">
        <v>54</v>
      </c>
      <c r="C1318" s="43"/>
      <c r="H1318" s="43"/>
      <c r="M1318" s="283">
        <v>0</v>
      </c>
    </row>
    <row r="1319" spans="1:13" x14ac:dyDescent="0.25">
      <c r="A1319" s="284">
        <v>0</v>
      </c>
      <c r="B1319" s="314" t="s">
        <v>57</v>
      </c>
      <c r="C1319" s="43"/>
      <c r="H1319" s="43"/>
      <c r="M1319" s="283">
        <v>0</v>
      </c>
    </row>
    <row r="1320" spans="1:13" x14ac:dyDescent="0.25">
      <c r="A1320" s="284">
        <v>0</v>
      </c>
      <c r="B1320" s="314" t="s">
        <v>58</v>
      </c>
      <c r="C1320" s="43"/>
      <c r="H1320" s="43"/>
      <c r="M1320" s="283">
        <v>0</v>
      </c>
    </row>
    <row r="1321" spans="1:13" x14ac:dyDescent="0.25">
      <c r="A1321" s="284">
        <v>0</v>
      </c>
      <c r="B1321" s="314" t="s">
        <v>59</v>
      </c>
      <c r="C1321" s="43"/>
      <c r="H1321" s="43"/>
      <c r="M1321" s="283">
        <v>0</v>
      </c>
    </row>
    <row r="1322" spans="1:13" x14ac:dyDescent="0.25">
      <c r="A1322" s="284">
        <v>0</v>
      </c>
      <c r="B1322" s="314" t="s">
        <v>60</v>
      </c>
      <c r="C1322" s="43"/>
      <c r="H1322" s="43"/>
      <c r="M1322" s="283">
        <v>0</v>
      </c>
    </row>
    <row r="1323" spans="1:13" x14ac:dyDescent="0.25">
      <c r="A1323" s="284">
        <v>0</v>
      </c>
      <c r="B1323" s="314" t="s">
        <v>61</v>
      </c>
      <c r="C1323" s="43"/>
      <c r="H1323" s="43"/>
      <c r="M1323" s="283">
        <v>0</v>
      </c>
    </row>
    <row r="1324" spans="1:13" x14ac:dyDescent="0.25">
      <c r="A1324" s="284">
        <v>0</v>
      </c>
      <c r="B1324" s="314" t="s">
        <v>62</v>
      </c>
      <c r="C1324" s="43"/>
      <c r="H1324" s="43"/>
      <c r="M1324" s="283">
        <v>0</v>
      </c>
    </row>
    <row r="1325" spans="1:13" x14ac:dyDescent="0.25">
      <c r="A1325" s="284">
        <v>0</v>
      </c>
      <c r="B1325" s="314" t="s">
        <v>63</v>
      </c>
      <c r="C1325" s="43"/>
      <c r="D1325" s="193" t="s">
        <v>1647</v>
      </c>
      <c r="E1325" s="194"/>
      <c r="F1325" s="194"/>
      <c r="G1325" s="194"/>
      <c r="H1325" s="43"/>
      <c r="M1325" s="283">
        <v>0</v>
      </c>
    </row>
    <row r="1326" spans="1:13" x14ac:dyDescent="0.25">
      <c r="A1326" s="284">
        <v>0</v>
      </c>
      <c r="B1326" s="314" t="s">
        <v>64</v>
      </c>
      <c r="C1326" s="43"/>
      <c r="D1326" s="193" t="s">
        <v>1648</v>
      </c>
      <c r="E1326" s="195"/>
      <c r="F1326" s="194"/>
      <c r="G1326" s="194"/>
      <c r="H1326" s="43"/>
      <c r="M1326" s="283">
        <v>0</v>
      </c>
    </row>
    <row r="1327" spans="1:13" x14ac:dyDescent="0.25">
      <c r="A1327" s="284">
        <v>0</v>
      </c>
      <c r="B1327" s="314" t="s">
        <v>65</v>
      </c>
      <c r="C1327" s="43"/>
      <c r="D1327" s="194"/>
      <c r="E1327" s="194"/>
      <c r="F1327" s="194"/>
      <c r="G1327" s="194"/>
      <c r="H1327" s="43"/>
      <c r="I1327" s="32"/>
      <c r="J1327" s="32"/>
      <c r="K1327" s="32"/>
      <c r="L1327" s="32"/>
      <c r="M1327" s="283">
        <v>0</v>
      </c>
    </row>
    <row r="1328" spans="1:13" x14ac:dyDescent="0.25">
      <c r="A1328" s="284">
        <v>0</v>
      </c>
      <c r="B1328" s="314" t="s">
        <v>66</v>
      </c>
      <c r="C1328" s="43"/>
      <c r="D1328" s="194"/>
      <c r="E1328" s="194"/>
      <c r="F1328" s="194"/>
      <c r="G1328" s="194"/>
      <c r="H1328" s="43"/>
      <c r="I1328" s="32"/>
      <c r="J1328" s="32"/>
      <c r="K1328" s="32"/>
      <c r="L1328" s="32"/>
      <c r="M1328" s="283">
        <v>0</v>
      </c>
    </row>
    <row r="1329" spans="1:13" x14ac:dyDescent="0.25">
      <c r="A1329" s="284">
        <v>0</v>
      </c>
      <c r="B1329" s="314" t="s">
        <v>67</v>
      </c>
      <c r="C1329" s="43"/>
      <c r="D1329" s="194"/>
      <c r="E1329" s="194"/>
      <c r="F1329" s="194"/>
      <c r="G1329" s="194"/>
      <c r="H1329" s="43"/>
      <c r="I1329" s="32"/>
      <c r="J1329" s="32"/>
      <c r="K1329" s="32"/>
      <c r="L1329" s="32"/>
      <c r="M1329" s="283">
        <v>0</v>
      </c>
    </row>
    <row r="1330" spans="1:13" x14ac:dyDescent="0.25">
      <c r="A1330" s="284">
        <v>0</v>
      </c>
      <c r="B1330" s="314" t="s">
        <v>68</v>
      </c>
      <c r="C1330" s="43"/>
      <c r="D1330" s="194"/>
      <c r="E1330" s="194"/>
      <c r="F1330" s="194"/>
      <c r="G1330" s="194"/>
      <c r="H1330" s="43"/>
      <c r="I1330" s="32"/>
      <c r="J1330" s="32"/>
      <c r="K1330" s="32"/>
      <c r="L1330" s="32"/>
      <c r="M1330" s="283">
        <v>0</v>
      </c>
    </row>
    <row r="1331" spans="1:13" x14ac:dyDescent="0.25">
      <c r="A1331" s="284">
        <v>0</v>
      </c>
      <c r="B1331" s="315">
        <v>0.79166666666666663</v>
      </c>
      <c r="C1331" s="43"/>
      <c r="D1331" s="194"/>
      <c r="E1331" s="194"/>
      <c r="F1331" s="194"/>
      <c r="G1331" s="194"/>
      <c r="H1331" s="43"/>
      <c r="I1331" s="32"/>
      <c r="J1331" s="32"/>
      <c r="K1331" s="32"/>
      <c r="L1331" s="32"/>
      <c r="M1331" s="283">
        <v>0</v>
      </c>
    </row>
    <row r="1332" spans="1:13" x14ac:dyDescent="0.25">
      <c r="A1332" s="284">
        <v>0</v>
      </c>
      <c r="B1332" s="315">
        <v>0.83333333333333337</v>
      </c>
      <c r="C1332" s="43"/>
      <c r="D1332" s="194"/>
      <c r="E1332" s="194"/>
      <c r="F1332" s="194"/>
      <c r="G1332" s="194"/>
      <c r="H1332" s="43"/>
      <c r="I1332" s="32"/>
      <c r="J1332" s="32"/>
      <c r="K1332" s="32"/>
      <c r="L1332" s="32"/>
      <c r="M1332" s="283">
        <v>0</v>
      </c>
    </row>
    <row r="1333" spans="1:13" x14ac:dyDescent="0.25">
      <c r="A1333" s="284">
        <v>0</v>
      </c>
      <c r="B1333" s="315">
        <v>0.875</v>
      </c>
      <c r="C1333" s="43"/>
      <c r="D1333" s="194"/>
      <c r="E1333" s="194"/>
      <c r="F1333" s="194"/>
      <c r="G1333" s="194"/>
      <c r="H1333" s="43"/>
      <c r="I1333" s="194"/>
      <c r="J1333" s="194"/>
      <c r="K1333" s="194"/>
      <c r="L1333" s="194"/>
      <c r="M1333" s="283">
        <v>0</v>
      </c>
    </row>
    <row r="1334" spans="1:13" x14ac:dyDescent="0.25">
      <c r="A1334" s="284">
        <v>0</v>
      </c>
      <c r="B1334" s="315">
        <v>0.91666666666666663</v>
      </c>
      <c r="C1334" s="43"/>
      <c r="D1334" s="194"/>
      <c r="E1334" s="194"/>
      <c r="F1334" s="194"/>
      <c r="G1334" s="194"/>
      <c r="H1334" s="43"/>
      <c r="I1334" s="194"/>
      <c r="J1334" s="194"/>
      <c r="K1334" s="194"/>
      <c r="L1334" s="194"/>
      <c r="M1334" s="283">
        <v>0</v>
      </c>
    </row>
    <row r="1335" spans="1:13" x14ac:dyDescent="0.25">
      <c r="A1335" s="265">
        <f>SUM(A1319:A1334)</f>
        <v>0</v>
      </c>
      <c r="B1335" s="316">
        <v>0.94791666666666663</v>
      </c>
      <c r="C1335" s="43"/>
      <c r="D1335" s="194"/>
      <c r="E1335" s="194"/>
      <c r="F1335" s="194"/>
      <c r="G1335" s="194"/>
      <c r="H1335" s="43"/>
      <c r="I1335" s="194"/>
      <c r="J1335" s="194"/>
      <c r="K1335" s="194"/>
      <c r="L1335" s="194"/>
      <c r="M1335" s="8">
        <f>SUM(M1318:M1334)</f>
        <v>0</v>
      </c>
    </row>
    <row r="1336" spans="1:13" x14ac:dyDescent="0.25">
      <c r="A1336" s="281">
        <f>A1318+1</f>
        <v>44666</v>
      </c>
      <c r="B1336" s="317" t="s">
        <v>54</v>
      </c>
      <c r="C1336" s="43"/>
      <c r="H1336" s="43"/>
      <c r="M1336" s="283">
        <v>5000</v>
      </c>
    </row>
    <row r="1337" spans="1:13" x14ac:dyDescent="0.25">
      <c r="A1337" s="284">
        <v>0</v>
      </c>
      <c r="B1337" s="314" t="s">
        <v>57</v>
      </c>
      <c r="C1337" s="43"/>
      <c r="H1337" s="43"/>
      <c r="M1337" s="283">
        <v>0</v>
      </c>
    </row>
    <row r="1338" spans="1:13" x14ac:dyDescent="0.25">
      <c r="A1338" s="284">
        <v>0</v>
      </c>
      <c r="B1338" s="314" t="s">
        <v>58</v>
      </c>
      <c r="C1338" s="43"/>
      <c r="H1338" s="43"/>
      <c r="M1338" s="283">
        <v>0</v>
      </c>
    </row>
    <row r="1339" spans="1:13" x14ac:dyDescent="0.25">
      <c r="A1339" s="284">
        <v>0</v>
      </c>
      <c r="B1339" s="314" t="s">
        <v>59</v>
      </c>
      <c r="C1339" s="43"/>
      <c r="H1339" s="43"/>
      <c r="M1339" s="283">
        <v>0</v>
      </c>
    </row>
    <row r="1340" spans="1:13" x14ac:dyDescent="0.25">
      <c r="A1340" s="284">
        <v>0</v>
      </c>
      <c r="B1340" s="314" t="s">
        <v>60</v>
      </c>
      <c r="C1340" s="43"/>
      <c r="H1340" s="43"/>
      <c r="M1340" s="283">
        <v>0</v>
      </c>
    </row>
    <row r="1341" spans="1:13" x14ac:dyDescent="0.25">
      <c r="A1341" s="284">
        <v>0</v>
      </c>
      <c r="B1341" s="314" t="s">
        <v>61</v>
      </c>
      <c r="C1341" s="43"/>
      <c r="H1341" s="43"/>
      <c r="M1341" s="283">
        <v>0</v>
      </c>
    </row>
    <row r="1342" spans="1:13" x14ac:dyDescent="0.25">
      <c r="A1342" s="284">
        <v>0</v>
      </c>
      <c r="B1342" s="314" t="s">
        <v>62</v>
      </c>
      <c r="C1342" s="43"/>
      <c r="H1342" s="43"/>
      <c r="M1342" s="283">
        <v>0</v>
      </c>
    </row>
    <row r="1343" spans="1:13" x14ac:dyDescent="0.25">
      <c r="A1343" s="284">
        <v>0</v>
      </c>
      <c r="B1343" s="314" t="s">
        <v>63</v>
      </c>
      <c r="C1343" s="43"/>
      <c r="D1343" s="193" t="s">
        <v>1647</v>
      </c>
      <c r="E1343" s="194"/>
      <c r="F1343" s="194"/>
      <c r="G1343" s="194"/>
      <c r="H1343" s="43"/>
      <c r="M1343" s="283">
        <v>0</v>
      </c>
    </row>
    <row r="1344" spans="1:13" x14ac:dyDescent="0.25">
      <c r="A1344" s="284">
        <v>0</v>
      </c>
      <c r="B1344" s="314" t="s">
        <v>64</v>
      </c>
      <c r="C1344" s="43"/>
      <c r="D1344" s="193" t="s">
        <v>1648</v>
      </c>
      <c r="E1344" s="195"/>
      <c r="F1344" s="194"/>
      <c r="G1344" s="194"/>
      <c r="H1344" s="43"/>
      <c r="M1344" s="283">
        <v>0</v>
      </c>
    </row>
    <row r="1345" spans="1:13" x14ac:dyDescent="0.25">
      <c r="A1345" s="284">
        <v>0</v>
      </c>
      <c r="B1345" s="314" t="s">
        <v>65</v>
      </c>
      <c r="C1345" s="43"/>
      <c r="D1345" s="194"/>
      <c r="E1345" s="194"/>
      <c r="F1345" s="194"/>
      <c r="G1345" s="194"/>
      <c r="H1345" s="43"/>
      <c r="I1345" s="32"/>
      <c r="J1345" s="32"/>
      <c r="K1345" s="32"/>
      <c r="L1345" s="32"/>
      <c r="M1345" s="283">
        <v>0</v>
      </c>
    </row>
    <row r="1346" spans="1:13" x14ac:dyDescent="0.25">
      <c r="A1346" s="284">
        <v>0</v>
      </c>
      <c r="B1346" s="314" t="s">
        <v>66</v>
      </c>
      <c r="C1346" s="43"/>
      <c r="D1346" s="194"/>
      <c r="E1346" s="194"/>
      <c r="F1346" s="194"/>
      <c r="G1346" s="194"/>
      <c r="H1346" s="43"/>
      <c r="I1346" s="32"/>
      <c r="J1346" s="32"/>
      <c r="K1346" s="32"/>
      <c r="L1346" s="32"/>
      <c r="M1346" s="283">
        <v>0</v>
      </c>
    </row>
    <row r="1347" spans="1:13" x14ac:dyDescent="0.25">
      <c r="A1347" s="284">
        <v>0</v>
      </c>
      <c r="B1347" s="314" t="s">
        <v>67</v>
      </c>
      <c r="C1347" s="43"/>
      <c r="D1347" s="194"/>
      <c r="E1347" s="194"/>
      <c r="F1347" s="194"/>
      <c r="G1347" s="194"/>
      <c r="H1347" s="43"/>
      <c r="I1347" s="32"/>
      <c r="J1347" s="32"/>
      <c r="K1347" s="32"/>
      <c r="L1347" s="32"/>
      <c r="M1347" s="283">
        <v>0</v>
      </c>
    </row>
    <row r="1348" spans="1:13" x14ac:dyDescent="0.25">
      <c r="A1348" s="284">
        <v>0</v>
      </c>
      <c r="B1348" s="314" t="s">
        <v>68</v>
      </c>
      <c r="C1348" s="43"/>
      <c r="D1348" s="194"/>
      <c r="E1348" s="194"/>
      <c r="F1348" s="194"/>
      <c r="G1348" s="194"/>
      <c r="H1348" s="43"/>
      <c r="I1348" s="32"/>
      <c r="J1348" s="32"/>
      <c r="K1348" s="32"/>
      <c r="L1348" s="32"/>
      <c r="M1348" s="283">
        <v>0</v>
      </c>
    </row>
    <row r="1349" spans="1:13" x14ac:dyDescent="0.25">
      <c r="A1349" s="284">
        <v>0</v>
      </c>
      <c r="B1349" s="315">
        <v>0.79166666666666663</v>
      </c>
      <c r="C1349" s="43"/>
      <c r="D1349" s="194"/>
      <c r="E1349" s="194"/>
      <c r="F1349" s="194"/>
      <c r="G1349" s="194"/>
      <c r="H1349" s="43"/>
      <c r="I1349" s="32"/>
      <c r="J1349" s="32"/>
      <c r="K1349" s="32"/>
      <c r="L1349" s="32"/>
      <c r="M1349" s="283">
        <v>0</v>
      </c>
    </row>
    <row r="1350" spans="1:13" x14ac:dyDescent="0.25">
      <c r="A1350" s="284">
        <v>0</v>
      </c>
      <c r="B1350" s="315">
        <v>0.83333333333333337</v>
      </c>
      <c r="C1350" s="43"/>
      <c r="D1350" s="194"/>
      <c r="E1350" s="194"/>
      <c r="F1350" s="194"/>
      <c r="G1350" s="194"/>
      <c r="H1350" s="43"/>
      <c r="I1350" s="32"/>
      <c r="J1350" s="32"/>
      <c r="K1350" s="32"/>
      <c r="L1350" s="32"/>
      <c r="M1350" s="283">
        <v>0</v>
      </c>
    </row>
    <row r="1351" spans="1:13" x14ac:dyDescent="0.25">
      <c r="A1351" s="284">
        <v>0</v>
      </c>
      <c r="B1351" s="315">
        <v>0.875</v>
      </c>
      <c r="C1351" s="43"/>
      <c r="D1351" s="194"/>
      <c r="E1351" s="194"/>
      <c r="F1351" s="194"/>
      <c r="G1351" s="194"/>
      <c r="H1351" s="43"/>
      <c r="I1351" s="194"/>
      <c r="J1351" s="194"/>
      <c r="K1351" s="194"/>
      <c r="L1351" s="194"/>
      <c r="M1351" s="283">
        <v>0</v>
      </c>
    </row>
    <row r="1352" spans="1:13" x14ac:dyDescent="0.25">
      <c r="A1352" s="284">
        <v>0</v>
      </c>
      <c r="B1352" s="315">
        <v>0.91666666666666663</v>
      </c>
      <c r="C1352" s="43"/>
      <c r="D1352" s="194"/>
      <c r="E1352" s="194"/>
      <c r="F1352" s="194"/>
      <c r="G1352" s="194"/>
      <c r="H1352" s="43"/>
      <c r="I1352" s="194"/>
      <c r="J1352" s="194"/>
      <c r="K1352" s="194"/>
      <c r="L1352" s="194"/>
      <c r="M1352" s="283">
        <v>0</v>
      </c>
    </row>
    <row r="1353" spans="1:13" x14ac:dyDescent="0.25">
      <c r="A1353" s="265">
        <f>SUM(A1337:A1352)</f>
        <v>0</v>
      </c>
      <c r="B1353" s="316">
        <v>0.94791666666666663</v>
      </c>
      <c r="C1353" s="43"/>
      <c r="D1353" s="194"/>
      <c r="E1353" s="194"/>
      <c r="F1353" s="194"/>
      <c r="G1353" s="194"/>
      <c r="H1353" s="43"/>
      <c r="I1353" s="194"/>
      <c r="J1353" s="194"/>
      <c r="K1353" s="194"/>
      <c r="L1353" s="194"/>
      <c r="M1353" s="8">
        <f>SUM(M1336:M1352)</f>
        <v>5000</v>
      </c>
    </row>
  </sheetData>
  <mergeCells count="1">
    <mergeCell ref="D3:G3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678"/>
  <sheetViews>
    <sheetView workbookViewId="0">
      <pane ySplit="3" topLeftCell="A4" activePane="bottomLeft" state="frozen"/>
      <selection pane="bottomLeft" activeCell="D4" sqref="D4"/>
    </sheetView>
  </sheetViews>
  <sheetFormatPr defaultColWidth="12.5703125" defaultRowHeight="15.75" customHeight="1" x14ac:dyDescent="0.2"/>
  <cols>
    <col min="1" max="2" width="12.5703125" style="234"/>
    <col min="3" max="3" width="14.7109375" style="234" customWidth="1"/>
    <col min="4" max="12" width="12.5703125" style="234"/>
    <col min="13" max="13" width="4.5703125" style="234" customWidth="1"/>
    <col min="14" max="14" width="8.42578125" style="234" customWidth="1"/>
    <col min="15" max="16384" width="12.5703125" style="234"/>
  </cols>
  <sheetData>
    <row r="1" spans="1:27" x14ac:dyDescent="0.25">
      <c r="A1" s="86" t="s">
        <v>28</v>
      </c>
      <c r="B1" s="350" t="s">
        <v>33</v>
      </c>
      <c r="C1" s="262" t="s">
        <v>6</v>
      </c>
      <c r="D1" s="268" t="s">
        <v>2</v>
      </c>
      <c r="E1" s="268" t="s">
        <v>7</v>
      </c>
      <c r="F1" s="268" t="s">
        <v>4</v>
      </c>
      <c r="G1" s="268" t="s">
        <v>5</v>
      </c>
      <c r="H1" s="262" t="s">
        <v>6</v>
      </c>
      <c r="I1" s="268" t="s">
        <v>2</v>
      </c>
      <c r="J1" s="268" t="s">
        <v>7</v>
      </c>
      <c r="K1" s="268" t="s">
        <v>4</v>
      </c>
      <c r="L1" s="351" t="s">
        <v>5</v>
      </c>
      <c r="M1" s="352"/>
      <c r="N1" s="353" t="s">
        <v>1833</v>
      </c>
      <c r="O1" s="262" t="s">
        <v>6</v>
      </c>
      <c r="P1" s="354" t="s">
        <v>2</v>
      </c>
      <c r="Q1" s="354" t="s">
        <v>7</v>
      </c>
      <c r="R1" s="354" t="s">
        <v>4</v>
      </c>
      <c r="S1" s="354" t="s">
        <v>5</v>
      </c>
      <c r="T1" s="355" t="s">
        <v>33</v>
      </c>
      <c r="U1" s="355" t="s">
        <v>1834</v>
      </c>
      <c r="V1" s="355"/>
      <c r="W1" s="356" t="s">
        <v>4</v>
      </c>
      <c r="X1" s="356" t="s">
        <v>5</v>
      </c>
      <c r="Y1" s="352"/>
      <c r="Z1" s="352"/>
      <c r="AA1" s="352"/>
    </row>
    <row r="2" spans="1:27" ht="31.5" x14ac:dyDescent="0.25">
      <c r="A2" s="262" t="s">
        <v>1835</v>
      </c>
      <c r="B2" s="350"/>
      <c r="C2" s="262" t="s">
        <v>1836</v>
      </c>
      <c r="D2" s="355" t="s">
        <v>33</v>
      </c>
      <c r="E2" s="355" t="s">
        <v>1834</v>
      </c>
      <c r="F2" s="222" t="s">
        <v>1837</v>
      </c>
      <c r="G2" s="268" t="s">
        <v>1838</v>
      </c>
      <c r="H2" s="262"/>
      <c r="I2" s="268"/>
      <c r="J2" s="268"/>
      <c r="K2" s="268"/>
      <c r="L2" s="351"/>
      <c r="M2" s="357"/>
      <c r="N2" s="353" t="s">
        <v>1839</v>
      </c>
      <c r="O2" s="262"/>
      <c r="P2" s="354"/>
      <c r="Q2" s="354"/>
      <c r="R2" s="354"/>
      <c r="S2" s="354" t="s">
        <v>1840</v>
      </c>
      <c r="T2" s="262"/>
      <c r="U2" s="356"/>
      <c r="V2" s="356"/>
      <c r="W2" s="356"/>
      <c r="X2" s="356"/>
      <c r="Y2" s="357"/>
      <c r="Z2" s="357"/>
      <c r="AA2" s="357"/>
    </row>
    <row r="3" spans="1:27" ht="78.75" x14ac:dyDescent="0.25">
      <c r="A3" s="259" t="s">
        <v>1841</v>
      </c>
      <c r="B3" s="350"/>
      <c r="C3" s="358" t="s">
        <v>1842</v>
      </c>
      <c r="D3" s="358" t="s">
        <v>1843</v>
      </c>
      <c r="E3" s="248" t="s">
        <v>1844</v>
      </c>
      <c r="F3" s="249"/>
      <c r="G3" s="259" t="s">
        <v>1845</v>
      </c>
      <c r="H3" s="262"/>
      <c r="I3" s="259" t="s">
        <v>1846</v>
      </c>
      <c r="J3" s="248" t="s">
        <v>1847</v>
      </c>
      <c r="K3" s="249"/>
      <c r="L3" s="259" t="s">
        <v>1845</v>
      </c>
      <c r="M3" s="357"/>
      <c r="N3" s="32"/>
      <c r="O3" s="259" t="s">
        <v>1848</v>
      </c>
      <c r="P3" s="359" t="s">
        <v>2886</v>
      </c>
      <c r="Q3" s="249"/>
      <c r="R3" s="249"/>
      <c r="S3" s="360" t="s">
        <v>1849</v>
      </c>
      <c r="T3" s="248" t="s">
        <v>1850</v>
      </c>
      <c r="U3" s="249"/>
      <c r="V3" s="249"/>
      <c r="W3" s="249"/>
      <c r="X3" s="249"/>
      <c r="Y3" s="43"/>
      <c r="Z3" s="43"/>
      <c r="AA3" s="43"/>
    </row>
    <row r="4" spans="1:27" ht="78.75" x14ac:dyDescent="0.25">
      <c r="A4" s="347">
        <v>44564</v>
      </c>
      <c r="B4" s="361" t="s">
        <v>1851</v>
      </c>
      <c r="C4" s="43"/>
      <c r="D4" s="362" t="s">
        <v>1852</v>
      </c>
      <c r="E4" s="363"/>
      <c r="F4" s="363"/>
      <c r="G4" s="363"/>
      <c r="H4" s="55" t="s">
        <v>1853</v>
      </c>
      <c r="I4" s="57">
        <v>60</v>
      </c>
      <c r="J4" s="57" t="s">
        <v>1854</v>
      </c>
      <c r="K4" s="57" t="s">
        <v>1855</v>
      </c>
      <c r="L4" s="125">
        <v>44199</v>
      </c>
      <c r="M4" s="357"/>
      <c r="N4" s="364">
        <v>1054</v>
      </c>
    </row>
    <row r="5" spans="1:27" x14ac:dyDescent="0.25">
      <c r="A5" s="348">
        <v>0</v>
      </c>
      <c r="B5" s="365" t="s">
        <v>57</v>
      </c>
      <c r="C5" s="43"/>
      <c r="D5" s="362" t="s">
        <v>1856</v>
      </c>
      <c r="E5" s="363"/>
      <c r="F5" s="363"/>
      <c r="G5" s="363"/>
      <c r="H5" s="55" t="s">
        <v>1857</v>
      </c>
      <c r="I5" s="57"/>
      <c r="J5" s="57"/>
      <c r="K5" s="57"/>
      <c r="L5" s="57"/>
      <c r="M5" s="357"/>
      <c r="N5" s="364">
        <v>0</v>
      </c>
    </row>
    <row r="6" spans="1:27" x14ac:dyDescent="0.25">
      <c r="A6" s="348">
        <v>0</v>
      </c>
      <c r="B6" s="365" t="s">
        <v>58</v>
      </c>
      <c r="C6" s="43"/>
      <c r="D6" s="363"/>
      <c r="E6" s="363"/>
      <c r="F6" s="363"/>
      <c r="G6" s="363"/>
      <c r="H6" s="43"/>
      <c r="I6" s="65"/>
      <c r="J6" s="65"/>
      <c r="K6" s="65"/>
      <c r="L6" s="65"/>
      <c r="M6" s="357"/>
      <c r="N6" s="364">
        <v>0</v>
      </c>
    </row>
    <row r="7" spans="1:27" ht="63" x14ac:dyDescent="0.25">
      <c r="A7" s="348">
        <v>0</v>
      </c>
      <c r="B7" s="365" t="s">
        <v>59</v>
      </c>
      <c r="C7" s="43"/>
      <c r="D7" s="363"/>
      <c r="E7" s="363"/>
      <c r="F7" s="363"/>
      <c r="G7" s="363"/>
      <c r="H7" s="55" t="s">
        <v>1858</v>
      </c>
      <c r="I7" s="56">
        <v>30</v>
      </c>
      <c r="J7" s="57" t="s">
        <v>1859</v>
      </c>
      <c r="K7" s="57" t="s">
        <v>1860</v>
      </c>
      <c r="L7" s="57" t="s">
        <v>1861</v>
      </c>
      <c r="M7" s="357"/>
      <c r="N7" s="364">
        <v>1656</v>
      </c>
    </row>
    <row r="8" spans="1:27" ht="31.5" x14ac:dyDescent="0.25">
      <c r="A8" s="348">
        <v>0</v>
      </c>
      <c r="B8" s="365" t="s">
        <v>60</v>
      </c>
      <c r="C8" s="43"/>
      <c r="D8" s="363"/>
      <c r="E8" s="363"/>
      <c r="F8" s="363"/>
      <c r="G8" s="363"/>
      <c r="H8" s="55" t="s">
        <v>1862</v>
      </c>
      <c r="I8" s="65"/>
      <c r="J8" s="65"/>
      <c r="K8" s="65"/>
      <c r="L8" s="57"/>
      <c r="M8" s="357"/>
      <c r="N8" s="364">
        <v>0</v>
      </c>
    </row>
    <row r="9" spans="1:27" x14ac:dyDescent="0.25">
      <c r="A9" s="348">
        <v>0</v>
      </c>
      <c r="B9" s="365" t="s">
        <v>61</v>
      </c>
      <c r="C9" s="43"/>
      <c r="D9" s="363"/>
      <c r="E9" s="363"/>
      <c r="F9" s="363"/>
      <c r="G9" s="363"/>
      <c r="H9" s="43"/>
      <c r="I9" s="65"/>
      <c r="J9" s="65"/>
      <c r="K9" s="65"/>
      <c r="L9" s="65"/>
      <c r="M9" s="357"/>
      <c r="N9" s="364">
        <v>0</v>
      </c>
    </row>
    <row r="10" spans="1:27" x14ac:dyDescent="0.25">
      <c r="A10" s="348">
        <v>0</v>
      </c>
      <c r="B10" s="365" t="s">
        <v>62</v>
      </c>
      <c r="C10" s="43"/>
      <c r="D10" s="363"/>
      <c r="E10" s="363"/>
      <c r="F10" s="363"/>
      <c r="G10" s="363"/>
      <c r="H10" s="43"/>
      <c r="I10" s="65"/>
      <c r="J10" s="65"/>
      <c r="K10" s="65"/>
      <c r="L10" s="65"/>
      <c r="M10" s="357"/>
      <c r="N10" s="364">
        <v>0</v>
      </c>
    </row>
    <row r="11" spans="1:27" x14ac:dyDescent="0.25">
      <c r="A11" s="348">
        <v>0</v>
      </c>
      <c r="B11" s="365" t="s">
        <v>63</v>
      </c>
      <c r="C11" s="43"/>
      <c r="D11" s="363"/>
      <c r="E11" s="363"/>
      <c r="F11" s="363"/>
      <c r="G11" s="363"/>
      <c r="H11" s="43"/>
      <c r="I11" s="65"/>
      <c r="J11" s="65"/>
      <c r="K11" s="65"/>
      <c r="L11" s="65"/>
      <c r="M11" s="357"/>
      <c r="N11" s="364">
        <v>0</v>
      </c>
    </row>
    <row r="12" spans="1:27" x14ac:dyDescent="0.25">
      <c r="A12" s="349">
        <f>SUM(A5:A11)</f>
        <v>0</v>
      </c>
      <c r="B12" s="365" t="s">
        <v>64</v>
      </c>
      <c r="C12" s="43"/>
      <c r="D12" s="363"/>
      <c r="E12" s="363"/>
      <c r="F12" s="363"/>
      <c r="G12" s="363"/>
      <c r="H12" s="43"/>
      <c r="I12" s="65"/>
      <c r="J12" s="65"/>
      <c r="K12" s="65"/>
      <c r="L12" s="65"/>
      <c r="M12" s="357"/>
      <c r="N12" s="366">
        <f>SUM(N4:N11)</f>
        <v>2710</v>
      </c>
    </row>
    <row r="13" spans="1:27" ht="47.25" x14ac:dyDescent="0.25">
      <c r="A13" s="347">
        <f>A4+1</f>
        <v>44565</v>
      </c>
      <c r="B13" s="361" t="s">
        <v>1851</v>
      </c>
      <c r="C13" s="43"/>
      <c r="D13" s="362" t="s">
        <v>1863</v>
      </c>
      <c r="E13" s="363"/>
      <c r="F13" s="363"/>
      <c r="G13" s="363"/>
      <c r="H13" s="71" t="s">
        <v>1864</v>
      </c>
      <c r="I13" s="56">
        <v>48</v>
      </c>
      <c r="J13" s="57" t="s">
        <v>91</v>
      </c>
      <c r="K13" s="57" t="s">
        <v>1865</v>
      </c>
      <c r="L13" s="58">
        <v>44203</v>
      </c>
      <c r="M13" s="357"/>
      <c r="N13" s="364">
        <v>4226</v>
      </c>
    </row>
    <row r="14" spans="1:27" ht="31.5" x14ac:dyDescent="0.25">
      <c r="A14" s="348">
        <v>0</v>
      </c>
      <c r="B14" s="365" t="s">
        <v>57</v>
      </c>
      <c r="C14" s="43"/>
      <c r="D14" s="362" t="s">
        <v>1856</v>
      </c>
      <c r="E14" s="363"/>
      <c r="F14" s="363"/>
      <c r="G14" s="363"/>
      <c r="H14" s="71" t="s">
        <v>1866</v>
      </c>
      <c r="I14" s="65"/>
      <c r="J14" s="65"/>
      <c r="K14" s="65"/>
      <c r="L14" s="65"/>
      <c r="M14" s="357"/>
      <c r="N14" s="364">
        <v>0</v>
      </c>
    </row>
    <row r="15" spans="1:27" x14ac:dyDescent="0.25">
      <c r="A15" s="348">
        <v>0</v>
      </c>
      <c r="B15" s="365" t="s">
        <v>58</v>
      </c>
      <c r="C15" s="43"/>
      <c r="D15" s="363"/>
      <c r="E15" s="363"/>
      <c r="F15" s="363"/>
      <c r="G15" s="363"/>
      <c r="H15" s="43"/>
      <c r="I15" s="65"/>
      <c r="J15" s="65"/>
      <c r="K15" s="65"/>
      <c r="L15" s="65"/>
      <c r="M15" s="357"/>
      <c r="N15" s="364">
        <v>0</v>
      </c>
    </row>
    <row r="16" spans="1:27" x14ac:dyDescent="0.25">
      <c r="A16" s="348">
        <v>0</v>
      </c>
      <c r="B16" s="365" t="s">
        <v>59</v>
      </c>
      <c r="C16" s="43"/>
      <c r="D16" s="363"/>
      <c r="E16" s="363"/>
      <c r="F16" s="363"/>
      <c r="G16" s="363"/>
      <c r="H16" s="43"/>
      <c r="I16" s="65"/>
      <c r="J16" s="65"/>
      <c r="K16" s="65"/>
      <c r="L16" s="65"/>
      <c r="M16" s="357"/>
      <c r="N16" s="364">
        <v>0</v>
      </c>
    </row>
    <row r="17" spans="1:14" x14ac:dyDescent="0.25">
      <c r="A17" s="348">
        <v>0</v>
      </c>
      <c r="B17" s="365" t="s">
        <v>60</v>
      </c>
      <c r="C17" s="43"/>
      <c r="D17" s="363"/>
      <c r="E17" s="363"/>
      <c r="F17" s="363"/>
      <c r="G17" s="363"/>
      <c r="H17" s="43"/>
      <c r="I17" s="65"/>
      <c r="J17" s="65"/>
      <c r="K17" s="65"/>
      <c r="L17" s="65"/>
      <c r="M17" s="357"/>
      <c r="N17" s="364">
        <v>0</v>
      </c>
    </row>
    <row r="18" spans="1:14" x14ac:dyDescent="0.25">
      <c r="A18" s="348">
        <v>0</v>
      </c>
      <c r="B18" s="365" t="s">
        <v>61</v>
      </c>
      <c r="C18" s="43"/>
      <c r="D18" s="363"/>
      <c r="E18" s="363"/>
      <c r="F18" s="363"/>
      <c r="G18" s="363"/>
      <c r="H18" s="43"/>
      <c r="I18" s="65"/>
      <c r="J18" s="65"/>
      <c r="K18" s="65"/>
      <c r="L18" s="65"/>
      <c r="M18" s="357"/>
      <c r="N18" s="364">
        <v>0</v>
      </c>
    </row>
    <row r="19" spans="1:14" ht="47.25" x14ac:dyDescent="0.25">
      <c r="A19" s="348">
        <v>0</v>
      </c>
      <c r="B19" s="365" t="s">
        <v>62</v>
      </c>
      <c r="C19" s="43"/>
      <c r="D19" s="363"/>
      <c r="E19" s="363"/>
      <c r="F19" s="363"/>
      <c r="G19" s="363"/>
      <c r="H19" s="55" t="s">
        <v>1867</v>
      </c>
      <c r="I19" s="57">
        <v>36</v>
      </c>
      <c r="J19" s="57" t="s">
        <v>1868</v>
      </c>
      <c r="K19" s="57" t="s">
        <v>1869</v>
      </c>
      <c r="L19" s="125">
        <v>44565</v>
      </c>
      <c r="M19" s="357"/>
      <c r="N19" s="364">
        <v>0</v>
      </c>
    </row>
    <row r="20" spans="1:14" x14ac:dyDescent="0.25">
      <c r="A20" s="348">
        <v>0</v>
      </c>
      <c r="B20" s="365" t="s">
        <v>63</v>
      </c>
      <c r="C20" s="43"/>
      <c r="D20" s="363"/>
      <c r="E20" s="363"/>
      <c r="F20" s="363"/>
      <c r="G20" s="363"/>
      <c r="H20" s="55" t="s">
        <v>1870</v>
      </c>
      <c r="I20" s="57"/>
      <c r="J20" s="57"/>
      <c r="K20" s="57"/>
      <c r="L20" s="57"/>
      <c r="M20" s="357"/>
      <c r="N20" s="364">
        <v>0</v>
      </c>
    </row>
    <row r="21" spans="1:14" x14ac:dyDescent="0.25">
      <c r="A21" s="349">
        <f>SUM(A14:A20)</f>
        <v>0</v>
      </c>
      <c r="B21" s="365" t="s">
        <v>64</v>
      </c>
      <c r="C21" s="43"/>
      <c r="D21" s="363"/>
      <c r="E21" s="363"/>
      <c r="F21" s="363"/>
      <c r="G21" s="363"/>
      <c r="H21" s="43"/>
      <c r="I21" s="65"/>
      <c r="J21" s="65"/>
      <c r="K21" s="65"/>
      <c r="L21" s="65"/>
      <c r="M21" s="357"/>
      <c r="N21" s="366">
        <f>SUM(N13:N20)</f>
        <v>4226</v>
      </c>
    </row>
    <row r="22" spans="1:14" ht="94.5" x14ac:dyDescent="0.25">
      <c r="A22" s="347">
        <f>A13+1</f>
        <v>44566</v>
      </c>
      <c r="B22" s="361" t="s">
        <v>1851</v>
      </c>
      <c r="C22" s="43"/>
      <c r="D22" s="362" t="s">
        <v>1863</v>
      </c>
      <c r="E22" s="363"/>
      <c r="F22" s="363"/>
      <c r="G22" s="363"/>
      <c r="H22" s="55" t="s">
        <v>1871</v>
      </c>
      <c r="I22" s="57">
        <v>60</v>
      </c>
      <c r="J22" s="57" t="s">
        <v>25</v>
      </c>
      <c r="K22" s="57" t="s">
        <v>1872</v>
      </c>
      <c r="L22" s="125">
        <v>44565</v>
      </c>
      <c r="M22" s="357"/>
      <c r="N22" s="364">
        <v>1631</v>
      </c>
    </row>
    <row r="23" spans="1:14" x14ac:dyDescent="0.25">
      <c r="A23" s="348">
        <v>2350</v>
      </c>
      <c r="B23" s="365" t="s">
        <v>57</v>
      </c>
      <c r="C23" s="43"/>
      <c r="D23" s="362" t="s">
        <v>1856</v>
      </c>
      <c r="E23" s="363"/>
      <c r="F23" s="363"/>
      <c r="G23" s="363"/>
      <c r="H23" s="55" t="s">
        <v>1873</v>
      </c>
      <c r="I23" s="65"/>
      <c r="J23" s="65"/>
      <c r="K23" s="65"/>
      <c r="L23" s="65"/>
      <c r="M23" s="357"/>
      <c r="N23" s="364">
        <v>0</v>
      </c>
    </row>
    <row r="24" spans="1:14" x14ac:dyDescent="0.25">
      <c r="A24" s="348">
        <v>0</v>
      </c>
      <c r="B24" s="365" t="s">
        <v>58</v>
      </c>
      <c r="C24" s="43"/>
      <c r="D24" s="363"/>
      <c r="E24" s="363"/>
      <c r="F24" s="363"/>
      <c r="G24" s="363"/>
      <c r="H24" s="43"/>
      <c r="I24" s="65"/>
      <c r="J24" s="65"/>
      <c r="K24" s="65"/>
      <c r="L24" s="65"/>
      <c r="M24" s="357"/>
      <c r="N24" s="364">
        <v>0</v>
      </c>
    </row>
    <row r="25" spans="1:14" x14ac:dyDescent="0.25">
      <c r="A25" s="348">
        <v>0</v>
      </c>
      <c r="B25" s="365" t="s">
        <v>59</v>
      </c>
      <c r="C25" s="43"/>
      <c r="D25" s="363"/>
      <c r="E25" s="363"/>
      <c r="F25" s="363"/>
      <c r="G25" s="363"/>
      <c r="H25" s="43"/>
      <c r="I25" s="65"/>
      <c r="J25" s="65"/>
      <c r="K25" s="65"/>
      <c r="L25" s="65"/>
      <c r="M25" s="357"/>
      <c r="N25" s="364">
        <v>0</v>
      </c>
    </row>
    <row r="26" spans="1:14" ht="63" x14ac:dyDescent="0.25">
      <c r="A26" s="348">
        <v>0</v>
      </c>
      <c r="B26" s="365" t="s">
        <v>60</v>
      </c>
      <c r="C26" s="43"/>
      <c r="D26" s="363"/>
      <c r="E26" s="363"/>
      <c r="F26" s="363"/>
      <c r="G26" s="363"/>
      <c r="H26" s="55" t="s">
        <v>1874</v>
      </c>
      <c r="I26" s="57">
        <v>48</v>
      </c>
      <c r="J26" s="57" t="s">
        <v>1875</v>
      </c>
      <c r="K26" s="57" t="s">
        <v>1876</v>
      </c>
      <c r="L26" s="125">
        <v>44568</v>
      </c>
      <c r="M26" s="357"/>
      <c r="N26" s="364">
        <v>1267</v>
      </c>
    </row>
    <row r="27" spans="1:14" x14ac:dyDescent="0.25">
      <c r="A27" s="348">
        <v>0</v>
      </c>
      <c r="B27" s="365" t="s">
        <v>61</v>
      </c>
      <c r="C27" s="43"/>
      <c r="D27" s="363"/>
      <c r="E27" s="363"/>
      <c r="F27" s="363"/>
      <c r="G27" s="363"/>
      <c r="H27" s="55" t="s">
        <v>1877</v>
      </c>
      <c r="I27" s="65"/>
      <c r="J27" s="65"/>
      <c r="K27" s="65"/>
      <c r="L27" s="65"/>
      <c r="M27" s="357"/>
      <c r="N27" s="364">
        <v>0</v>
      </c>
    </row>
    <row r="28" spans="1:14" x14ac:dyDescent="0.25">
      <c r="A28" s="348">
        <v>0</v>
      </c>
      <c r="B28" s="365" t="s">
        <v>62</v>
      </c>
      <c r="C28" s="43"/>
      <c r="D28" s="363"/>
      <c r="E28" s="363"/>
      <c r="F28" s="363"/>
      <c r="G28" s="363"/>
      <c r="H28" s="43"/>
      <c r="I28" s="65"/>
      <c r="J28" s="65"/>
      <c r="K28" s="65"/>
      <c r="L28" s="65"/>
      <c r="M28" s="357"/>
      <c r="N28" s="364">
        <v>0</v>
      </c>
    </row>
    <row r="29" spans="1:14" x14ac:dyDescent="0.25">
      <c r="A29" s="348">
        <v>0</v>
      </c>
      <c r="B29" s="365" t="s">
        <v>63</v>
      </c>
      <c r="C29" s="43"/>
      <c r="D29" s="363"/>
      <c r="E29" s="363"/>
      <c r="F29" s="363"/>
      <c r="G29" s="363"/>
      <c r="H29" s="43"/>
      <c r="I29" s="65"/>
      <c r="J29" s="65"/>
      <c r="K29" s="65"/>
      <c r="L29" s="65"/>
      <c r="M29" s="357"/>
      <c r="N29" s="364">
        <v>0</v>
      </c>
    </row>
    <row r="30" spans="1:14" x14ac:dyDescent="0.25">
      <c r="A30" s="349">
        <f>SUM(A23:A29)</f>
        <v>2350</v>
      </c>
      <c r="B30" s="365" t="s">
        <v>64</v>
      </c>
      <c r="C30" s="43"/>
      <c r="D30" s="363"/>
      <c r="E30" s="363"/>
      <c r="F30" s="363"/>
      <c r="G30" s="363"/>
      <c r="H30" s="43"/>
      <c r="I30" s="65"/>
      <c r="J30" s="65"/>
      <c r="K30" s="65"/>
      <c r="L30" s="65"/>
      <c r="M30" s="357"/>
      <c r="N30" s="366">
        <f>SUM(N22:N29)</f>
        <v>2898</v>
      </c>
    </row>
    <row r="31" spans="1:14" ht="94.5" x14ac:dyDescent="0.25">
      <c r="A31" s="347">
        <f>A22+1</f>
        <v>44567</v>
      </c>
      <c r="B31" s="361" t="s">
        <v>1851</v>
      </c>
      <c r="C31" s="43"/>
      <c r="D31" s="362" t="s">
        <v>1863</v>
      </c>
      <c r="E31" s="363"/>
      <c r="F31" s="363"/>
      <c r="G31" s="363"/>
      <c r="H31" s="176" t="s">
        <v>1878</v>
      </c>
      <c r="I31" s="56">
        <v>34</v>
      </c>
      <c r="J31" s="57" t="s">
        <v>1879</v>
      </c>
      <c r="K31" s="57" t="s">
        <v>1880</v>
      </c>
      <c r="L31" s="125">
        <v>44202</v>
      </c>
      <c r="M31" s="357"/>
      <c r="N31" s="364">
        <v>0</v>
      </c>
    </row>
    <row r="32" spans="1:14" ht="47.25" x14ac:dyDescent="0.25">
      <c r="A32" s="348">
        <v>0</v>
      </c>
      <c r="B32" s="365" t="s">
        <v>57</v>
      </c>
      <c r="C32" s="43"/>
      <c r="D32" s="362" t="s">
        <v>1856</v>
      </c>
      <c r="E32" s="363"/>
      <c r="F32" s="363"/>
      <c r="G32" s="363"/>
      <c r="H32" s="43"/>
      <c r="I32" s="65"/>
      <c r="J32" s="65"/>
      <c r="K32" s="65"/>
      <c r="L32" s="57" t="s">
        <v>1881</v>
      </c>
      <c r="M32" s="357"/>
      <c r="N32" s="364">
        <v>0</v>
      </c>
    </row>
    <row r="33" spans="1:14" x14ac:dyDescent="0.25">
      <c r="A33" s="348">
        <v>0</v>
      </c>
      <c r="B33" s="365" t="s">
        <v>58</v>
      </c>
      <c r="C33" s="43"/>
      <c r="D33" s="363"/>
      <c r="E33" s="363"/>
      <c r="F33" s="363"/>
      <c r="G33" s="363"/>
      <c r="H33" s="43"/>
      <c r="I33" s="65"/>
      <c r="J33" s="65"/>
      <c r="K33" s="65"/>
      <c r="L33" s="65"/>
      <c r="M33" s="357"/>
      <c r="N33" s="364">
        <v>0</v>
      </c>
    </row>
    <row r="34" spans="1:14" x14ac:dyDescent="0.25">
      <c r="A34" s="348">
        <v>0</v>
      </c>
      <c r="B34" s="365" t="s">
        <v>59</v>
      </c>
      <c r="C34" s="43"/>
      <c r="D34" s="363"/>
      <c r="E34" s="363"/>
      <c r="F34" s="363"/>
      <c r="G34" s="363"/>
      <c r="H34" s="43"/>
      <c r="I34" s="65"/>
      <c r="J34" s="65"/>
      <c r="K34" s="65"/>
      <c r="L34" s="65"/>
      <c r="M34" s="357"/>
      <c r="N34" s="364">
        <v>0</v>
      </c>
    </row>
    <row r="35" spans="1:14" ht="94.5" x14ac:dyDescent="0.25">
      <c r="A35" s="348">
        <v>0</v>
      </c>
      <c r="B35" s="365" t="s">
        <v>60</v>
      </c>
      <c r="C35" s="43"/>
      <c r="D35" s="363"/>
      <c r="E35" s="363"/>
      <c r="F35" s="363"/>
      <c r="G35" s="363"/>
      <c r="H35" s="55" t="s">
        <v>1882</v>
      </c>
      <c r="I35" s="57">
        <v>60</v>
      </c>
      <c r="J35" s="57" t="s">
        <v>1883</v>
      </c>
      <c r="K35" s="57" t="s">
        <v>1884</v>
      </c>
      <c r="L35" s="125">
        <v>44206</v>
      </c>
      <c r="M35" s="357"/>
      <c r="N35" s="364">
        <v>0</v>
      </c>
    </row>
    <row r="36" spans="1:14" x14ac:dyDescent="0.25">
      <c r="A36" s="348">
        <v>0</v>
      </c>
      <c r="B36" s="365" t="s">
        <v>61</v>
      </c>
      <c r="C36" s="43"/>
      <c r="D36" s="363"/>
      <c r="E36" s="363"/>
      <c r="F36" s="363"/>
      <c r="G36" s="363"/>
      <c r="H36" s="55" t="s">
        <v>1885</v>
      </c>
      <c r="I36" s="65"/>
      <c r="J36" s="65"/>
      <c r="K36" s="65"/>
      <c r="L36" s="65"/>
      <c r="M36" s="357"/>
      <c r="N36" s="364">
        <v>0</v>
      </c>
    </row>
    <row r="37" spans="1:14" x14ac:dyDescent="0.25">
      <c r="A37" s="348">
        <v>0</v>
      </c>
      <c r="B37" s="365" t="s">
        <v>62</v>
      </c>
      <c r="C37" s="43"/>
      <c r="D37" s="363"/>
      <c r="E37" s="363"/>
      <c r="F37" s="363"/>
      <c r="G37" s="363"/>
      <c r="H37" s="43"/>
      <c r="I37" s="65"/>
      <c r="J37" s="65"/>
      <c r="K37" s="65"/>
      <c r="L37" s="65"/>
      <c r="M37" s="357"/>
      <c r="N37" s="364">
        <v>0</v>
      </c>
    </row>
    <row r="38" spans="1:14" x14ac:dyDescent="0.25">
      <c r="A38" s="348">
        <v>0</v>
      </c>
      <c r="B38" s="365" t="s">
        <v>63</v>
      </c>
      <c r="C38" s="43"/>
      <c r="D38" s="363"/>
      <c r="E38" s="363"/>
      <c r="F38" s="363"/>
      <c r="G38" s="363"/>
      <c r="H38" s="43"/>
      <c r="I38" s="65"/>
      <c r="J38" s="65"/>
      <c r="K38" s="65"/>
      <c r="L38" s="65"/>
      <c r="M38" s="357"/>
      <c r="N38" s="364">
        <v>0</v>
      </c>
    </row>
    <row r="39" spans="1:14" x14ac:dyDescent="0.25">
      <c r="A39" s="349">
        <f>SUM(A32:A38)</f>
        <v>0</v>
      </c>
      <c r="B39" s="365" t="s">
        <v>64</v>
      </c>
      <c r="C39" s="43"/>
      <c r="D39" s="363"/>
      <c r="E39" s="363"/>
      <c r="F39" s="363"/>
      <c r="G39" s="363"/>
      <c r="H39" s="43"/>
      <c r="I39" s="65"/>
      <c r="J39" s="65"/>
      <c r="K39" s="65"/>
      <c r="L39" s="65"/>
      <c r="M39" s="357"/>
      <c r="N39" s="366">
        <f>SUM(N31:N38)</f>
        <v>0</v>
      </c>
    </row>
    <row r="40" spans="1:14" ht="47.25" x14ac:dyDescent="0.25">
      <c r="A40" s="347">
        <f>A31+1</f>
        <v>44568</v>
      </c>
      <c r="B40" s="361" t="s">
        <v>1851</v>
      </c>
      <c r="C40" s="43"/>
      <c r="D40" s="362" t="s">
        <v>1863</v>
      </c>
      <c r="E40" s="363"/>
      <c r="F40" s="363"/>
      <c r="G40" s="363"/>
      <c r="H40" s="55" t="s">
        <v>1886</v>
      </c>
      <c r="I40" s="57">
        <v>36</v>
      </c>
      <c r="J40" s="57" t="s">
        <v>257</v>
      </c>
      <c r="K40" s="57" t="s">
        <v>1887</v>
      </c>
      <c r="L40" s="57" t="s">
        <v>2887</v>
      </c>
      <c r="M40" s="357"/>
      <c r="N40" s="364">
        <v>1751</v>
      </c>
    </row>
    <row r="41" spans="1:14" x14ac:dyDescent="0.25">
      <c r="A41" s="348">
        <v>0</v>
      </c>
      <c r="B41" s="365" t="s">
        <v>57</v>
      </c>
      <c r="C41" s="43"/>
      <c r="D41" s="362" t="s">
        <v>1856</v>
      </c>
      <c r="E41" s="363"/>
      <c r="F41" s="363"/>
      <c r="G41" s="363"/>
      <c r="H41" s="43"/>
      <c r="I41" s="65"/>
      <c r="J41" s="65"/>
      <c r="K41" s="65"/>
      <c r="L41" s="65"/>
      <c r="M41" s="357"/>
      <c r="N41" s="364">
        <v>0</v>
      </c>
    </row>
    <row r="42" spans="1:14" x14ac:dyDescent="0.25">
      <c r="A42" s="348">
        <v>0</v>
      </c>
      <c r="B42" s="365" t="s">
        <v>58</v>
      </c>
      <c r="C42" s="43"/>
      <c r="D42" s="363"/>
      <c r="E42" s="363"/>
      <c r="F42" s="363"/>
      <c r="G42" s="363"/>
      <c r="H42" s="43"/>
      <c r="I42" s="65"/>
      <c r="J42" s="65"/>
      <c r="K42" s="65"/>
      <c r="L42" s="65"/>
      <c r="M42" s="357"/>
      <c r="N42" s="364">
        <v>0</v>
      </c>
    </row>
    <row r="43" spans="1:14" x14ac:dyDescent="0.25">
      <c r="A43" s="348">
        <v>0</v>
      </c>
      <c r="B43" s="365" t="s">
        <v>59</v>
      </c>
      <c r="C43" s="43"/>
      <c r="D43" s="363"/>
      <c r="E43" s="363"/>
      <c r="F43" s="363"/>
      <c r="G43" s="363"/>
      <c r="H43" s="43"/>
      <c r="I43" s="65"/>
      <c r="J43" s="65"/>
      <c r="K43" s="65"/>
      <c r="L43" s="65"/>
      <c r="M43" s="357"/>
      <c r="N43" s="364">
        <v>0</v>
      </c>
    </row>
    <row r="44" spans="1:14" ht="94.5" x14ac:dyDescent="0.25">
      <c r="A44" s="348">
        <v>0</v>
      </c>
      <c r="B44" s="365" t="s">
        <v>60</v>
      </c>
      <c r="C44" s="43"/>
      <c r="D44" s="363"/>
      <c r="E44" s="363"/>
      <c r="F44" s="363"/>
      <c r="G44" s="363"/>
      <c r="H44" s="55" t="s">
        <v>1888</v>
      </c>
      <c r="I44" s="57">
        <v>60</v>
      </c>
      <c r="J44" s="57" t="s">
        <v>1889</v>
      </c>
      <c r="K44" s="57" t="s">
        <v>1890</v>
      </c>
      <c r="L44" s="125">
        <v>44571</v>
      </c>
      <c r="M44" s="357"/>
      <c r="N44" s="364">
        <v>0</v>
      </c>
    </row>
    <row r="45" spans="1:14" x14ac:dyDescent="0.25">
      <c r="A45" s="348">
        <v>0</v>
      </c>
      <c r="B45" s="365" t="s">
        <v>61</v>
      </c>
      <c r="C45" s="43"/>
      <c r="D45" s="363"/>
      <c r="E45" s="363"/>
      <c r="F45" s="363"/>
      <c r="G45" s="363"/>
      <c r="H45" s="55" t="s">
        <v>1877</v>
      </c>
      <c r="I45" s="65"/>
      <c r="J45" s="65"/>
      <c r="K45" s="65"/>
      <c r="L45" s="65"/>
      <c r="M45" s="357"/>
      <c r="N45" s="364">
        <v>0</v>
      </c>
    </row>
    <row r="46" spans="1:14" x14ac:dyDescent="0.25">
      <c r="A46" s="348">
        <v>0</v>
      </c>
      <c r="B46" s="365" t="s">
        <v>62</v>
      </c>
      <c r="C46" s="43"/>
      <c r="D46" s="363"/>
      <c r="E46" s="363"/>
      <c r="F46" s="363"/>
      <c r="G46" s="363"/>
      <c r="H46" s="43"/>
      <c r="I46" s="65"/>
      <c r="J46" s="65"/>
      <c r="K46" s="65"/>
      <c r="L46" s="65"/>
      <c r="M46" s="357"/>
      <c r="N46" s="364">
        <v>0</v>
      </c>
    </row>
    <row r="47" spans="1:14" x14ac:dyDescent="0.25">
      <c r="A47" s="348">
        <v>0</v>
      </c>
      <c r="B47" s="365" t="s">
        <v>63</v>
      </c>
      <c r="C47" s="43"/>
      <c r="D47" s="363"/>
      <c r="E47" s="363"/>
      <c r="F47" s="363"/>
      <c r="G47" s="363"/>
      <c r="H47" s="43"/>
      <c r="I47" s="65"/>
      <c r="J47" s="65"/>
      <c r="K47" s="65"/>
      <c r="L47" s="65"/>
      <c r="M47" s="357"/>
      <c r="N47" s="364">
        <v>0</v>
      </c>
    </row>
    <row r="48" spans="1:14" x14ac:dyDescent="0.25">
      <c r="A48" s="349">
        <f>SUM(A41:A47)</f>
        <v>0</v>
      </c>
      <c r="B48" s="365" t="s">
        <v>64</v>
      </c>
      <c r="C48" s="43"/>
      <c r="D48" s="363"/>
      <c r="E48" s="363"/>
      <c r="F48" s="363"/>
      <c r="G48" s="363"/>
      <c r="H48" s="43"/>
      <c r="I48" s="65"/>
      <c r="J48" s="65"/>
      <c r="K48" s="65"/>
      <c r="L48" s="65"/>
      <c r="M48" s="357"/>
      <c r="N48" s="366">
        <f>SUM(N40:N47)</f>
        <v>1751</v>
      </c>
    </row>
    <row r="49" spans="1:14" ht="78.75" x14ac:dyDescent="0.25">
      <c r="A49" s="347">
        <f>A40+3</f>
        <v>44571</v>
      </c>
      <c r="B49" s="361" t="s">
        <v>1851</v>
      </c>
      <c r="C49" s="43"/>
      <c r="D49" s="362" t="s">
        <v>1863</v>
      </c>
      <c r="E49" s="363"/>
      <c r="F49" s="363"/>
      <c r="G49" s="363"/>
      <c r="H49" s="55" t="s">
        <v>1891</v>
      </c>
      <c r="I49" s="57">
        <v>60</v>
      </c>
      <c r="J49" s="57" t="s">
        <v>248</v>
      </c>
      <c r="K49" s="57" t="s">
        <v>1892</v>
      </c>
      <c r="L49" s="125">
        <v>44210</v>
      </c>
      <c r="M49" s="357"/>
      <c r="N49" s="364">
        <v>2762</v>
      </c>
    </row>
    <row r="50" spans="1:14" ht="47.25" x14ac:dyDescent="0.25">
      <c r="A50" s="348">
        <v>1800</v>
      </c>
      <c r="B50" s="365" t="s">
        <v>57</v>
      </c>
      <c r="C50" s="43"/>
      <c r="D50" s="362" t="s">
        <v>1893</v>
      </c>
      <c r="E50" s="363"/>
      <c r="F50" s="363"/>
      <c r="G50" s="363"/>
      <c r="H50" s="55" t="s">
        <v>1894</v>
      </c>
      <c r="I50" s="57"/>
      <c r="J50" s="57"/>
      <c r="K50" s="57"/>
      <c r="L50" s="57"/>
      <c r="M50" s="357"/>
      <c r="N50" s="364">
        <v>0</v>
      </c>
    </row>
    <row r="51" spans="1:14" x14ac:dyDescent="0.25">
      <c r="A51" s="348">
        <v>0</v>
      </c>
      <c r="B51" s="365" t="s">
        <v>58</v>
      </c>
      <c r="C51" s="43"/>
      <c r="D51" s="363"/>
      <c r="E51" s="363"/>
      <c r="F51" s="363"/>
      <c r="G51" s="363"/>
      <c r="H51" s="43"/>
      <c r="I51" s="65"/>
      <c r="J51" s="65"/>
      <c r="K51" s="65"/>
      <c r="L51" s="65"/>
      <c r="M51" s="357"/>
      <c r="N51" s="364">
        <v>0</v>
      </c>
    </row>
    <row r="52" spans="1:14" ht="63" x14ac:dyDescent="0.25">
      <c r="A52" s="348">
        <v>0</v>
      </c>
      <c r="B52" s="365" t="s">
        <v>59</v>
      </c>
      <c r="C52" s="43"/>
      <c r="D52" s="363"/>
      <c r="E52" s="363"/>
      <c r="F52" s="363"/>
      <c r="G52" s="363"/>
      <c r="H52" s="55" t="s">
        <v>1895</v>
      </c>
      <c r="I52" s="57">
        <v>60</v>
      </c>
      <c r="J52" s="57" t="s">
        <v>74</v>
      </c>
      <c r="K52" s="57" t="s">
        <v>1896</v>
      </c>
      <c r="L52" s="125">
        <v>44568</v>
      </c>
      <c r="M52" s="357"/>
      <c r="N52" s="364">
        <v>0</v>
      </c>
    </row>
    <row r="53" spans="1:14" x14ac:dyDescent="0.25">
      <c r="A53" s="348">
        <v>0</v>
      </c>
      <c r="B53" s="365" t="s">
        <v>60</v>
      </c>
      <c r="C53" s="43"/>
      <c r="D53" s="363"/>
      <c r="E53" s="363"/>
      <c r="F53" s="363"/>
      <c r="G53" s="363"/>
      <c r="H53" s="55"/>
      <c r="I53" s="65"/>
      <c r="J53" s="65"/>
      <c r="K53" s="65"/>
      <c r="L53" s="65"/>
      <c r="M53" s="357"/>
      <c r="N53" s="364">
        <v>0</v>
      </c>
    </row>
    <row r="54" spans="1:14" ht="78.75" x14ac:dyDescent="0.25">
      <c r="A54" s="348">
        <v>0</v>
      </c>
      <c r="B54" s="365" t="s">
        <v>61</v>
      </c>
      <c r="C54" s="43"/>
      <c r="D54" s="363"/>
      <c r="E54" s="363"/>
      <c r="F54" s="363"/>
      <c r="G54" s="363"/>
      <c r="H54" s="55" t="s">
        <v>1897</v>
      </c>
      <c r="I54" s="57">
        <v>60</v>
      </c>
      <c r="J54" s="57" t="s">
        <v>1898</v>
      </c>
      <c r="K54" s="57" t="s">
        <v>1899</v>
      </c>
      <c r="L54" s="125">
        <v>44572</v>
      </c>
      <c r="M54" s="357"/>
      <c r="N54" s="364">
        <v>202</v>
      </c>
    </row>
    <row r="55" spans="1:14" ht="31.5" x14ac:dyDescent="0.25">
      <c r="A55" s="348">
        <v>0</v>
      </c>
      <c r="B55" s="365" t="s">
        <v>62</v>
      </c>
      <c r="C55" s="43"/>
      <c r="D55" s="363"/>
      <c r="E55" s="363"/>
      <c r="F55" s="363"/>
      <c r="G55" s="363"/>
      <c r="H55" s="55" t="s">
        <v>1900</v>
      </c>
      <c r="I55" s="57"/>
      <c r="J55" s="57"/>
      <c r="K55" s="57"/>
      <c r="L55" s="57"/>
      <c r="M55" s="357"/>
      <c r="N55" s="364">
        <v>0</v>
      </c>
    </row>
    <row r="56" spans="1:14" x14ac:dyDescent="0.25">
      <c r="A56" s="348">
        <v>0</v>
      </c>
      <c r="B56" s="365" t="s">
        <v>63</v>
      </c>
      <c r="C56" s="43"/>
      <c r="D56" s="363"/>
      <c r="E56" s="363"/>
      <c r="F56" s="363"/>
      <c r="G56" s="363"/>
      <c r="H56" s="43"/>
      <c r="I56" s="65"/>
      <c r="J56" s="65"/>
      <c r="K56" s="65"/>
      <c r="L56" s="65"/>
      <c r="M56" s="357"/>
      <c r="N56" s="364">
        <v>0</v>
      </c>
    </row>
    <row r="57" spans="1:14" x14ac:dyDescent="0.25">
      <c r="A57" s="349">
        <f>SUM(A50:A56)</f>
        <v>1800</v>
      </c>
      <c r="B57" s="365" t="s">
        <v>64</v>
      </c>
      <c r="C57" s="43"/>
      <c r="D57" s="363"/>
      <c r="E57" s="363"/>
      <c r="F57" s="363"/>
      <c r="G57" s="363"/>
      <c r="H57" s="43"/>
      <c r="I57" s="65"/>
      <c r="J57" s="65"/>
      <c r="K57" s="65"/>
      <c r="L57" s="65"/>
      <c r="M57" s="357"/>
      <c r="N57" s="366">
        <f>SUM(N49:N56)</f>
        <v>2964</v>
      </c>
    </row>
    <row r="58" spans="1:14" x14ac:dyDescent="0.25">
      <c r="A58" s="347">
        <f>A49+1</f>
        <v>44572</v>
      </c>
      <c r="B58" s="361" t="s">
        <v>1851</v>
      </c>
      <c r="C58" s="43"/>
      <c r="D58" s="362" t="s">
        <v>1852</v>
      </c>
      <c r="E58" s="363"/>
      <c r="F58" s="363"/>
      <c r="G58" s="363"/>
      <c r="H58" s="43"/>
      <c r="I58" s="65"/>
      <c r="J58" s="65"/>
      <c r="K58" s="65"/>
      <c r="L58" s="65"/>
      <c r="M58" s="357"/>
      <c r="N58" s="364">
        <v>5215</v>
      </c>
    </row>
    <row r="59" spans="1:14" ht="31.5" x14ac:dyDescent="0.25">
      <c r="A59" s="348">
        <v>0</v>
      </c>
      <c r="B59" s="365" t="s">
        <v>57</v>
      </c>
      <c r="C59" s="43"/>
      <c r="D59" s="362" t="s">
        <v>1893</v>
      </c>
      <c r="E59" s="363"/>
      <c r="F59" s="363"/>
      <c r="G59" s="363"/>
      <c r="H59" s="55" t="s">
        <v>1901</v>
      </c>
      <c r="I59" s="86"/>
      <c r="J59" s="86"/>
      <c r="K59" s="86"/>
      <c r="L59" s="86"/>
      <c r="M59" s="357"/>
      <c r="N59" s="364">
        <v>0</v>
      </c>
    </row>
    <row r="60" spans="1:14" x14ac:dyDescent="0.25">
      <c r="A60" s="348">
        <v>0</v>
      </c>
      <c r="B60" s="365" t="s">
        <v>58</v>
      </c>
      <c r="C60" s="43"/>
      <c r="D60" s="363"/>
      <c r="E60" s="363"/>
      <c r="F60" s="363"/>
      <c r="G60" s="363"/>
      <c r="H60" s="43"/>
      <c r="I60" s="86"/>
      <c r="J60" s="86"/>
      <c r="K60" s="86"/>
      <c r="L60" s="86"/>
      <c r="M60" s="357"/>
      <c r="N60" s="364">
        <v>0</v>
      </c>
    </row>
    <row r="61" spans="1:14" ht="78.75" x14ac:dyDescent="0.25">
      <c r="A61" s="348">
        <v>0</v>
      </c>
      <c r="B61" s="365" t="s">
        <v>59</v>
      </c>
      <c r="C61" s="43"/>
      <c r="D61" s="363"/>
      <c r="E61" s="363"/>
      <c r="F61" s="363"/>
      <c r="G61" s="363"/>
      <c r="H61" s="55" t="s">
        <v>1902</v>
      </c>
      <c r="I61" s="103">
        <v>36</v>
      </c>
      <c r="J61" s="84" t="s">
        <v>1903</v>
      </c>
      <c r="K61" s="84" t="s">
        <v>1904</v>
      </c>
      <c r="L61" s="84" t="s">
        <v>1861</v>
      </c>
      <c r="M61" s="357"/>
      <c r="N61" s="364">
        <v>0</v>
      </c>
    </row>
    <row r="62" spans="1:14" x14ac:dyDescent="0.25">
      <c r="A62" s="348">
        <v>0</v>
      </c>
      <c r="B62" s="365" t="s">
        <v>60</v>
      </c>
      <c r="C62" s="43"/>
      <c r="D62" s="363"/>
      <c r="E62" s="363"/>
      <c r="F62" s="363"/>
      <c r="G62" s="363"/>
      <c r="H62" s="87" t="s">
        <v>1905</v>
      </c>
      <c r="I62" s="86"/>
      <c r="J62" s="86"/>
      <c r="K62" s="86"/>
      <c r="L62" s="84"/>
      <c r="M62" s="357"/>
      <c r="N62" s="364">
        <v>0</v>
      </c>
    </row>
    <row r="63" spans="1:14" x14ac:dyDescent="0.25">
      <c r="A63" s="348">
        <v>0</v>
      </c>
      <c r="B63" s="365" t="s">
        <v>61</v>
      </c>
      <c r="C63" s="43"/>
      <c r="D63" s="363"/>
      <c r="E63" s="363"/>
      <c r="F63" s="363"/>
      <c r="G63" s="363"/>
      <c r="H63" s="43"/>
      <c r="I63" s="86"/>
      <c r="J63" s="86"/>
      <c r="K63" s="86"/>
      <c r="L63" s="86"/>
      <c r="M63" s="357"/>
      <c r="N63" s="364">
        <v>2350</v>
      </c>
    </row>
    <row r="64" spans="1:14" x14ac:dyDescent="0.25">
      <c r="A64" s="348">
        <v>0</v>
      </c>
      <c r="B64" s="365" t="s">
        <v>62</v>
      </c>
      <c r="C64" s="43"/>
      <c r="D64" s="363"/>
      <c r="E64" s="363"/>
      <c r="F64" s="363"/>
      <c r="G64" s="363"/>
      <c r="H64" s="43"/>
      <c r="I64" s="86"/>
      <c r="J64" s="86"/>
      <c r="K64" s="86"/>
      <c r="L64" s="86"/>
      <c r="M64" s="357"/>
      <c r="N64" s="364">
        <v>0</v>
      </c>
    </row>
    <row r="65" spans="1:14" ht="78.75" x14ac:dyDescent="0.25">
      <c r="A65" s="348">
        <v>0</v>
      </c>
      <c r="B65" s="365" t="s">
        <v>63</v>
      </c>
      <c r="C65" s="43"/>
      <c r="D65" s="363"/>
      <c r="E65" s="363"/>
      <c r="F65" s="363"/>
      <c r="G65" s="363"/>
      <c r="H65" s="55" t="s">
        <v>1906</v>
      </c>
      <c r="I65" s="56">
        <v>36</v>
      </c>
      <c r="J65" s="57" t="s">
        <v>1907</v>
      </c>
      <c r="K65" s="57" t="s">
        <v>1908</v>
      </c>
      <c r="L65" s="57" t="s">
        <v>1909</v>
      </c>
      <c r="M65" s="357"/>
      <c r="N65" s="364">
        <v>0</v>
      </c>
    </row>
    <row r="66" spans="1:14" x14ac:dyDescent="0.25">
      <c r="A66" s="349">
        <f>SUM(A59:A65)</f>
        <v>0</v>
      </c>
      <c r="B66" s="365" t="s">
        <v>64</v>
      </c>
      <c r="C66" s="43"/>
      <c r="D66" s="363"/>
      <c r="E66" s="363"/>
      <c r="F66" s="363"/>
      <c r="G66" s="363"/>
      <c r="H66" s="87" t="s">
        <v>1910</v>
      </c>
      <c r="I66" s="65"/>
      <c r="J66" s="65"/>
      <c r="K66" s="65"/>
      <c r="L66" s="65"/>
      <c r="M66" s="357"/>
      <c r="N66" s="366">
        <f>SUM(N58:N65)</f>
        <v>7565</v>
      </c>
    </row>
    <row r="67" spans="1:14" x14ac:dyDescent="0.25">
      <c r="A67" s="347">
        <f>A58+1</f>
        <v>44573</v>
      </c>
      <c r="B67" s="361" t="s">
        <v>1851</v>
      </c>
      <c r="C67" s="43"/>
      <c r="D67" s="362" t="s">
        <v>1852</v>
      </c>
      <c r="E67" s="363"/>
      <c r="F67" s="363"/>
      <c r="G67" s="363"/>
      <c r="H67" s="87" t="s">
        <v>1911</v>
      </c>
      <c r="I67" s="65"/>
      <c r="J67" s="65"/>
      <c r="K67" s="65"/>
      <c r="L67" s="65"/>
      <c r="M67" s="357"/>
      <c r="N67" s="364">
        <v>1383</v>
      </c>
    </row>
    <row r="68" spans="1:14" x14ac:dyDescent="0.25">
      <c r="A68" s="348">
        <v>0</v>
      </c>
      <c r="B68" s="365" t="s">
        <v>57</v>
      </c>
      <c r="C68" s="43"/>
      <c r="D68" s="362"/>
      <c r="E68" s="363"/>
      <c r="F68" s="363"/>
      <c r="G68" s="363"/>
      <c r="H68" s="43"/>
      <c r="I68" s="65"/>
      <c r="J68" s="65"/>
      <c r="K68" s="65"/>
      <c r="L68" s="65"/>
      <c r="M68" s="357"/>
      <c r="N68" s="364">
        <v>0</v>
      </c>
    </row>
    <row r="69" spans="1:14" ht="63" x14ac:dyDescent="0.25">
      <c r="A69" s="348">
        <v>0</v>
      </c>
      <c r="B69" s="365" t="s">
        <v>58</v>
      </c>
      <c r="C69" s="43"/>
      <c r="D69" s="363"/>
      <c r="E69" s="363"/>
      <c r="F69" s="363"/>
      <c r="G69" s="363"/>
      <c r="H69" s="55" t="s">
        <v>1912</v>
      </c>
      <c r="I69" s="56">
        <v>36</v>
      </c>
      <c r="J69" s="57" t="s">
        <v>1913</v>
      </c>
      <c r="K69" s="57" t="s">
        <v>1914</v>
      </c>
      <c r="L69" s="57" t="s">
        <v>680</v>
      </c>
      <c r="M69" s="357"/>
      <c r="N69" s="364">
        <v>1237</v>
      </c>
    </row>
    <row r="70" spans="1:14" ht="47.25" x14ac:dyDescent="0.25">
      <c r="A70" s="348">
        <v>0</v>
      </c>
      <c r="B70" s="365" t="s">
        <v>59</v>
      </c>
      <c r="C70" s="43"/>
      <c r="D70" s="363"/>
      <c r="E70" s="363"/>
      <c r="F70" s="363"/>
      <c r="G70" s="363"/>
      <c r="H70" s="43"/>
      <c r="I70" s="65"/>
      <c r="J70" s="65"/>
      <c r="K70" s="65"/>
      <c r="L70" s="57" t="s">
        <v>1915</v>
      </c>
      <c r="M70" s="357"/>
      <c r="N70" s="364">
        <v>0</v>
      </c>
    </row>
    <row r="71" spans="1:14" ht="78.75" x14ac:dyDescent="0.25">
      <c r="A71" s="348">
        <v>0</v>
      </c>
      <c r="B71" s="365" t="s">
        <v>60</v>
      </c>
      <c r="C71" s="43"/>
      <c r="D71" s="363"/>
      <c r="E71" s="363"/>
      <c r="F71" s="363"/>
      <c r="G71" s="363"/>
      <c r="H71" s="55" t="s">
        <v>1916</v>
      </c>
      <c r="I71" s="57">
        <v>72</v>
      </c>
      <c r="J71" s="57" t="s">
        <v>140</v>
      </c>
      <c r="K71" s="57" t="s">
        <v>1917</v>
      </c>
      <c r="L71" s="57" t="s">
        <v>2888</v>
      </c>
      <c r="M71" s="357"/>
      <c r="N71" s="364">
        <v>1065</v>
      </c>
    </row>
    <row r="72" spans="1:14" x14ac:dyDescent="0.25">
      <c r="A72" s="348">
        <v>0</v>
      </c>
      <c r="B72" s="365" t="s">
        <v>61</v>
      </c>
      <c r="C72" s="43"/>
      <c r="D72" s="363"/>
      <c r="E72" s="363"/>
      <c r="F72" s="363"/>
      <c r="G72" s="363"/>
      <c r="H72" s="43"/>
      <c r="I72" s="65"/>
      <c r="J72" s="65"/>
      <c r="K72" s="65"/>
      <c r="L72" s="65"/>
      <c r="M72" s="357"/>
      <c r="N72" s="364">
        <v>0</v>
      </c>
    </row>
    <row r="73" spans="1:14" x14ac:dyDescent="0.25">
      <c r="A73" s="348">
        <v>0</v>
      </c>
      <c r="B73" s="365" t="s">
        <v>62</v>
      </c>
      <c r="C73" s="43"/>
      <c r="D73" s="363"/>
      <c r="E73" s="363"/>
      <c r="F73" s="363"/>
      <c r="G73" s="363"/>
      <c r="H73" s="43"/>
      <c r="I73" s="65"/>
      <c r="J73" s="65"/>
      <c r="K73" s="65"/>
      <c r="L73" s="65"/>
      <c r="M73" s="357"/>
      <c r="N73" s="364">
        <v>0</v>
      </c>
    </row>
    <row r="74" spans="1:14" x14ac:dyDescent="0.25">
      <c r="A74" s="348">
        <v>0</v>
      </c>
      <c r="B74" s="365" t="s">
        <v>63</v>
      </c>
      <c r="C74" s="43"/>
      <c r="D74" s="363"/>
      <c r="E74" s="363"/>
      <c r="F74" s="363"/>
      <c r="G74" s="363"/>
      <c r="H74" s="43"/>
      <c r="I74" s="65"/>
      <c r="J74" s="65"/>
      <c r="K74" s="65"/>
      <c r="L74" s="65"/>
      <c r="M74" s="357"/>
      <c r="N74" s="364">
        <v>0</v>
      </c>
    </row>
    <row r="75" spans="1:14" x14ac:dyDescent="0.25">
      <c r="A75" s="349">
        <f>SUM(A68:A74)</f>
        <v>0</v>
      </c>
      <c r="B75" s="365" t="s">
        <v>64</v>
      </c>
      <c r="C75" s="43"/>
      <c r="D75" s="363"/>
      <c r="E75" s="363"/>
      <c r="F75" s="363"/>
      <c r="G75" s="363"/>
      <c r="H75" s="43"/>
      <c r="I75" s="65"/>
      <c r="J75" s="65"/>
      <c r="K75" s="65"/>
      <c r="L75" s="65"/>
      <c r="M75" s="357"/>
      <c r="N75" s="366">
        <f>SUM(N67:N74)</f>
        <v>3685</v>
      </c>
    </row>
    <row r="76" spans="1:14" ht="63" x14ac:dyDescent="0.25">
      <c r="A76" s="347">
        <f>A67+1</f>
        <v>44574</v>
      </c>
      <c r="B76" s="361" t="s">
        <v>1851</v>
      </c>
      <c r="C76" s="43"/>
      <c r="D76" s="362" t="s">
        <v>1852</v>
      </c>
      <c r="E76" s="363"/>
      <c r="F76" s="363"/>
      <c r="G76" s="363"/>
      <c r="H76" s="55" t="s">
        <v>1918</v>
      </c>
      <c r="I76" s="57">
        <v>60</v>
      </c>
      <c r="J76" s="57" t="s">
        <v>100</v>
      </c>
      <c r="K76" s="57" t="s">
        <v>728</v>
      </c>
      <c r="L76" s="125">
        <v>44575</v>
      </c>
      <c r="M76" s="357"/>
      <c r="N76" s="364">
        <v>2134</v>
      </c>
    </row>
    <row r="77" spans="1:14" x14ac:dyDescent="0.25">
      <c r="A77" s="348">
        <v>0</v>
      </c>
      <c r="B77" s="365" t="s">
        <v>57</v>
      </c>
      <c r="C77" s="43"/>
      <c r="D77" s="362"/>
      <c r="E77" s="363"/>
      <c r="F77" s="363"/>
      <c r="G77" s="363"/>
      <c r="H77" s="55" t="s">
        <v>1919</v>
      </c>
      <c r="I77" s="57"/>
      <c r="J77" s="57"/>
      <c r="K77" s="57"/>
      <c r="L77" s="57"/>
      <c r="M77" s="357"/>
      <c r="N77" s="364">
        <v>0</v>
      </c>
    </row>
    <row r="78" spans="1:14" x14ac:dyDescent="0.25">
      <c r="A78" s="348">
        <v>0</v>
      </c>
      <c r="B78" s="365" t="s">
        <v>58</v>
      </c>
      <c r="C78" s="43"/>
      <c r="D78" s="363"/>
      <c r="E78" s="363"/>
      <c r="F78" s="363"/>
      <c r="G78" s="363"/>
      <c r="H78" s="55"/>
      <c r="I78" s="65"/>
      <c r="J78" s="65"/>
      <c r="K78" s="65"/>
      <c r="L78" s="65"/>
      <c r="M78" s="357"/>
      <c r="N78" s="364">
        <v>0</v>
      </c>
    </row>
    <row r="79" spans="1:14" x14ac:dyDescent="0.25">
      <c r="A79" s="348">
        <v>0</v>
      </c>
      <c r="B79" s="365" t="s">
        <v>59</v>
      </c>
      <c r="C79" s="43"/>
      <c r="D79" s="363"/>
      <c r="E79" s="363"/>
      <c r="F79" s="363"/>
      <c r="G79" s="363"/>
      <c r="H79" s="55"/>
      <c r="I79" s="65"/>
      <c r="J79" s="65"/>
      <c r="K79" s="65"/>
      <c r="L79" s="65"/>
      <c r="M79" s="357"/>
      <c r="N79" s="364">
        <v>0</v>
      </c>
    </row>
    <row r="80" spans="1:14" x14ac:dyDescent="0.25">
      <c r="A80" s="348">
        <v>0</v>
      </c>
      <c r="B80" s="365" t="s">
        <v>60</v>
      </c>
      <c r="C80" s="43"/>
      <c r="D80" s="363"/>
      <c r="E80" s="363"/>
      <c r="F80" s="363"/>
      <c r="G80" s="363"/>
      <c r="H80" s="43"/>
      <c r="I80" s="65"/>
      <c r="J80" s="65"/>
      <c r="K80" s="65"/>
      <c r="L80" s="65"/>
      <c r="M80" s="357"/>
      <c r="N80" s="364">
        <v>2131</v>
      </c>
    </row>
    <row r="81" spans="1:27" x14ac:dyDescent="0.25">
      <c r="A81" s="348">
        <v>0</v>
      </c>
      <c r="B81" s="365" t="s">
        <v>61</v>
      </c>
      <c r="C81" s="43"/>
      <c r="D81" s="363"/>
      <c r="E81" s="363"/>
      <c r="F81" s="363"/>
      <c r="G81" s="363"/>
      <c r="H81" s="43"/>
      <c r="I81" s="65"/>
      <c r="J81" s="65"/>
      <c r="K81" s="65"/>
      <c r="L81" s="65"/>
      <c r="M81" s="357"/>
      <c r="N81" s="364">
        <v>0</v>
      </c>
    </row>
    <row r="82" spans="1:27" x14ac:dyDescent="0.25">
      <c r="A82" s="348">
        <v>0</v>
      </c>
      <c r="B82" s="365" t="s">
        <v>62</v>
      </c>
      <c r="C82" s="43"/>
      <c r="D82" s="363"/>
      <c r="E82" s="363"/>
      <c r="F82" s="363"/>
      <c r="G82" s="363"/>
      <c r="H82" s="43"/>
      <c r="I82" s="65"/>
      <c r="J82" s="65"/>
      <c r="K82" s="65"/>
      <c r="L82" s="65"/>
      <c r="M82" s="357"/>
      <c r="N82" s="364">
        <v>0</v>
      </c>
    </row>
    <row r="83" spans="1:27" x14ac:dyDescent="0.25">
      <c r="A83" s="348">
        <v>0</v>
      </c>
      <c r="B83" s="365" t="s">
        <v>63</v>
      </c>
      <c r="C83" s="43"/>
      <c r="D83" s="363"/>
      <c r="E83" s="363"/>
      <c r="F83" s="363"/>
      <c r="G83" s="363"/>
      <c r="H83" s="43"/>
      <c r="I83" s="65"/>
      <c r="J83" s="65"/>
      <c r="K83" s="65"/>
      <c r="L83" s="65"/>
      <c r="M83" s="357"/>
      <c r="N83" s="364">
        <v>0</v>
      </c>
    </row>
    <row r="84" spans="1:27" x14ac:dyDescent="0.25">
      <c r="A84" s="349">
        <f>SUM(A77:A83)</f>
        <v>0</v>
      </c>
      <c r="B84" s="365" t="s">
        <v>64</v>
      </c>
      <c r="C84" s="43"/>
      <c r="D84" s="363"/>
      <c r="E84" s="363"/>
      <c r="F84" s="363"/>
      <c r="G84" s="363"/>
      <c r="H84" s="43"/>
      <c r="I84" s="65"/>
      <c r="J84" s="65"/>
      <c r="K84" s="65"/>
      <c r="L84" s="65"/>
      <c r="M84" s="357"/>
      <c r="N84" s="366">
        <f>SUM(N76:N83)</f>
        <v>4265</v>
      </c>
    </row>
    <row r="85" spans="1:27" ht="78.75" x14ac:dyDescent="0.25">
      <c r="A85" s="347">
        <f>A76+1</f>
        <v>44575</v>
      </c>
      <c r="B85" s="361" t="s">
        <v>1851</v>
      </c>
      <c r="C85" s="55" t="s">
        <v>1920</v>
      </c>
      <c r="D85" s="84">
        <v>60</v>
      </c>
      <c r="E85" s="84" t="s">
        <v>1535</v>
      </c>
      <c r="F85" s="84" t="s">
        <v>1921</v>
      </c>
      <c r="G85" s="136">
        <v>44581</v>
      </c>
      <c r="H85" s="55" t="s">
        <v>1922</v>
      </c>
      <c r="I85" s="57">
        <v>72</v>
      </c>
      <c r="J85" s="57" t="s">
        <v>85</v>
      </c>
      <c r="K85" s="57" t="s">
        <v>1923</v>
      </c>
      <c r="L85" s="125">
        <v>44579</v>
      </c>
      <c r="M85" s="357"/>
      <c r="N85" s="364">
        <v>3600</v>
      </c>
    </row>
    <row r="86" spans="1:27" x14ac:dyDescent="0.25">
      <c r="A86" s="348">
        <v>0</v>
      </c>
      <c r="B86" s="365" t="s">
        <v>57</v>
      </c>
      <c r="C86" s="43"/>
      <c r="D86" s="86"/>
      <c r="E86" s="86"/>
      <c r="F86" s="86"/>
      <c r="G86" s="86"/>
      <c r="H86" s="55"/>
      <c r="I86" s="57"/>
      <c r="J86" s="57"/>
      <c r="K86" s="57"/>
      <c r="L86" s="57" t="s">
        <v>221</v>
      </c>
      <c r="M86" s="357"/>
      <c r="N86" s="364">
        <v>0</v>
      </c>
    </row>
    <row r="87" spans="1:27" x14ac:dyDescent="0.25">
      <c r="A87" s="348">
        <v>0</v>
      </c>
      <c r="B87" s="365" t="s">
        <v>58</v>
      </c>
      <c r="C87" s="43"/>
      <c r="D87" s="86"/>
      <c r="E87" s="86"/>
      <c r="F87" s="86"/>
      <c r="G87" s="86"/>
      <c r="H87" s="55"/>
      <c r="I87" s="65"/>
      <c r="J87" s="65"/>
      <c r="K87" s="65"/>
      <c r="L87" s="65"/>
      <c r="M87" s="357"/>
      <c r="N87" s="364">
        <v>0</v>
      </c>
    </row>
    <row r="88" spans="1:27" x14ac:dyDescent="0.25">
      <c r="A88" s="348">
        <v>0</v>
      </c>
      <c r="B88" s="365" t="s">
        <v>59</v>
      </c>
      <c r="C88" s="43"/>
      <c r="D88" s="363"/>
      <c r="E88" s="363"/>
      <c r="F88" s="363"/>
      <c r="G88" s="363"/>
      <c r="H88" s="55"/>
      <c r="I88" s="65"/>
      <c r="J88" s="65"/>
      <c r="K88" s="65"/>
      <c r="L88" s="65"/>
      <c r="M88" s="357"/>
      <c r="N88" s="364">
        <v>0</v>
      </c>
    </row>
    <row r="89" spans="1:27" x14ac:dyDescent="0.25">
      <c r="A89" s="348">
        <v>0</v>
      </c>
      <c r="B89" s="365" t="s">
        <v>60</v>
      </c>
      <c r="C89" s="43"/>
      <c r="D89" s="363"/>
      <c r="E89" s="363"/>
      <c r="F89" s="363"/>
      <c r="G89" s="363"/>
      <c r="H89" s="55"/>
      <c r="I89" s="65"/>
      <c r="J89" s="65"/>
      <c r="K89" s="65"/>
      <c r="L89" s="65"/>
      <c r="M89" s="357"/>
      <c r="N89" s="364">
        <v>0</v>
      </c>
    </row>
    <row r="90" spans="1:27" x14ac:dyDescent="0.25">
      <c r="A90" s="348">
        <v>0</v>
      </c>
      <c r="B90" s="365" t="s">
        <v>61</v>
      </c>
      <c r="C90" s="43"/>
      <c r="D90" s="363"/>
      <c r="E90" s="363"/>
      <c r="F90" s="363"/>
      <c r="G90" s="363"/>
      <c r="H90" s="55"/>
      <c r="I90" s="65"/>
      <c r="J90" s="65"/>
      <c r="K90" s="65"/>
      <c r="L90" s="65"/>
      <c r="M90" s="357"/>
      <c r="N90" s="364">
        <v>0</v>
      </c>
    </row>
    <row r="91" spans="1:27" x14ac:dyDescent="0.25">
      <c r="A91" s="348">
        <v>0</v>
      </c>
      <c r="B91" s="365" t="s">
        <v>62</v>
      </c>
      <c r="C91" s="87"/>
      <c r="D91" s="362"/>
      <c r="E91" s="362"/>
      <c r="F91" s="362"/>
      <c r="G91" s="362"/>
      <c r="H91" s="55"/>
      <c r="I91" s="311"/>
      <c r="J91" s="311"/>
      <c r="K91" s="311"/>
      <c r="L91" s="311"/>
      <c r="M91" s="367"/>
      <c r="N91" s="364">
        <v>0</v>
      </c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</row>
    <row r="92" spans="1:27" x14ac:dyDescent="0.25">
      <c r="A92" s="348">
        <v>0</v>
      </c>
      <c r="B92" s="365" t="s">
        <v>63</v>
      </c>
      <c r="C92" s="43"/>
      <c r="D92" s="363"/>
      <c r="E92" s="363"/>
      <c r="F92" s="363"/>
      <c r="G92" s="363"/>
      <c r="H92" s="43"/>
      <c r="I92" s="65"/>
      <c r="J92" s="65"/>
      <c r="K92" s="65"/>
      <c r="L92" s="65"/>
      <c r="M92" s="357"/>
      <c r="N92" s="364">
        <v>0</v>
      </c>
    </row>
    <row r="93" spans="1:27" x14ac:dyDescent="0.25">
      <c r="A93" s="349">
        <f>SUM(A86:A92)</f>
        <v>0</v>
      </c>
      <c r="B93" s="365" t="s">
        <v>64</v>
      </c>
      <c r="C93" s="43"/>
      <c r="D93" s="363"/>
      <c r="E93" s="363"/>
      <c r="F93" s="363"/>
      <c r="G93" s="363"/>
      <c r="H93" s="43"/>
      <c r="I93" s="65"/>
      <c r="J93" s="65"/>
      <c r="K93" s="65"/>
      <c r="L93" s="65"/>
      <c r="M93" s="357"/>
      <c r="N93" s="366">
        <f>SUM(N85:N92)</f>
        <v>3600</v>
      </c>
    </row>
    <row r="94" spans="1:27" ht="94.5" x14ac:dyDescent="0.25">
      <c r="A94" s="347">
        <f>A85+3</f>
        <v>44578</v>
      </c>
      <c r="B94" s="361" t="s">
        <v>1851</v>
      </c>
      <c r="C94" s="55" t="s">
        <v>1924</v>
      </c>
      <c r="D94" s="57">
        <v>51</v>
      </c>
      <c r="E94" s="57" t="s">
        <v>186</v>
      </c>
      <c r="F94" s="57" t="s">
        <v>1869</v>
      </c>
      <c r="G94" s="125">
        <v>44578</v>
      </c>
      <c r="H94" s="55" t="s">
        <v>1925</v>
      </c>
      <c r="I94" s="57">
        <v>60</v>
      </c>
      <c r="J94" s="57" t="s">
        <v>25</v>
      </c>
      <c r="K94" s="57" t="s">
        <v>1926</v>
      </c>
      <c r="L94" s="125">
        <v>44575</v>
      </c>
      <c r="M94" s="357"/>
      <c r="N94" s="364">
        <v>1533</v>
      </c>
    </row>
    <row r="95" spans="1:27" x14ac:dyDescent="0.25">
      <c r="A95" s="348">
        <v>1631</v>
      </c>
      <c r="B95" s="365" t="s">
        <v>57</v>
      </c>
      <c r="C95" s="55" t="s">
        <v>1927</v>
      </c>
      <c r="D95" s="57"/>
      <c r="E95" s="57"/>
      <c r="F95" s="57"/>
      <c r="G95" s="57"/>
      <c r="H95" s="55" t="s">
        <v>1928</v>
      </c>
      <c r="I95" s="65"/>
      <c r="J95" s="65"/>
      <c r="K95" s="65"/>
      <c r="L95" s="65"/>
      <c r="M95" s="357"/>
      <c r="N95" s="364">
        <v>0</v>
      </c>
    </row>
    <row r="96" spans="1:27" x14ac:dyDescent="0.25">
      <c r="A96" s="348">
        <v>0</v>
      </c>
      <c r="B96" s="365" t="s">
        <v>58</v>
      </c>
      <c r="C96" s="55"/>
      <c r="D96" s="57"/>
      <c r="E96" s="57"/>
      <c r="F96" s="57"/>
      <c r="G96" s="57"/>
      <c r="H96" s="43"/>
      <c r="I96" s="86"/>
      <c r="J96" s="86"/>
      <c r="K96" s="86"/>
      <c r="L96" s="86"/>
      <c r="M96" s="357"/>
      <c r="N96" s="364">
        <v>0</v>
      </c>
    </row>
    <row r="97" spans="1:14" ht="78.75" x14ac:dyDescent="0.25">
      <c r="A97" s="348">
        <v>0</v>
      </c>
      <c r="B97" s="365" t="s">
        <v>59</v>
      </c>
      <c r="C97" s="43"/>
      <c r="D97" s="65"/>
      <c r="E97" s="65"/>
      <c r="F97" s="65"/>
      <c r="G97" s="65"/>
      <c r="H97" s="55" t="s">
        <v>1929</v>
      </c>
      <c r="I97" s="84">
        <v>60</v>
      </c>
      <c r="J97" s="84" t="s">
        <v>1875</v>
      </c>
      <c r="K97" s="84" t="s">
        <v>1930</v>
      </c>
      <c r="L97" s="136">
        <v>44578</v>
      </c>
      <c r="M97" s="357"/>
      <c r="N97" s="364">
        <v>4623</v>
      </c>
    </row>
    <row r="98" spans="1:14" ht="47.25" x14ac:dyDescent="0.25">
      <c r="A98" s="348">
        <v>0</v>
      </c>
      <c r="B98" s="365" t="s">
        <v>60</v>
      </c>
      <c r="C98" s="43"/>
      <c r="D98" s="65"/>
      <c r="E98" s="65"/>
      <c r="F98" s="65"/>
      <c r="G98" s="65"/>
      <c r="H98" s="55" t="s">
        <v>1931</v>
      </c>
      <c r="I98" s="84"/>
      <c r="J98" s="84"/>
      <c r="K98" s="84"/>
      <c r="L98" s="84" t="s">
        <v>1932</v>
      </c>
      <c r="M98" s="357"/>
      <c r="N98" s="364">
        <v>0</v>
      </c>
    </row>
    <row r="99" spans="1:14" x14ac:dyDescent="0.25">
      <c r="A99" s="348">
        <v>0</v>
      </c>
      <c r="B99" s="365" t="s">
        <v>61</v>
      </c>
      <c r="C99" s="43"/>
      <c r="D99" s="65"/>
      <c r="E99" s="65"/>
      <c r="F99" s="65"/>
      <c r="G99" s="65"/>
      <c r="H99" s="43"/>
      <c r="I99" s="86"/>
      <c r="J99" s="86"/>
      <c r="K99" s="86"/>
      <c r="L99" s="86"/>
      <c r="M99" s="357"/>
      <c r="N99" s="364">
        <v>0</v>
      </c>
    </row>
    <row r="100" spans="1:14" x14ac:dyDescent="0.25">
      <c r="A100" s="348">
        <v>0</v>
      </c>
      <c r="B100" s="365" t="s">
        <v>62</v>
      </c>
      <c r="C100" s="43"/>
      <c r="D100" s="65"/>
      <c r="E100" s="65"/>
      <c r="F100" s="65"/>
      <c r="G100" s="65"/>
      <c r="H100" s="43"/>
      <c r="I100" s="86"/>
      <c r="J100" s="86"/>
      <c r="K100" s="86"/>
      <c r="L100" s="86"/>
      <c r="M100" s="357"/>
      <c r="N100" s="364">
        <v>0</v>
      </c>
    </row>
    <row r="101" spans="1:14" x14ac:dyDescent="0.25">
      <c r="A101" s="348">
        <v>0</v>
      </c>
      <c r="B101" s="365" t="s">
        <v>63</v>
      </c>
      <c r="C101" s="43"/>
      <c r="D101" s="65"/>
      <c r="E101" s="65"/>
      <c r="F101" s="65"/>
      <c r="G101" s="65"/>
      <c r="H101" s="43"/>
      <c r="I101" s="86"/>
      <c r="J101" s="86"/>
      <c r="K101" s="86"/>
      <c r="L101" s="86"/>
      <c r="M101" s="357"/>
      <c r="N101" s="364">
        <v>0</v>
      </c>
    </row>
    <row r="102" spans="1:14" x14ac:dyDescent="0.25">
      <c r="A102" s="349">
        <f>SUM(A95:A101)</f>
        <v>1631</v>
      </c>
      <c r="B102" s="365" t="s">
        <v>64</v>
      </c>
      <c r="C102" s="43"/>
      <c r="D102" s="65"/>
      <c r="E102" s="65"/>
      <c r="F102" s="65"/>
      <c r="G102" s="65"/>
      <c r="H102" s="43"/>
      <c r="I102" s="86"/>
      <c r="J102" s="86"/>
      <c r="K102" s="86"/>
      <c r="L102" s="86"/>
      <c r="M102" s="357"/>
      <c r="N102" s="366">
        <f>SUM(N94:N101)</f>
        <v>6156</v>
      </c>
    </row>
    <row r="103" spans="1:14" ht="63" x14ac:dyDescent="0.25">
      <c r="A103" s="347">
        <f>A94+1</f>
        <v>44579</v>
      </c>
      <c r="B103" s="361" t="s">
        <v>1851</v>
      </c>
      <c r="C103" s="43"/>
      <c r="D103" s="362" t="s">
        <v>1852</v>
      </c>
      <c r="E103" s="363"/>
      <c r="F103" s="363"/>
      <c r="G103" s="363"/>
      <c r="H103" s="55" t="s">
        <v>1933</v>
      </c>
      <c r="I103" s="57">
        <v>36</v>
      </c>
      <c r="J103" s="57" t="s">
        <v>1934</v>
      </c>
      <c r="K103" s="57" t="s">
        <v>1935</v>
      </c>
      <c r="L103" s="125">
        <v>44585</v>
      </c>
      <c r="M103" s="357"/>
      <c r="N103" s="364">
        <v>1485</v>
      </c>
    </row>
    <row r="104" spans="1:14" ht="31.5" x14ac:dyDescent="0.25">
      <c r="A104" s="348">
        <v>0</v>
      </c>
      <c r="B104" s="365" t="s">
        <v>57</v>
      </c>
      <c r="C104" s="43"/>
      <c r="D104" s="362" t="s">
        <v>1936</v>
      </c>
      <c r="E104" s="363"/>
      <c r="F104" s="363"/>
      <c r="G104" s="363"/>
      <c r="H104" s="55" t="s">
        <v>1937</v>
      </c>
      <c r="I104" s="84"/>
      <c r="J104" s="84"/>
      <c r="K104" s="84"/>
      <c r="L104" s="84"/>
      <c r="M104" s="357"/>
      <c r="N104" s="364">
        <v>0</v>
      </c>
    </row>
    <row r="105" spans="1:14" x14ac:dyDescent="0.25">
      <c r="A105" s="348">
        <v>0</v>
      </c>
      <c r="B105" s="365" t="s">
        <v>58</v>
      </c>
      <c r="C105" s="43"/>
      <c r="D105" s="363"/>
      <c r="E105" s="363"/>
      <c r="F105" s="363"/>
      <c r="G105" s="363"/>
      <c r="H105" s="43"/>
      <c r="I105" s="84"/>
      <c r="J105" s="84"/>
      <c r="K105" s="84"/>
      <c r="L105" s="84"/>
      <c r="M105" s="357"/>
      <c r="N105" s="364">
        <v>0</v>
      </c>
    </row>
    <row r="106" spans="1:14" x14ac:dyDescent="0.25">
      <c r="A106" s="348">
        <v>0</v>
      </c>
      <c r="B106" s="365" t="s">
        <v>59</v>
      </c>
      <c r="C106" s="43"/>
      <c r="D106" s="363"/>
      <c r="E106" s="363"/>
      <c r="F106" s="363"/>
      <c r="G106" s="363"/>
      <c r="H106" s="43"/>
      <c r="I106" s="84"/>
      <c r="J106" s="84"/>
      <c r="K106" s="84"/>
      <c r="L106" s="84"/>
      <c r="M106" s="357"/>
      <c r="N106" s="364">
        <v>2091</v>
      </c>
    </row>
    <row r="107" spans="1:14" x14ac:dyDescent="0.25">
      <c r="A107" s="348">
        <v>0</v>
      </c>
      <c r="B107" s="365" t="s">
        <v>60</v>
      </c>
      <c r="C107" s="43"/>
      <c r="D107" s="363"/>
      <c r="E107" s="363"/>
      <c r="F107" s="363"/>
      <c r="G107" s="363"/>
      <c r="H107" s="43"/>
      <c r="I107" s="84"/>
      <c r="J107" s="84"/>
      <c r="K107" s="84"/>
      <c r="L107" s="84"/>
      <c r="M107" s="357"/>
      <c r="N107" s="364">
        <v>0</v>
      </c>
    </row>
    <row r="108" spans="1:14" x14ac:dyDescent="0.25">
      <c r="A108" s="348">
        <v>0</v>
      </c>
      <c r="B108" s="365" t="s">
        <v>61</v>
      </c>
      <c r="C108" s="43"/>
      <c r="D108" s="363"/>
      <c r="E108" s="363"/>
      <c r="F108" s="363"/>
      <c r="G108" s="363"/>
      <c r="H108" s="43"/>
      <c r="I108" s="84"/>
      <c r="J108" s="84"/>
      <c r="K108" s="84"/>
      <c r="L108" s="84"/>
      <c r="M108" s="357"/>
      <c r="N108" s="364">
        <v>0</v>
      </c>
    </row>
    <row r="109" spans="1:14" x14ac:dyDescent="0.25">
      <c r="A109" s="348">
        <v>0</v>
      </c>
      <c r="B109" s="365" t="s">
        <v>62</v>
      </c>
      <c r="C109" s="43"/>
      <c r="D109" s="363"/>
      <c r="E109" s="363"/>
      <c r="F109" s="363"/>
      <c r="G109" s="363"/>
      <c r="H109" s="43"/>
      <c r="I109" s="84"/>
      <c r="J109" s="84"/>
      <c r="K109" s="84"/>
      <c r="L109" s="84"/>
      <c r="M109" s="357"/>
      <c r="N109" s="364">
        <v>0</v>
      </c>
    </row>
    <row r="110" spans="1:14" x14ac:dyDescent="0.25">
      <c r="A110" s="348">
        <v>0</v>
      </c>
      <c r="B110" s="365" t="s">
        <v>63</v>
      </c>
      <c r="C110" s="43"/>
      <c r="D110" s="363"/>
      <c r="E110" s="363"/>
      <c r="F110" s="363"/>
      <c r="G110" s="363"/>
      <c r="H110" s="43"/>
      <c r="I110" s="84"/>
      <c r="J110" s="84"/>
      <c r="K110" s="84"/>
      <c r="L110" s="84"/>
      <c r="M110" s="357"/>
      <c r="N110" s="364">
        <v>0</v>
      </c>
    </row>
    <row r="111" spans="1:14" x14ac:dyDescent="0.25">
      <c r="A111" s="349">
        <f>SUM(A104:A110)</f>
        <v>0</v>
      </c>
      <c r="B111" s="365" t="s">
        <v>64</v>
      </c>
      <c r="C111" s="43"/>
      <c r="D111" s="363"/>
      <c r="E111" s="363"/>
      <c r="F111" s="363"/>
      <c r="G111" s="363"/>
      <c r="H111" s="43"/>
      <c r="I111" s="84"/>
      <c r="J111" s="84"/>
      <c r="K111" s="84"/>
      <c r="L111" s="84"/>
      <c r="M111" s="357"/>
      <c r="N111" s="366">
        <f>SUM(N103:N110)</f>
        <v>3576</v>
      </c>
    </row>
    <row r="112" spans="1:14" ht="47.25" x14ac:dyDescent="0.25">
      <c r="A112" s="347">
        <f>A103+1</f>
        <v>44580</v>
      </c>
      <c r="B112" s="361" t="s">
        <v>1851</v>
      </c>
      <c r="C112" s="43"/>
      <c r="D112" s="362" t="s">
        <v>1852</v>
      </c>
      <c r="E112" s="363"/>
      <c r="F112" s="363"/>
      <c r="G112" s="363"/>
      <c r="H112" s="55" t="s">
        <v>1938</v>
      </c>
      <c r="I112" s="84">
        <v>60</v>
      </c>
      <c r="J112" s="84" t="s">
        <v>85</v>
      </c>
      <c r="K112" s="84" t="s">
        <v>1939</v>
      </c>
      <c r="L112" s="136">
        <v>44582</v>
      </c>
      <c r="M112" s="357"/>
      <c r="N112" s="364">
        <v>1138</v>
      </c>
    </row>
    <row r="113" spans="1:14" x14ac:dyDescent="0.25">
      <c r="A113" s="348">
        <v>0</v>
      </c>
      <c r="B113" s="365" t="s">
        <v>57</v>
      </c>
      <c r="C113" s="43"/>
      <c r="D113" s="362" t="s">
        <v>1936</v>
      </c>
      <c r="E113" s="363"/>
      <c r="F113" s="363"/>
      <c r="G113" s="363"/>
      <c r="H113" s="55" t="s">
        <v>1940</v>
      </c>
      <c r="I113" s="84"/>
      <c r="J113" s="84"/>
      <c r="K113" s="84"/>
      <c r="L113" s="84"/>
      <c r="M113" s="357"/>
      <c r="N113" s="364">
        <v>0</v>
      </c>
    </row>
    <row r="114" spans="1:14" x14ac:dyDescent="0.25">
      <c r="A114" s="348">
        <v>0</v>
      </c>
      <c r="B114" s="365" t="s">
        <v>58</v>
      </c>
      <c r="C114" s="43"/>
      <c r="D114" s="363"/>
      <c r="E114" s="363"/>
      <c r="F114" s="363"/>
      <c r="G114" s="363"/>
      <c r="H114" s="43"/>
      <c r="I114" s="86"/>
      <c r="J114" s="86"/>
      <c r="K114" s="86"/>
      <c r="L114" s="86"/>
      <c r="M114" s="357"/>
      <c r="N114" s="364">
        <v>0</v>
      </c>
    </row>
    <row r="115" spans="1:14" x14ac:dyDescent="0.25">
      <c r="A115" s="348">
        <v>0</v>
      </c>
      <c r="B115" s="365" t="s">
        <v>59</v>
      </c>
      <c r="C115" s="43"/>
      <c r="D115" s="363"/>
      <c r="E115" s="363"/>
      <c r="F115" s="363"/>
      <c r="G115" s="363"/>
      <c r="H115" s="43"/>
      <c r="I115" s="86"/>
      <c r="J115" s="86"/>
      <c r="K115" s="86"/>
      <c r="L115" s="86"/>
      <c r="M115" s="357"/>
      <c r="N115" s="364">
        <v>0</v>
      </c>
    </row>
    <row r="116" spans="1:14" x14ac:dyDescent="0.25">
      <c r="A116" s="348">
        <v>0</v>
      </c>
      <c r="B116" s="365" t="s">
        <v>60</v>
      </c>
      <c r="C116" s="43"/>
      <c r="D116" s="363"/>
      <c r="E116" s="363"/>
      <c r="F116" s="363"/>
      <c r="G116" s="363"/>
      <c r="H116" s="43"/>
      <c r="I116" s="86"/>
      <c r="J116" s="86"/>
      <c r="K116" s="86"/>
      <c r="L116" s="86"/>
      <c r="M116" s="357"/>
      <c r="N116" s="364">
        <v>0</v>
      </c>
    </row>
    <row r="117" spans="1:14" ht="47.25" x14ac:dyDescent="0.25">
      <c r="A117" s="348">
        <v>0</v>
      </c>
      <c r="B117" s="365" t="s">
        <v>61</v>
      </c>
      <c r="C117" s="43"/>
      <c r="D117" s="363"/>
      <c r="E117" s="363"/>
      <c r="F117" s="363"/>
      <c r="G117" s="363"/>
      <c r="H117" s="55" t="s">
        <v>1941</v>
      </c>
      <c r="I117" s="84">
        <v>60</v>
      </c>
      <c r="J117" s="84" t="s">
        <v>25</v>
      </c>
      <c r="K117" s="84" t="s">
        <v>1942</v>
      </c>
      <c r="L117" s="136">
        <v>44582</v>
      </c>
      <c r="M117" s="357"/>
      <c r="N117" s="364">
        <v>733</v>
      </c>
    </row>
    <row r="118" spans="1:14" x14ac:dyDescent="0.25">
      <c r="A118" s="348">
        <v>0</v>
      </c>
      <c r="B118" s="365" t="s">
        <v>62</v>
      </c>
      <c r="C118" s="43"/>
      <c r="D118" s="363"/>
      <c r="E118" s="363"/>
      <c r="F118" s="363"/>
      <c r="G118" s="363"/>
      <c r="H118" s="55"/>
      <c r="I118" s="57"/>
      <c r="J118" s="57"/>
      <c r="K118" s="57"/>
      <c r="L118" s="57"/>
      <c r="M118" s="357"/>
      <c r="N118" s="364">
        <v>0</v>
      </c>
    </row>
    <row r="119" spans="1:14" x14ac:dyDescent="0.25">
      <c r="A119" s="348">
        <v>0</v>
      </c>
      <c r="B119" s="365" t="s">
        <v>63</v>
      </c>
      <c r="C119" s="43"/>
      <c r="D119" s="363"/>
      <c r="E119" s="363"/>
      <c r="F119" s="363"/>
      <c r="G119" s="363"/>
      <c r="H119" s="43"/>
      <c r="I119" s="84"/>
      <c r="J119" s="84"/>
      <c r="K119" s="84"/>
      <c r="L119" s="84"/>
      <c r="M119" s="357"/>
      <c r="N119" s="364">
        <v>0</v>
      </c>
    </row>
    <row r="120" spans="1:14" x14ac:dyDescent="0.25">
      <c r="A120" s="349">
        <f>SUM(A113:A119)</f>
        <v>0</v>
      </c>
      <c r="B120" s="365" t="s">
        <v>64</v>
      </c>
      <c r="C120" s="43"/>
      <c r="D120" s="363"/>
      <c r="E120" s="363"/>
      <c r="F120" s="363"/>
      <c r="G120" s="363"/>
      <c r="H120" s="43"/>
      <c r="I120" s="86"/>
      <c r="J120" s="86"/>
      <c r="K120" s="86"/>
      <c r="L120" s="86"/>
      <c r="M120" s="357"/>
      <c r="N120" s="366">
        <f>SUM(N112:N119)</f>
        <v>1871</v>
      </c>
    </row>
    <row r="121" spans="1:14" ht="63" x14ac:dyDescent="0.25">
      <c r="A121" s="347">
        <f>A112+1</f>
        <v>44581</v>
      </c>
      <c r="B121" s="361" t="s">
        <v>1851</v>
      </c>
      <c r="C121" s="43"/>
      <c r="D121" s="362" t="s">
        <v>1852</v>
      </c>
      <c r="E121" s="363"/>
      <c r="F121" s="363"/>
      <c r="G121" s="363"/>
      <c r="H121" s="55" t="s">
        <v>1943</v>
      </c>
      <c r="I121" s="84">
        <v>68</v>
      </c>
      <c r="J121" s="84" t="s">
        <v>481</v>
      </c>
      <c r="K121" s="84" t="s">
        <v>1944</v>
      </c>
      <c r="L121" s="136">
        <v>44586</v>
      </c>
      <c r="M121" s="357"/>
      <c r="N121" s="364">
        <v>2000</v>
      </c>
    </row>
    <row r="122" spans="1:14" x14ac:dyDescent="0.25">
      <c r="A122" s="348">
        <v>1433</v>
      </c>
      <c r="B122" s="365" t="s">
        <v>57</v>
      </c>
      <c r="C122" s="43"/>
      <c r="D122" s="362" t="s">
        <v>1936</v>
      </c>
      <c r="E122" s="363"/>
      <c r="F122" s="363"/>
      <c r="G122" s="363"/>
      <c r="H122" s="43"/>
      <c r="I122" s="86"/>
      <c r="J122" s="86"/>
      <c r="K122" s="86"/>
      <c r="L122" s="86"/>
      <c r="M122" s="357"/>
      <c r="N122" s="364">
        <v>0</v>
      </c>
    </row>
    <row r="123" spans="1:14" x14ac:dyDescent="0.25">
      <c r="A123" s="348">
        <v>0</v>
      </c>
      <c r="B123" s="365" t="s">
        <v>58</v>
      </c>
      <c r="C123" s="43"/>
      <c r="D123" s="363"/>
      <c r="E123" s="363"/>
      <c r="F123" s="363"/>
      <c r="G123" s="363"/>
      <c r="H123" s="43"/>
      <c r="I123" s="86"/>
      <c r="J123" s="86"/>
      <c r="K123" s="86"/>
      <c r="L123" s="86"/>
      <c r="M123" s="357"/>
      <c r="N123" s="364">
        <v>0</v>
      </c>
    </row>
    <row r="124" spans="1:14" x14ac:dyDescent="0.25">
      <c r="A124" s="348">
        <v>0</v>
      </c>
      <c r="B124" s="365" t="s">
        <v>59</v>
      </c>
      <c r="C124" s="43"/>
      <c r="D124" s="363"/>
      <c r="E124" s="363"/>
      <c r="F124" s="363"/>
      <c r="G124" s="363"/>
      <c r="H124" s="43"/>
      <c r="I124" s="86"/>
      <c r="J124" s="86"/>
      <c r="K124" s="86"/>
      <c r="L124" s="86"/>
      <c r="M124" s="357"/>
      <c r="N124" s="364">
        <v>0</v>
      </c>
    </row>
    <row r="125" spans="1:14" x14ac:dyDescent="0.25">
      <c r="A125" s="348">
        <v>0</v>
      </c>
      <c r="B125" s="365" t="s">
        <v>60</v>
      </c>
      <c r="C125" s="43"/>
      <c r="D125" s="363"/>
      <c r="E125" s="363"/>
      <c r="F125" s="363"/>
      <c r="G125" s="363"/>
      <c r="H125" s="43"/>
      <c r="I125" s="86"/>
      <c r="J125" s="86"/>
      <c r="K125" s="86"/>
      <c r="L125" s="86"/>
      <c r="M125" s="357"/>
      <c r="N125" s="364">
        <v>0</v>
      </c>
    </row>
    <row r="126" spans="1:14" x14ac:dyDescent="0.25">
      <c r="A126" s="348">
        <v>0</v>
      </c>
      <c r="B126" s="365" t="s">
        <v>61</v>
      </c>
      <c r="C126" s="43"/>
      <c r="D126" s="363"/>
      <c r="E126" s="363"/>
      <c r="F126" s="363"/>
      <c r="G126" s="363"/>
      <c r="H126" s="43"/>
      <c r="I126" s="86"/>
      <c r="J126" s="86"/>
      <c r="K126" s="86"/>
      <c r="L126" s="86"/>
      <c r="M126" s="357"/>
      <c r="N126" s="364">
        <v>0</v>
      </c>
    </row>
    <row r="127" spans="1:14" x14ac:dyDescent="0.25">
      <c r="A127" s="348">
        <v>0</v>
      </c>
      <c r="B127" s="365" t="s">
        <v>62</v>
      </c>
      <c r="C127" s="43"/>
      <c r="D127" s="363"/>
      <c r="E127" s="363"/>
      <c r="F127" s="363"/>
      <c r="G127" s="363"/>
      <c r="H127" s="43"/>
      <c r="I127" s="86"/>
      <c r="J127" s="86"/>
      <c r="K127" s="86"/>
      <c r="L127" s="86"/>
      <c r="M127" s="357"/>
      <c r="N127" s="364">
        <v>0</v>
      </c>
    </row>
    <row r="128" spans="1:14" x14ac:dyDescent="0.25">
      <c r="A128" s="348">
        <v>0</v>
      </c>
      <c r="B128" s="365" t="s">
        <v>63</v>
      </c>
      <c r="C128" s="43"/>
      <c r="D128" s="363"/>
      <c r="E128" s="363"/>
      <c r="F128" s="363"/>
      <c r="G128" s="363"/>
      <c r="H128" s="43"/>
      <c r="I128" s="86"/>
      <c r="J128" s="86"/>
      <c r="K128" s="86"/>
      <c r="L128" s="86"/>
      <c r="M128" s="357"/>
      <c r="N128" s="364">
        <v>0</v>
      </c>
    </row>
    <row r="129" spans="1:14" x14ac:dyDescent="0.25">
      <c r="A129" s="349">
        <f>SUM(A122:A128)</f>
        <v>1433</v>
      </c>
      <c r="B129" s="365" t="s">
        <v>64</v>
      </c>
      <c r="C129" s="43"/>
      <c r="D129" s="363"/>
      <c r="E129" s="363"/>
      <c r="F129" s="363"/>
      <c r="G129" s="363"/>
      <c r="H129" s="43"/>
      <c r="I129" s="86"/>
      <c r="J129" s="86"/>
      <c r="K129" s="86"/>
      <c r="L129" s="86"/>
      <c r="M129" s="357"/>
      <c r="N129" s="366">
        <f>SUM(N121:N128)</f>
        <v>2000</v>
      </c>
    </row>
    <row r="130" spans="1:14" x14ac:dyDescent="0.25">
      <c r="A130" s="347">
        <f>A121+1</f>
        <v>44582</v>
      </c>
      <c r="B130" s="361" t="s">
        <v>1851</v>
      </c>
      <c r="C130" s="43"/>
      <c r="D130" s="362" t="s">
        <v>1852</v>
      </c>
      <c r="E130" s="363"/>
      <c r="F130" s="363"/>
      <c r="G130" s="363"/>
      <c r="H130" s="43"/>
      <c r="I130" s="37" t="s">
        <v>1945</v>
      </c>
      <c r="J130" s="37"/>
      <c r="K130" s="37"/>
      <c r="L130" s="37"/>
      <c r="M130" s="357"/>
      <c r="N130" s="364">
        <v>1400</v>
      </c>
    </row>
    <row r="131" spans="1:14" x14ac:dyDescent="0.25">
      <c r="A131" s="348">
        <v>0</v>
      </c>
      <c r="B131" s="365" t="s">
        <v>57</v>
      </c>
      <c r="C131" s="43"/>
      <c r="D131" s="362"/>
      <c r="E131" s="363"/>
      <c r="F131" s="363"/>
      <c r="G131" s="363"/>
      <c r="H131" s="43"/>
      <c r="I131" s="37" t="s">
        <v>1946</v>
      </c>
      <c r="J131" s="37"/>
      <c r="K131" s="37"/>
      <c r="L131" s="37"/>
      <c r="M131" s="357"/>
      <c r="N131" s="364">
        <v>0</v>
      </c>
    </row>
    <row r="132" spans="1:14" x14ac:dyDescent="0.25">
      <c r="A132" s="348">
        <v>0</v>
      </c>
      <c r="B132" s="365" t="s">
        <v>58</v>
      </c>
      <c r="C132" s="43"/>
      <c r="D132" s="363"/>
      <c r="E132" s="363"/>
      <c r="F132" s="363"/>
      <c r="G132" s="363"/>
      <c r="H132" s="43"/>
      <c r="I132" s="37"/>
      <c r="J132" s="37"/>
      <c r="K132" s="37"/>
      <c r="L132" s="37"/>
      <c r="M132" s="357"/>
      <c r="N132" s="364">
        <v>0</v>
      </c>
    </row>
    <row r="133" spans="1:14" x14ac:dyDescent="0.25">
      <c r="A133" s="348">
        <v>0</v>
      </c>
      <c r="B133" s="365" t="s">
        <v>59</v>
      </c>
      <c r="C133" s="43"/>
      <c r="D133" s="363"/>
      <c r="E133" s="363"/>
      <c r="F133" s="363"/>
      <c r="G133" s="363"/>
      <c r="H133" s="43"/>
      <c r="I133" s="37"/>
      <c r="J133" s="37"/>
      <c r="K133" s="37"/>
      <c r="L133" s="37"/>
      <c r="M133" s="357"/>
      <c r="N133" s="364">
        <v>0</v>
      </c>
    </row>
    <row r="134" spans="1:14" x14ac:dyDescent="0.25">
      <c r="A134" s="348">
        <v>0</v>
      </c>
      <c r="B134" s="365" t="s">
        <v>60</v>
      </c>
      <c r="C134" s="43"/>
      <c r="D134" s="363"/>
      <c r="E134" s="363"/>
      <c r="F134" s="363"/>
      <c r="G134" s="363"/>
      <c r="H134" s="43"/>
      <c r="I134" s="37"/>
      <c r="J134" s="37"/>
      <c r="K134" s="37"/>
      <c r="L134" s="37"/>
      <c r="M134" s="357"/>
      <c r="N134" s="364">
        <v>0</v>
      </c>
    </row>
    <row r="135" spans="1:14" x14ac:dyDescent="0.25">
      <c r="A135" s="348">
        <v>0</v>
      </c>
      <c r="B135" s="365" t="s">
        <v>61</v>
      </c>
      <c r="C135" s="43"/>
      <c r="D135" s="363"/>
      <c r="E135" s="363"/>
      <c r="F135" s="363"/>
      <c r="G135" s="363"/>
      <c r="H135" s="43"/>
      <c r="I135" s="37"/>
      <c r="J135" s="37"/>
      <c r="K135" s="37"/>
      <c r="L135" s="37"/>
      <c r="M135" s="357"/>
      <c r="N135" s="364">
        <v>495</v>
      </c>
    </row>
    <row r="136" spans="1:14" x14ac:dyDescent="0.25">
      <c r="A136" s="348">
        <v>0</v>
      </c>
      <c r="B136" s="365" t="s">
        <v>62</v>
      </c>
      <c r="C136" s="43"/>
      <c r="D136" s="363"/>
      <c r="E136" s="363"/>
      <c r="F136" s="363"/>
      <c r="G136" s="363"/>
      <c r="H136" s="43"/>
      <c r="I136" s="37"/>
      <c r="J136" s="37"/>
      <c r="K136" s="37"/>
      <c r="L136" s="37"/>
      <c r="M136" s="357"/>
      <c r="N136" s="364">
        <v>0</v>
      </c>
    </row>
    <row r="137" spans="1:14" x14ac:dyDescent="0.25">
      <c r="A137" s="348">
        <v>0</v>
      </c>
      <c r="B137" s="365" t="s">
        <v>63</v>
      </c>
      <c r="C137" s="43"/>
      <c r="D137" s="363"/>
      <c r="E137" s="363"/>
      <c r="F137" s="363"/>
      <c r="G137" s="363"/>
      <c r="H137" s="43"/>
      <c r="I137" s="37"/>
      <c r="J137" s="37"/>
      <c r="K137" s="37"/>
      <c r="L137" s="37"/>
      <c r="M137" s="357"/>
      <c r="N137" s="364">
        <v>0</v>
      </c>
    </row>
    <row r="138" spans="1:14" x14ac:dyDescent="0.25">
      <c r="A138" s="349">
        <f>SUM(A131:A137)</f>
        <v>0</v>
      </c>
      <c r="B138" s="365" t="s">
        <v>64</v>
      </c>
      <c r="C138" s="43"/>
      <c r="D138" s="363"/>
      <c r="E138" s="363"/>
      <c r="F138" s="363"/>
      <c r="G138" s="363"/>
      <c r="H138" s="43"/>
      <c r="I138" s="37"/>
      <c r="J138" s="37"/>
      <c r="K138" s="37"/>
      <c r="L138" s="37"/>
      <c r="M138" s="357"/>
      <c r="N138" s="366">
        <f>SUM(N130:N137)</f>
        <v>1895</v>
      </c>
    </row>
    <row r="139" spans="1:14" ht="31.5" x14ac:dyDescent="0.25">
      <c r="A139" s="347">
        <f>A130+3</f>
        <v>44585</v>
      </c>
      <c r="B139" s="361" t="s">
        <v>1851</v>
      </c>
      <c r="C139" s="55" t="s">
        <v>1947</v>
      </c>
      <c r="D139" s="57">
        <v>36</v>
      </c>
      <c r="E139" s="57" t="s">
        <v>151</v>
      </c>
      <c r="F139" s="57" t="s">
        <v>1948</v>
      </c>
      <c r="G139" s="125">
        <v>44580</v>
      </c>
      <c r="H139" s="87" t="s">
        <v>1949</v>
      </c>
      <c r="I139" s="172"/>
      <c r="J139" s="172"/>
      <c r="K139" s="172"/>
      <c r="L139" s="172"/>
      <c r="M139" s="357"/>
      <c r="N139" s="364">
        <v>0</v>
      </c>
    </row>
    <row r="140" spans="1:14" x14ac:dyDescent="0.25">
      <c r="A140" s="348">
        <v>0</v>
      </c>
      <c r="B140" s="365" t="s">
        <v>57</v>
      </c>
      <c r="C140" s="55" t="s">
        <v>1950</v>
      </c>
      <c r="D140" s="65"/>
      <c r="E140" s="65"/>
      <c r="F140" s="65"/>
      <c r="G140" s="65"/>
      <c r="H140" s="87"/>
      <c r="I140" s="172"/>
      <c r="J140" s="172"/>
      <c r="K140" s="172"/>
      <c r="L140" s="172"/>
      <c r="M140" s="357"/>
      <c r="N140" s="364">
        <v>1500</v>
      </c>
    </row>
    <row r="141" spans="1:14" ht="63" x14ac:dyDescent="0.25">
      <c r="A141" s="348">
        <v>0</v>
      </c>
      <c r="B141" s="365" t="s">
        <v>58</v>
      </c>
      <c r="C141" s="55" t="s">
        <v>1951</v>
      </c>
      <c r="D141" s="103">
        <v>49.125</v>
      </c>
      <c r="E141" s="84" t="s">
        <v>1145</v>
      </c>
      <c r="F141" s="84" t="s">
        <v>1952</v>
      </c>
      <c r="G141" s="84" t="s">
        <v>1953</v>
      </c>
      <c r="H141" s="87"/>
      <c r="I141" s="172"/>
      <c r="J141" s="172"/>
      <c r="K141" s="172"/>
      <c r="L141" s="172"/>
      <c r="M141" s="357"/>
      <c r="N141" s="364">
        <v>0</v>
      </c>
    </row>
    <row r="142" spans="1:14" ht="63" x14ac:dyDescent="0.25">
      <c r="A142" s="348">
        <v>0</v>
      </c>
      <c r="B142" s="365" t="s">
        <v>59</v>
      </c>
      <c r="C142" s="55"/>
      <c r="D142" s="84" t="s">
        <v>1954</v>
      </c>
      <c r="E142" s="84"/>
      <c r="F142" s="84"/>
      <c r="G142" s="84"/>
      <c r="H142" s="87"/>
      <c r="I142" s="172"/>
      <c r="J142" s="172"/>
      <c r="K142" s="172"/>
      <c r="L142" s="172"/>
      <c r="M142" s="357"/>
      <c r="N142" s="364">
        <v>0</v>
      </c>
    </row>
    <row r="143" spans="1:14" x14ac:dyDescent="0.25">
      <c r="A143" s="348">
        <v>0</v>
      </c>
      <c r="B143" s="365" t="s">
        <v>60</v>
      </c>
      <c r="C143" s="43"/>
      <c r="D143" s="86" t="s">
        <v>1955</v>
      </c>
      <c r="E143" s="86"/>
      <c r="F143" s="86"/>
      <c r="G143" s="86"/>
      <c r="H143" s="87"/>
      <c r="I143" s="172"/>
      <c r="J143" s="172"/>
      <c r="K143" s="172"/>
      <c r="L143" s="172"/>
      <c r="M143" s="357"/>
      <c r="N143" s="364">
        <v>0</v>
      </c>
    </row>
    <row r="144" spans="1:14" ht="63" x14ac:dyDescent="0.25">
      <c r="A144" s="348">
        <v>0</v>
      </c>
      <c r="B144" s="365" t="s">
        <v>61</v>
      </c>
      <c r="C144" s="43"/>
      <c r="D144" s="86" t="s">
        <v>1956</v>
      </c>
      <c r="E144" s="86"/>
      <c r="F144" s="86"/>
      <c r="G144" s="86"/>
      <c r="H144" s="55" t="s">
        <v>1957</v>
      </c>
      <c r="I144" s="57">
        <v>60</v>
      </c>
      <c r="J144" s="57" t="s">
        <v>1875</v>
      </c>
      <c r="K144" s="57" t="s">
        <v>1958</v>
      </c>
      <c r="L144" s="125">
        <v>44586</v>
      </c>
      <c r="M144" s="357"/>
      <c r="N144" s="364">
        <v>495</v>
      </c>
    </row>
    <row r="145" spans="1:14" ht="63" x14ac:dyDescent="0.25">
      <c r="A145" s="348">
        <v>0</v>
      </c>
      <c r="B145" s="365" t="s">
        <v>62</v>
      </c>
      <c r="C145" s="55" t="s">
        <v>1959</v>
      </c>
      <c r="D145" s="56">
        <v>30</v>
      </c>
      <c r="E145" s="57" t="s">
        <v>1960</v>
      </c>
      <c r="F145" s="57" t="s">
        <v>1961</v>
      </c>
      <c r="G145" s="125">
        <v>44202</v>
      </c>
      <c r="H145" s="55" t="s">
        <v>1962</v>
      </c>
      <c r="I145" s="57"/>
      <c r="J145" s="57"/>
      <c r="K145" s="57"/>
      <c r="L145" s="178" t="s">
        <v>1217</v>
      </c>
      <c r="M145" s="357"/>
      <c r="N145" s="364">
        <v>0</v>
      </c>
    </row>
    <row r="146" spans="1:14" x14ac:dyDescent="0.25">
      <c r="A146" s="348">
        <v>0</v>
      </c>
      <c r="B146" s="365" t="s">
        <v>63</v>
      </c>
      <c r="C146" s="43"/>
      <c r="D146" s="65"/>
      <c r="E146" s="65"/>
      <c r="F146" s="65"/>
      <c r="G146" s="57"/>
      <c r="H146" s="43"/>
      <c r="I146" s="65"/>
      <c r="J146" s="65"/>
      <c r="K146" s="65"/>
      <c r="L146" s="65"/>
      <c r="M146" s="357"/>
      <c r="N146" s="364">
        <v>0</v>
      </c>
    </row>
    <row r="147" spans="1:14" x14ac:dyDescent="0.25">
      <c r="A147" s="349">
        <f>SUM(A140:A146)</f>
        <v>0</v>
      </c>
      <c r="B147" s="365" t="s">
        <v>64</v>
      </c>
      <c r="C147" s="43"/>
      <c r="D147" s="65"/>
      <c r="E147" s="65"/>
      <c r="F147" s="65"/>
      <c r="G147" s="65"/>
      <c r="H147" s="43"/>
      <c r="I147" s="65"/>
      <c r="J147" s="65"/>
      <c r="K147" s="65"/>
      <c r="L147" s="65"/>
      <c r="M147" s="357"/>
      <c r="N147" s="366">
        <f>SUM(N139:N146)</f>
        <v>1995</v>
      </c>
    </row>
    <row r="148" spans="1:14" ht="63" x14ac:dyDescent="0.25">
      <c r="A148" s="347">
        <f>A139+1</f>
        <v>44586</v>
      </c>
      <c r="B148" s="361" t="s">
        <v>1851</v>
      </c>
      <c r="C148" s="43" t="s">
        <v>1963</v>
      </c>
      <c r="D148" s="65"/>
      <c r="E148" s="65"/>
      <c r="F148" s="65"/>
      <c r="G148" s="65"/>
      <c r="H148" s="55" t="s">
        <v>1964</v>
      </c>
      <c r="I148" s="56">
        <v>36</v>
      </c>
      <c r="J148" s="57" t="s">
        <v>1965</v>
      </c>
      <c r="K148" s="57" t="s">
        <v>1966</v>
      </c>
      <c r="L148" s="57" t="s">
        <v>1967</v>
      </c>
      <c r="M148" s="357"/>
      <c r="N148" s="364">
        <v>1961</v>
      </c>
    </row>
    <row r="149" spans="1:14" x14ac:dyDescent="0.25">
      <c r="A149" s="348">
        <v>1604</v>
      </c>
      <c r="B149" s="365" t="s">
        <v>57</v>
      </c>
      <c r="C149" s="43"/>
      <c r="D149" s="65"/>
      <c r="E149" s="65"/>
      <c r="F149" s="65"/>
      <c r="G149" s="65"/>
      <c r="H149" s="43"/>
      <c r="I149" s="65"/>
      <c r="J149" s="65"/>
      <c r="K149" s="65"/>
      <c r="L149" s="57"/>
      <c r="M149" s="357"/>
      <c r="N149" s="364">
        <v>0</v>
      </c>
    </row>
    <row r="150" spans="1:14" x14ac:dyDescent="0.25">
      <c r="A150" s="348">
        <v>0</v>
      </c>
      <c r="B150" s="365" t="s">
        <v>58</v>
      </c>
      <c r="C150" s="43"/>
      <c r="D150" s="65"/>
      <c r="E150" s="65"/>
      <c r="F150" s="65"/>
      <c r="G150" s="65"/>
      <c r="H150" s="43"/>
      <c r="I150" s="65"/>
      <c r="J150" s="65"/>
      <c r="K150" s="65"/>
      <c r="L150" s="65"/>
      <c r="M150" s="357"/>
      <c r="N150" s="364">
        <v>0</v>
      </c>
    </row>
    <row r="151" spans="1:14" x14ac:dyDescent="0.25">
      <c r="A151" s="348">
        <v>0</v>
      </c>
      <c r="B151" s="365" t="s">
        <v>59</v>
      </c>
      <c r="C151" s="43"/>
      <c r="D151" s="65"/>
      <c r="E151" s="65"/>
      <c r="F151" s="65"/>
      <c r="G151" s="65"/>
      <c r="H151" s="43"/>
      <c r="I151" s="65"/>
      <c r="J151" s="65"/>
      <c r="K151" s="65"/>
      <c r="L151" s="65"/>
      <c r="M151" s="357"/>
      <c r="N151" s="364">
        <v>0</v>
      </c>
    </row>
    <row r="152" spans="1:14" x14ac:dyDescent="0.25">
      <c r="A152" s="348">
        <v>0</v>
      </c>
      <c r="B152" s="365" t="s">
        <v>60</v>
      </c>
      <c r="C152" s="43"/>
      <c r="D152" s="65"/>
      <c r="E152" s="65"/>
      <c r="F152" s="65"/>
      <c r="G152" s="65"/>
      <c r="H152" s="43"/>
      <c r="I152" s="65"/>
      <c r="J152" s="65"/>
      <c r="K152" s="65"/>
      <c r="L152" s="65"/>
      <c r="M152" s="357"/>
      <c r="N152" s="364">
        <v>0</v>
      </c>
    </row>
    <row r="153" spans="1:14" ht="63" x14ac:dyDescent="0.25">
      <c r="A153" s="348">
        <v>0</v>
      </c>
      <c r="B153" s="365" t="s">
        <v>61</v>
      </c>
      <c r="C153" s="43"/>
      <c r="D153" s="65"/>
      <c r="E153" s="65"/>
      <c r="F153" s="65"/>
      <c r="G153" s="65"/>
      <c r="H153" s="55" t="s">
        <v>1968</v>
      </c>
      <c r="I153" s="56">
        <v>36</v>
      </c>
      <c r="J153" s="57" t="s">
        <v>1969</v>
      </c>
      <c r="K153" s="57" t="s">
        <v>1970</v>
      </c>
      <c r="L153" s="57" t="s">
        <v>201</v>
      </c>
      <c r="M153" s="357"/>
      <c r="N153" s="364">
        <v>2251</v>
      </c>
    </row>
    <row r="154" spans="1:14" x14ac:dyDescent="0.25">
      <c r="A154" s="348">
        <v>0</v>
      </c>
      <c r="B154" s="365" t="s">
        <v>62</v>
      </c>
      <c r="C154" s="43"/>
      <c r="D154" s="65"/>
      <c r="E154" s="65"/>
      <c r="F154" s="65"/>
      <c r="G154" s="65"/>
      <c r="H154" s="43"/>
      <c r="I154" s="65"/>
      <c r="J154" s="65"/>
      <c r="K154" s="65"/>
      <c r="L154" s="57"/>
      <c r="M154" s="357"/>
      <c r="N154" s="364">
        <v>0</v>
      </c>
    </row>
    <row r="155" spans="1:14" x14ac:dyDescent="0.25">
      <c r="A155" s="348">
        <v>0</v>
      </c>
      <c r="B155" s="365" t="s">
        <v>63</v>
      </c>
      <c r="C155" s="43"/>
      <c r="D155" s="65"/>
      <c r="E155" s="65"/>
      <c r="F155" s="65"/>
      <c r="G155" s="65"/>
      <c r="H155" s="43"/>
      <c r="I155" s="65"/>
      <c r="J155" s="65"/>
      <c r="K155" s="65"/>
      <c r="L155" s="65"/>
      <c r="M155" s="357"/>
      <c r="N155" s="364">
        <v>0</v>
      </c>
    </row>
    <row r="156" spans="1:14" x14ac:dyDescent="0.25">
      <c r="A156" s="349">
        <f>SUM(A149:A155)</f>
        <v>1604</v>
      </c>
      <c r="B156" s="365" t="s">
        <v>64</v>
      </c>
      <c r="C156" s="43"/>
      <c r="D156" s="65"/>
      <c r="E156" s="65"/>
      <c r="F156" s="65"/>
      <c r="G156" s="65"/>
      <c r="H156" s="43"/>
      <c r="I156" s="65"/>
      <c r="J156" s="65"/>
      <c r="K156" s="65"/>
      <c r="L156" s="65"/>
      <c r="M156" s="357"/>
      <c r="N156" s="366">
        <f>SUM(N148:N155)</f>
        <v>4212</v>
      </c>
    </row>
    <row r="157" spans="1:14" ht="63" x14ac:dyDescent="0.25">
      <c r="A157" s="347">
        <f>A148+1</f>
        <v>44587</v>
      </c>
      <c r="B157" s="361" t="s">
        <v>1851</v>
      </c>
      <c r="C157" s="55" t="s">
        <v>1971</v>
      </c>
      <c r="D157" s="84">
        <v>60</v>
      </c>
      <c r="E157" s="84" t="s">
        <v>100</v>
      </c>
      <c r="F157" s="84" t="s">
        <v>1972</v>
      </c>
      <c r="G157" s="136">
        <v>44588</v>
      </c>
      <c r="H157" s="55" t="s">
        <v>1973</v>
      </c>
      <c r="I157" s="57">
        <v>52.5</v>
      </c>
      <c r="J157" s="57" t="s">
        <v>1974</v>
      </c>
      <c r="K157" s="57" t="s">
        <v>1975</v>
      </c>
      <c r="L157" s="125">
        <v>44586</v>
      </c>
      <c r="M157" s="357"/>
      <c r="N157" s="364">
        <v>600</v>
      </c>
    </row>
    <row r="158" spans="1:14" ht="31.5" x14ac:dyDescent="0.25">
      <c r="A158" s="348">
        <v>2700</v>
      </c>
      <c r="B158" s="365" t="s">
        <v>57</v>
      </c>
      <c r="C158" s="55" t="s">
        <v>1976</v>
      </c>
      <c r="D158" s="84"/>
      <c r="E158" s="84"/>
      <c r="F158" s="84"/>
      <c r="G158" s="84"/>
      <c r="H158" s="55"/>
      <c r="I158" s="65"/>
      <c r="J158" s="65"/>
      <c r="K158" s="65"/>
      <c r="L158" s="65"/>
      <c r="M158" s="357"/>
      <c r="N158" s="364">
        <v>0</v>
      </c>
    </row>
    <row r="159" spans="1:14" x14ac:dyDescent="0.25">
      <c r="A159" s="348">
        <v>0</v>
      </c>
      <c r="B159" s="365" t="s">
        <v>58</v>
      </c>
      <c r="C159" s="43"/>
      <c r="D159" s="86"/>
      <c r="E159" s="86"/>
      <c r="F159" s="86"/>
      <c r="G159" s="86"/>
      <c r="H159" s="43"/>
      <c r="I159" s="65"/>
      <c r="J159" s="65"/>
      <c r="K159" s="65"/>
      <c r="L159" s="65"/>
      <c r="M159" s="357"/>
      <c r="N159" s="364">
        <v>0</v>
      </c>
    </row>
    <row r="160" spans="1:14" x14ac:dyDescent="0.25">
      <c r="A160" s="348">
        <v>0</v>
      </c>
      <c r="B160" s="365" t="s">
        <v>59</v>
      </c>
      <c r="C160" s="43"/>
      <c r="D160" s="86"/>
      <c r="E160" s="86"/>
      <c r="F160" s="86"/>
      <c r="G160" s="86"/>
      <c r="H160" s="55"/>
      <c r="I160" s="65"/>
      <c r="J160" s="65"/>
      <c r="K160" s="65"/>
      <c r="L160" s="65"/>
      <c r="M160" s="357"/>
      <c r="N160" s="364">
        <v>0</v>
      </c>
    </row>
    <row r="161" spans="1:14" ht="78.75" x14ac:dyDescent="0.25">
      <c r="A161" s="348">
        <v>0</v>
      </c>
      <c r="B161" s="365" t="s">
        <v>60</v>
      </c>
      <c r="C161" s="55" t="s">
        <v>1977</v>
      </c>
      <c r="D161" s="57">
        <v>60</v>
      </c>
      <c r="E161" s="57" t="s">
        <v>1978</v>
      </c>
      <c r="F161" s="57" t="s">
        <v>1979</v>
      </c>
      <c r="G161" s="125">
        <v>44593</v>
      </c>
      <c r="H161" s="55" t="s">
        <v>1980</v>
      </c>
      <c r="I161" s="57">
        <v>72</v>
      </c>
      <c r="J161" s="57" t="s">
        <v>610</v>
      </c>
      <c r="K161" s="57" t="s">
        <v>1981</v>
      </c>
      <c r="L161" s="125">
        <v>44580</v>
      </c>
      <c r="M161" s="357"/>
      <c r="N161" s="364">
        <v>0</v>
      </c>
    </row>
    <row r="162" spans="1:14" ht="31.5" x14ac:dyDescent="0.25">
      <c r="A162" s="348">
        <v>0</v>
      </c>
      <c r="B162" s="365" t="s">
        <v>61</v>
      </c>
      <c r="C162" s="43"/>
      <c r="D162" s="65" t="s">
        <v>1982</v>
      </c>
      <c r="E162" s="65"/>
      <c r="F162" s="65"/>
      <c r="G162" s="65"/>
      <c r="H162" s="55" t="s">
        <v>1983</v>
      </c>
      <c r="I162" s="65"/>
      <c r="J162" s="65"/>
      <c r="K162" s="65"/>
      <c r="L162" s="65"/>
      <c r="M162" s="357"/>
      <c r="N162" s="364">
        <v>0</v>
      </c>
    </row>
    <row r="163" spans="1:14" x14ac:dyDescent="0.25">
      <c r="A163" s="348">
        <v>0</v>
      </c>
      <c r="B163" s="365" t="s">
        <v>62</v>
      </c>
      <c r="C163" s="43"/>
      <c r="D163" s="65"/>
      <c r="E163" s="65"/>
      <c r="F163" s="65"/>
      <c r="G163" s="65"/>
      <c r="H163" s="43"/>
      <c r="I163" s="65"/>
      <c r="J163" s="65"/>
      <c r="K163" s="65"/>
      <c r="L163" s="65"/>
      <c r="M163" s="357"/>
      <c r="N163" s="364">
        <v>0</v>
      </c>
    </row>
    <row r="164" spans="1:14" x14ac:dyDescent="0.25">
      <c r="A164" s="348">
        <v>0</v>
      </c>
      <c r="B164" s="365" t="s">
        <v>63</v>
      </c>
      <c r="C164" s="43"/>
      <c r="D164" s="65"/>
      <c r="E164" s="65"/>
      <c r="F164" s="65"/>
      <c r="G164" s="65"/>
      <c r="H164" s="43"/>
      <c r="I164" s="65"/>
      <c r="J164" s="65"/>
      <c r="K164" s="65"/>
      <c r="L164" s="65"/>
      <c r="M164" s="357"/>
      <c r="N164" s="364">
        <v>0</v>
      </c>
    </row>
    <row r="165" spans="1:14" x14ac:dyDescent="0.25">
      <c r="A165" s="349">
        <f>SUM(A158:A164)</f>
        <v>2700</v>
      </c>
      <c r="B165" s="365" t="s">
        <v>64</v>
      </c>
      <c r="C165" s="43"/>
      <c r="D165" s="65"/>
      <c r="E165" s="65"/>
      <c r="F165" s="65"/>
      <c r="G165" s="65"/>
      <c r="H165" s="43"/>
      <c r="I165" s="65"/>
      <c r="J165" s="65"/>
      <c r="K165" s="65"/>
      <c r="L165" s="65"/>
      <c r="M165" s="357"/>
      <c r="N165" s="366">
        <f>SUM(N157:N164)</f>
        <v>600</v>
      </c>
    </row>
    <row r="166" spans="1:14" ht="63" x14ac:dyDescent="0.25">
      <c r="A166" s="347">
        <f>A157+1</f>
        <v>44588</v>
      </c>
      <c r="B166" s="361" t="s">
        <v>1851</v>
      </c>
      <c r="C166" s="55" t="s">
        <v>1984</v>
      </c>
      <c r="D166" s="57">
        <v>54</v>
      </c>
      <c r="E166" s="57" t="s">
        <v>100</v>
      </c>
      <c r="F166" s="57" t="s">
        <v>1985</v>
      </c>
      <c r="G166" s="125">
        <v>44593</v>
      </c>
      <c r="H166" s="55" t="s">
        <v>1986</v>
      </c>
      <c r="I166" s="57">
        <v>60</v>
      </c>
      <c r="J166" s="57" t="s">
        <v>1875</v>
      </c>
      <c r="K166" s="57" t="s">
        <v>1987</v>
      </c>
      <c r="L166" s="125">
        <v>44596</v>
      </c>
      <c r="M166" s="357"/>
      <c r="N166" s="364">
        <v>0</v>
      </c>
    </row>
    <row r="167" spans="1:14" x14ac:dyDescent="0.25">
      <c r="A167" s="348">
        <v>2213</v>
      </c>
      <c r="B167" s="365" t="s">
        <v>57</v>
      </c>
      <c r="C167" s="43"/>
      <c r="D167" s="65"/>
      <c r="E167" s="65"/>
      <c r="F167" s="65"/>
      <c r="G167" s="65"/>
      <c r="H167" s="43"/>
      <c r="I167" s="65"/>
      <c r="J167" s="65"/>
      <c r="K167" s="65"/>
      <c r="L167" s="65"/>
      <c r="M167" s="357"/>
      <c r="N167" s="364">
        <v>0</v>
      </c>
    </row>
    <row r="168" spans="1:14" x14ac:dyDescent="0.25">
      <c r="A168" s="348">
        <v>0</v>
      </c>
      <c r="B168" s="365" t="s">
        <v>58</v>
      </c>
      <c r="C168" s="43"/>
      <c r="D168" s="65"/>
      <c r="E168" s="65"/>
      <c r="F168" s="65"/>
      <c r="G168" s="65"/>
      <c r="H168" s="43"/>
      <c r="I168" s="65"/>
      <c r="J168" s="65"/>
      <c r="K168" s="65"/>
      <c r="L168" s="65"/>
      <c r="M168" s="357"/>
      <c r="N168" s="364">
        <v>0</v>
      </c>
    </row>
    <row r="169" spans="1:14" x14ac:dyDescent="0.25">
      <c r="A169" s="348">
        <v>0</v>
      </c>
      <c r="B169" s="365" t="s">
        <v>59</v>
      </c>
      <c r="C169" s="43"/>
      <c r="D169" s="65"/>
      <c r="E169" s="65"/>
      <c r="F169" s="65"/>
      <c r="G169" s="65"/>
      <c r="H169" s="43"/>
      <c r="I169" s="65"/>
      <c r="J169" s="65"/>
      <c r="K169" s="65"/>
      <c r="L169" s="65"/>
      <c r="M169" s="357"/>
      <c r="N169" s="364">
        <v>0</v>
      </c>
    </row>
    <row r="170" spans="1:14" ht="78.75" x14ac:dyDescent="0.25">
      <c r="A170" s="348">
        <v>0</v>
      </c>
      <c r="B170" s="365" t="s">
        <v>60</v>
      </c>
      <c r="C170" s="55" t="s">
        <v>1988</v>
      </c>
      <c r="D170" s="57">
        <v>54</v>
      </c>
      <c r="E170" s="57" t="s">
        <v>248</v>
      </c>
      <c r="F170" s="57" t="s">
        <v>1989</v>
      </c>
      <c r="G170" s="125">
        <v>44593</v>
      </c>
      <c r="H170" s="87" t="s">
        <v>1990</v>
      </c>
      <c r="I170" s="65"/>
      <c r="J170" s="65"/>
      <c r="K170" s="65"/>
      <c r="L170" s="65"/>
      <c r="M170" s="357"/>
      <c r="N170" s="364">
        <v>0</v>
      </c>
    </row>
    <row r="171" spans="1:14" x14ac:dyDescent="0.25">
      <c r="A171" s="348">
        <v>0</v>
      </c>
      <c r="B171" s="365" t="s">
        <v>61</v>
      </c>
      <c r="C171" s="43"/>
      <c r="D171" s="65"/>
      <c r="E171" s="65"/>
      <c r="F171" s="65"/>
      <c r="G171" s="65"/>
      <c r="H171" s="43"/>
      <c r="I171" s="65"/>
      <c r="J171" s="65"/>
      <c r="K171" s="65"/>
      <c r="L171" s="65"/>
      <c r="M171" s="357"/>
      <c r="N171" s="364">
        <v>0</v>
      </c>
    </row>
    <row r="172" spans="1:14" ht="63" x14ac:dyDescent="0.25">
      <c r="A172" s="348">
        <v>0</v>
      </c>
      <c r="B172" s="365" t="s">
        <v>62</v>
      </c>
      <c r="C172" s="43"/>
      <c r="D172" s="86"/>
      <c r="E172" s="86"/>
      <c r="F172" s="86"/>
      <c r="G172" s="86"/>
      <c r="H172" s="55" t="s">
        <v>1991</v>
      </c>
      <c r="I172" s="57">
        <v>60</v>
      </c>
      <c r="J172" s="57" t="s">
        <v>1992</v>
      </c>
      <c r="K172" s="57" t="s">
        <v>1993</v>
      </c>
      <c r="L172" s="57" t="s">
        <v>1994</v>
      </c>
      <c r="M172" s="357"/>
      <c r="N172" s="364">
        <v>0</v>
      </c>
    </row>
    <row r="173" spans="1:14" x14ac:dyDescent="0.25">
      <c r="A173" s="348">
        <v>0</v>
      </c>
      <c r="B173" s="365" t="s">
        <v>63</v>
      </c>
      <c r="C173" s="43"/>
      <c r="D173" s="86"/>
      <c r="E173" s="86"/>
      <c r="F173" s="86"/>
      <c r="G173" s="86"/>
      <c r="H173" s="87" t="s">
        <v>1995</v>
      </c>
      <c r="I173" s="86"/>
      <c r="J173" s="86"/>
      <c r="K173" s="86"/>
      <c r="L173" s="86"/>
      <c r="M173" s="357"/>
      <c r="N173" s="364">
        <v>0</v>
      </c>
    </row>
    <row r="174" spans="1:14" x14ac:dyDescent="0.25">
      <c r="A174" s="349">
        <f>SUM(A167:A173)</f>
        <v>2213</v>
      </c>
      <c r="B174" s="365" t="s">
        <v>64</v>
      </c>
      <c r="C174" s="43"/>
      <c r="D174" s="86"/>
      <c r="E174" s="86"/>
      <c r="F174" s="86"/>
      <c r="G174" s="86"/>
      <c r="H174" s="43"/>
      <c r="I174" s="86"/>
      <c r="J174" s="86"/>
      <c r="K174" s="86"/>
      <c r="L174" s="86"/>
      <c r="M174" s="357"/>
      <c r="N174" s="366">
        <f>SUM(N166:N173)</f>
        <v>0</v>
      </c>
    </row>
    <row r="175" spans="1:14" ht="78.75" x14ac:dyDescent="0.25">
      <c r="A175" s="347">
        <f>A166+1</f>
        <v>44589</v>
      </c>
      <c r="B175" s="361" t="s">
        <v>1851</v>
      </c>
      <c r="C175" s="55" t="s">
        <v>1996</v>
      </c>
      <c r="D175" s="84">
        <v>72</v>
      </c>
      <c r="E175" s="84" t="s">
        <v>151</v>
      </c>
      <c r="F175" s="84" t="s">
        <v>1997</v>
      </c>
      <c r="G175" s="136">
        <v>44596</v>
      </c>
      <c r="H175" s="55" t="s">
        <v>1998</v>
      </c>
      <c r="I175" s="84">
        <v>60</v>
      </c>
      <c r="J175" s="84" t="s">
        <v>70</v>
      </c>
      <c r="K175" s="84" t="s">
        <v>1999</v>
      </c>
      <c r="L175" s="136">
        <v>44595</v>
      </c>
      <c r="M175" s="357"/>
      <c r="N175" s="364">
        <v>0</v>
      </c>
    </row>
    <row r="176" spans="1:14" x14ac:dyDescent="0.25">
      <c r="A176" s="348">
        <v>1584</v>
      </c>
      <c r="B176" s="365" t="s">
        <v>57</v>
      </c>
      <c r="C176" s="43"/>
      <c r="D176" s="86"/>
      <c r="E176" s="86"/>
      <c r="F176" s="86"/>
      <c r="G176" s="86"/>
      <c r="H176" s="55"/>
      <c r="I176" s="84"/>
      <c r="J176" s="84"/>
      <c r="K176" s="84"/>
      <c r="L176" s="84" t="s">
        <v>423</v>
      </c>
      <c r="M176" s="357"/>
      <c r="N176" s="364">
        <v>0</v>
      </c>
    </row>
    <row r="177" spans="1:14" x14ac:dyDescent="0.25">
      <c r="A177" s="348">
        <v>0</v>
      </c>
      <c r="B177" s="365" t="s">
        <v>58</v>
      </c>
      <c r="C177" s="43"/>
      <c r="D177" s="86"/>
      <c r="E177" s="86"/>
      <c r="F177" s="86"/>
      <c r="G177" s="86"/>
      <c r="H177" s="43"/>
      <c r="I177" s="86"/>
      <c r="J177" s="86"/>
      <c r="K177" s="86"/>
      <c r="L177" s="86"/>
      <c r="M177" s="357"/>
      <c r="N177" s="364">
        <v>0</v>
      </c>
    </row>
    <row r="178" spans="1:14" x14ac:dyDescent="0.25">
      <c r="A178" s="348">
        <v>0</v>
      </c>
      <c r="B178" s="365" t="s">
        <v>59</v>
      </c>
      <c r="C178" s="43"/>
      <c r="D178" s="86"/>
      <c r="E178" s="86"/>
      <c r="F178" s="86"/>
      <c r="G178" s="86"/>
      <c r="H178" s="43"/>
      <c r="I178" s="86"/>
      <c r="J178" s="86"/>
      <c r="K178" s="86"/>
      <c r="L178" s="86"/>
      <c r="M178" s="357"/>
      <c r="N178" s="364">
        <v>0</v>
      </c>
    </row>
    <row r="179" spans="1:14" x14ac:dyDescent="0.25">
      <c r="A179" s="348">
        <v>860</v>
      </c>
      <c r="B179" s="365" t="s">
        <v>60</v>
      </c>
      <c r="C179" s="43"/>
      <c r="D179" s="86"/>
      <c r="E179" s="86"/>
      <c r="F179" s="86"/>
      <c r="G179" s="86"/>
      <c r="H179" s="43"/>
      <c r="I179" s="86"/>
      <c r="J179" s="86"/>
      <c r="K179" s="86"/>
      <c r="L179" s="86"/>
      <c r="M179" s="357"/>
      <c r="N179" s="364">
        <v>0</v>
      </c>
    </row>
    <row r="180" spans="1:14" x14ac:dyDescent="0.25">
      <c r="A180" s="348">
        <v>0</v>
      </c>
      <c r="B180" s="365" t="s">
        <v>61</v>
      </c>
      <c r="C180" s="43"/>
      <c r="D180" s="86"/>
      <c r="E180" s="86"/>
      <c r="F180" s="86"/>
      <c r="G180" s="86"/>
      <c r="H180" s="43"/>
      <c r="I180" s="86"/>
      <c r="J180" s="86"/>
      <c r="K180" s="86"/>
      <c r="L180" s="86"/>
      <c r="M180" s="357"/>
      <c r="N180" s="364">
        <v>0</v>
      </c>
    </row>
    <row r="181" spans="1:14" x14ac:dyDescent="0.25">
      <c r="A181" s="348">
        <v>0</v>
      </c>
      <c r="B181" s="365" t="s">
        <v>62</v>
      </c>
      <c r="C181" s="43"/>
      <c r="D181" s="86"/>
      <c r="E181" s="86"/>
      <c r="F181" s="86"/>
      <c r="G181" s="86"/>
      <c r="H181" s="43"/>
      <c r="I181" s="86"/>
      <c r="J181" s="86"/>
      <c r="K181" s="86"/>
      <c r="L181" s="86"/>
      <c r="M181" s="357"/>
      <c r="N181" s="364">
        <v>0</v>
      </c>
    </row>
    <row r="182" spans="1:14" x14ac:dyDescent="0.25">
      <c r="A182" s="348">
        <v>0</v>
      </c>
      <c r="B182" s="365" t="s">
        <v>63</v>
      </c>
      <c r="C182" s="43"/>
      <c r="D182" s="86"/>
      <c r="E182" s="86"/>
      <c r="F182" s="86"/>
      <c r="G182" s="86"/>
      <c r="H182" s="43"/>
      <c r="I182" s="86"/>
      <c r="J182" s="86"/>
      <c r="K182" s="86"/>
      <c r="L182" s="86"/>
      <c r="M182" s="357"/>
      <c r="N182" s="364">
        <v>0</v>
      </c>
    </row>
    <row r="183" spans="1:14" x14ac:dyDescent="0.25">
      <c r="A183" s="349">
        <f>SUM(A176:A182)</f>
        <v>2444</v>
      </c>
      <c r="B183" s="365" t="s">
        <v>64</v>
      </c>
      <c r="C183" s="43"/>
      <c r="D183" s="86"/>
      <c r="E183" s="86"/>
      <c r="F183" s="86"/>
      <c r="G183" s="86"/>
      <c r="H183" s="43"/>
      <c r="I183" s="86"/>
      <c r="J183" s="86"/>
      <c r="K183" s="86"/>
      <c r="L183" s="86"/>
      <c r="M183" s="357"/>
      <c r="N183" s="366">
        <f>SUM(N175:N182)</f>
        <v>0</v>
      </c>
    </row>
    <row r="184" spans="1:14" ht="47.25" x14ac:dyDescent="0.25">
      <c r="A184" s="347">
        <f>A175+3</f>
        <v>44592</v>
      </c>
      <c r="B184" s="361" t="s">
        <v>1851</v>
      </c>
      <c r="C184" s="55" t="s">
        <v>2000</v>
      </c>
      <c r="D184" s="84">
        <v>60</v>
      </c>
      <c r="E184" s="84" t="s">
        <v>204</v>
      </c>
      <c r="F184" s="84" t="s">
        <v>2001</v>
      </c>
      <c r="G184" s="136">
        <v>44596</v>
      </c>
      <c r="H184" s="87" t="s">
        <v>2002</v>
      </c>
      <c r="I184" s="86"/>
      <c r="J184" s="86"/>
      <c r="K184" s="86"/>
      <c r="L184" s="86"/>
      <c r="M184" s="357"/>
      <c r="N184" s="364">
        <v>0</v>
      </c>
    </row>
    <row r="185" spans="1:14" x14ac:dyDescent="0.25">
      <c r="A185" s="348">
        <v>600</v>
      </c>
      <c r="B185" s="365" t="s">
        <v>57</v>
      </c>
      <c r="C185" s="55" t="s">
        <v>2003</v>
      </c>
      <c r="D185" s="86"/>
      <c r="E185" s="86"/>
      <c r="F185" s="86"/>
      <c r="G185" s="86"/>
      <c r="H185" s="43"/>
      <c r="I185" s="86"/>
      <c r="J185" s="86"/>
      <c r="K185" s="86"/>
      <c r="L185" s="86"/>
      <c r="M185" s="357"/>
      <c r="N185" s="364">
        <v>1500</v>
      </c>
    </row>
    <row r="186" spans="1:14" x14ac:dyDescent="0.25">
      <c r="A186" s="348">
        <v>0</v>
      </c>
      <c r="B186" s="365" t="s">
        <v>58</v>
      </c>
      <c r="C186" s="43"/>
      <c r="D186" s="86"/>
      <c r="E186" s="86"/>
      <c r="F186" s="86"/>
      <c r="G186" s="86"/>
      <c r="H186" s="43"/>
      <c r="I186" s="86"/>
      <c r="J186" s="86"/>
      <c r="K186" s="86"/>
      <c r="L186" s="86"/>
      <c r="M186" s="357"/>
      <c r="N186" s="364">
        <v>0</v>
      </c>
    </row>
    <row r="187" spans="1:14" ht="47.25" x14ac:dyDescent="0.25">
      <c r="A187" s="348">
        <v>0</v>
      </c>
      <c r="B187" s="365" t="s">
        <v>59</v>
      </c>
      <c r="C187" s="55" t="s">
        <v>2004</v>
      </c>
      <c r="D187" s="84">
        <v>48</v>
      </c>
      <c r="E187" s="84" t="s">
        <v>2005</v>
      </c>
      <c r="F187" s="84" t="s">
        <v>2006</v>
      </c>
      <c r="G187" s="136">
        <v>44589</v>
      </c>
      <c r="H187" s="43"/>
      <c r="I187" s="86"/>
      <c r="J187" s="86"/>
      <c r="K187" s="86"/>
      <c r="L187" s="86"/>
      <c r="M187" s="357"/>
      <c r="N187" s="364">
        <v>0</v>
      </c>
    </row>
    <row r="188" spans="1:14" ht="94.5" x14ac:dyDescent="0.25">
      <c r="A188" s="348">
        <v>0</v>
      </c>
      <c r="B188" s="365" t="s">
        <v>60</v>
      </c>
      <c r="C188" s="55" t="s">
        <v>2007</v>
      </c>
      <c r="D188" s="84" t="s">
        <v>2008</v>
      </c>
      <c r="E188" s="84"/>
      <c r="F188" s="84"/>
      <c r="G188" s="130" t="s">
        <v>1247</v>
      </c>
      <c r="H188" s="43"/>
      <c r="I188" s="86"/>
      <c r="J188" s="86"/>
      <c r="K188" s="86"/>
      <c r="L188" s="86"/>
      <c r="M188" s="357"/>
      <c r="N188" s="364">
        <v>0</v>
      </c>
    </row>
    <row r="189" spans="1:14" x14ac:dyDescent="0.25">
      <c r="A189" s="348">
        <v>0</v>
      </c>
      <c r="B189" s="365" t="s">
        <v>61</v>
      </c>
      <c r="C189" s="43"/>
      <c r="D189" s="86"/>
      <c r="E189" s="86"/>
      <c r="F189" s="86"/>
      <c r="G189" s="86"/>
      <c r="H189" s="43"/>
      <c r="I189" s="86"/>
      <c r="J189" s="86"/>
      <c r="K189" s="86"/>
      <c r="L189" s="86"/>
      <c r="M189" s="357"/>
      <c r="N189" s="364">
        <v>495</v>
      </c>
    </row>
    <row r="190" spans="1:14" x14ac:dyDescent="0.25">
      <c r="A190" s="348">
        <v>0</v>
      </c>
      <c r="B190" s="365" t="s">
        <v>62</v>
      </c>
      <c r="C190" s="43"/>
      <c r="D190" s="86"/>
      <c r="E190" s="86"/>
      <c r="F190" s="86"/>
      <c r="G190" s="86"/>
      <c r="H190" s="43"/>
      <c r="I190" s="86"/>
      <c r="J190" s="86"/>
      <c r="K190" s="86"/>
      <c r="L190" s="86"/>
      <c r="M190" s="357"/>
      <c r="N190" s="364">
        <v>0</v>
      </c>
    </row>
    <row r="191" spans="1:14" x14ac:dyDescent="0.25">
      <c r="A191" s="348">
        <v>0</v>
      </c>
      <c r="B191" s="365" t="s">
        <v>63</v>
      </c>
      <c r="C191" s="43"/>
      <c r="D191" s="86"/>
      <c r="E191" s="86"/>
      <c r="F191" s="86"/>
      <c r="G191" s="86"/>
      <c r="H191" s="43"/>
      <c r="I191" s="86"/>
      <c r="J191" s="86"/>
      <c r="K191" s="86"/>
      <c r="L191" s="86"/>
      <c r="M191" s="357"/>
      <c r="N191" s="364">
        <v>0</v>
      </c>
    </row>
    <row r="192" spans="1:14" x14ac:dyDescent="0.25">
      <c r="A192" s="349">
        <f>SUM(A185:A191)</f>
        <v>600</v>
      </c>
      <c r="B192" s="365" t="s">
        <v>64</v>
      </c>
      <c r="C192" s="43"/>
      <c r="D192" s="86"/>
      <c r="E192" s="86"/>
      <c r="F192" s="86"/>
      <c r="G192" s="86"/>
      <c r="H192" s="43"/>
      <c r="I192" s="86"/>
      <c r="J192" s="86"/>
      <c r="K192" s="86"/>
      <c r="L192" s="86"/>
      <c r="M192" s="357"/>
      <c r="N192" s="366">
        <f>SUM(N184:N191)</f>
        <v>1995</v>
      </c>
    </row>
    <row r="193" spans="1:14" ht="63" x14ac:dyDescent="0.25">
      <c r="A193" s="347">
        <f>A184+1</f>
        <v>44593</v>
      </c>
      <c r="B193" s="361" t="s">
        <v>1851</v>
      </c>
      <c r="C193" s="55" t="s">
        <v>2009</v>
      </c>
      <c r="D193" s="84">
        <v>36</v>
      </c>
      <c r="E193" s="84" t="s">
        <v>2010</v>
      </c>
      <c r="F193" s="84" t="s">
        <v>2011</v>
      </c>
      <c r="G193" s="84" t="s">
        <v>2012</v>
      </c>
      <c r="H193" s="55" t="s">
        <v>2013</v>
      </c>
      <c r="I193" s="84">
        <v>30</v>
      </c>
      <c r="J193" s="84" t="s">
        <v>85</v>
      </c>
      <c r="K193" s="84" t="s">
        <v>2014</v>
      </c>
      <c r="L193" s="136">
        <v>44606</v>
      </c>
      <c r="M193" s="357"/>
      <c r="N193" s="364">
        <v>3550</v>
      </c>
    </row>
    <row r="194" spans="1:14" ht="47.25" x14ac:dyDescent="0.25">
      <c r="A194" s="348">
        <v>2000</v>
      </c>
      <c r="B194" s="365" t="s">
        <v>57</v>
      </c>
      <c r="C194" s="43" t="s">
        <v>2015</v>
      </c>
      <c r="D194" s="86"/>
      <c r="E194" s="86"/>
      <c r="F194" s="86"/>
      <c r="G194" s="84"/>
      <c r="H194" s="55" t="s">
        <v>2016</v>
      </c>
      <c r="I194" s="84" t="s">
        <v>2017</v>
      </c>
      <c r="J194" s="86"/>
      <c r="K194" s="84"/>
      <c r="L194" s="84"/>
      <c r="M194" s="357"/>
      <c r="N194" s="364">
        <v>0</v>
      </c>
    </row>
    <row r="195" spans="1:14" x14ac:dyDescent="0.25">
      <c r="A195" s="348">
        <v>0</v>
      </c>
      <c r="B195" s="365" t="s">
        <v>58</v>
      </c>
      <c r="C195" s="43"/>
      <c r="D195" s="86"/>
      <c r="E195" s="86"/>
      <c r="F195" s="86"/>
      <c r="G195" s="86"/>
      <c r="H195" s="43"/>
      <c r="I195" s="86"/>
      <c r="J195" s="86"/>
      <c r="K195" s="86"/>
      <c r="L195" s="86"/>
      <c r="M195" s="357"/>
      <c r="N195" s="364">
        <v>0</v>
      </c>
    </row>
    <row r="196" spans="1:14" x14ac:dyDescent="0.25">
      <c r="A196" s="348">
        <v>0</v>
      </c>
      <c r="B196" s="365" t="s">
        <v>59</v>
      </c>
      <c r="C196" s="43"/>
      <c r="D196" s="65"/>
      <c r="E196" s="65"/>
      <c r="F196" s="65"/>
      <c r="G196" s="65"/>
      <c r="H196" s="43"/>
      <c r="I196" s="86"/>
      <c r="J196" s="86"/>
      <c r="K196" s="86"/>
      <c r="L196" s="86"/>
      <c r="M196" s="357"/>
      <c r="N196" s="364">
        <v>0</v>
      </c>
    </row>
    <row r="197" spans="1:14" x14ac:dyDescent="0.25">
      <c r="A197" s="348">
        <v>0</v>
      </c>
      <c r="B197" s="365" t="s">
        <v>60</v>
      </c>
      <c r="C197" s="43"/>
      <c r="D197" s="65"/>
      <c r="E197" s="65"/>
      <c r="F197" s="65"/>
      <c r="G197" s="65"/>
      <c r="H197" s="43"/>
      <c r="I197" s="86"/>
      <c r="J197" s="86"/>
      <c r="K197" s="86"/>
      <c r="L197" s="86"/>
      <c r="M197" s="357"/>
      <c r="N197" s="364">
        <v>0</v>
      </c>
    </row>
    <row r="198" spans="1:14" x14ac:dyDescent="0.25">
      <c r="A198" s="348">
        <v>0</v>
      </c>
      <c r="B198" s="365" t="s">
        <v>61</v>
      </c>
      <c r="C198" s="43"/>
      <c r="D198" s="65"/>
      <c r="E198" s="65"/>
      <c r="F198" s="65"/>
      <c r="G198" s="65"/>
      <c r="H198" s="43"/>
      <c r="I198" s="86"/>
      <c r="J198" s="86"/>
      <c r="K198" s="86"/>
      <c r="L198" s="86"/>
      <c r="M198" s="357"/>
      <c r="N198" s="364">
        <v>0</v>
      </c>
    </row>
    <row r="199" spans="1:14" x14ac:dyDescent="0.25">
      <c r="A199" s="348">
        <v>0</v>
      </c>
      <c r="B199" s="365" t="s">
        <v>62</v>
      </c>
      <c r="C199" s="43"/>
      <c r="D199" s="65"/>
      <c r="E199" s="65"/>
      <c r="F199" s="65"/>
      <c r="G199" s="65"/>
      <c r="H199" s="43"/>
      <c r="I199" s="86"/>
      <c r="J199" s="86"/>
      <c r="K199" s="86"/>
      <c r="L199" s="86"/>
      <c r="M199" s="357"/>
      <c r="N199" s="364">
        <v>0</v>
      </c>
    </row>
    <row r="200" spans="1:14" ht="60.75" x14ac:dyDescent="0.25">
      <c r="A200" s="348">
        <v>668</v>
      </c>
      <c r="B200" s="365" t="s">
        <v>63</v>
      </c>
      <c r="C200" s="43"/>
      <c r="D200" s="65"/>
      <c r="E200" s="65"/>
      <c r="F200" s="65"/>
      <c r="G200" s="65"/>
      <c r="H200" s="369" t="s">
        <v>2018</v>
      </c>
      <c r="I200" s="165">
        <v>60</v>
      </c>
      <c r="J200" s="165" t="s">
        <v>140</v>
      </c>
      <c r="K200" s="165" t="s">
        <v>2019</v>
      </c>
      <c r="L200" s="370">
        <v>44594</v>
      </c>
      <c r="M200" s="357"/>
      <c r="N200" s="364">
        <v>0</v>
      </c>
    </row>
    <row r="201" spans="1:14" x14ac:dyDescent="0.25">
      <c r="A201" s="349">
        <f>SUM(A194:A200)</f>
        <v>2668</v>
      </c>
      <c r="B201" s="365" t="s">
        <v>64</v>
      </c>
      <c r="C201" s="43"/>
      <c r="D201" s="65"/>
      <c r="E201" s="65"/>
      <c r="F201" s="65"/>
      <c r="G201" s="65"/>
      <c r="H201" s="43"/>
      <c r="I201" s="65"/>
      <c r="J201" s="65"/>
      <c r="K201" s="65"/>
      <c r="L201" s="65"/>
      <c r="M201" s="357"/>
      <c r="N201" s="366">
        <f>SUM(N193:N200)</f>
        <v>3550</v>
      </c>
    </row>
    <row r="202" spans="1:14" ht="78.75" x14ac:dyDescent="0.25">
      <c r="A202" s="347">
        <f>A193+1</f>
        <v>44594</v>
      </c>
      <c r="B202" s="361" t="s">
        <v>1851</v>
      </c>
      <c r="C202" s="55" t="s">
        <v>2020</v>
      </c>
      <c r="D202" s="56">
        <v>34</v>
      </c>
      <c r="E202" s="57" t="s">
        <v>2021</v>
      </c>
      <c r="F202" s="57" t="s">
        <v>945</v>
      </c>
      <c r="G202" s="57" t="s">
        <v>2022</v>
      </c>
      <c r="H202" s="43"/>
      <c r="I202" s="65"/>
      <c r="J202" s="65"/>
      <c r="K202" s="65"/>
      <c r="L202" s="65"/>
      <c r="M202" s="357"/>
      <c r="N202" s="364">
        <v>3550</v>
      </c>
    </row>
    <row r="203" spans="1:14" ht="110.25" x14ac:dyDescent="0.25">
      <c r="A203" s="348">
        <v>1604</v>
      </c>
      <c r="B203" s="365" t="s">
        <v>57</v>
      </c>
      <c r="C203" s="87" t="s">
        <v>2023</v>
      </c>
      <c r="D203" s="65"/>
      <c r="E203" s="65"/>
      <c r="F203" s="65"/>
      <c r="G203" s="178"/>
      <c r="H203" s="55" t="s">
        <v>2024</v>
      </c>
      <c r="I203" s="57">
        <v>60</v>
      </c>
      <c r="J203" s="57" t="s">
        <v>100</v>
      </c>
      <c r="K203" s="57" t="s">
        <v>2025</v>
      </c>
      <c r="L203" s="57" t="s">
        <v>2026</v>
      </c>
      <c r="M203" s="357"/>
      <c r="N203" s="364">
        <v>0</v>
      </c>
    </row>
    <row r="204" spans="1:14" x14ac:dyDescent="0.25">
      <c r="A204" s="348">
        <v>0</v>
      </c>
      <c r="B204" s="365" t="s">
        <v>58</v>
      </c>
      <c r="C204" s="43"/>
      <c r="D204" s="65"/>
      <c r="E204" s="65"/>
      <c r="F204" s="65"/>
      <c r="G204" s="65"/>
      <c r="H204" s="43"/>
      <c r="I204" s="65"/>
      <c r="J204" s="65"/>
      <c r="K204" s="65"/>
      <c r="L204" s="65"/>
      <c r="M204" s="357"/>
      <c r="N204" s="364">
        <v>0</v>
      </c>
    </row>
    <row r="205" spans="1:14" x14ac:dyDescent="0.25">
      <c r="A205" s="348">
        <v>0</v>
      </c>
      <c r="B205" s="365" t="s">
        <v>59</v>
      </c>
      <c r="C205" s="43"/>
      <c r="D205" s="65"/>
      <c r="E205" s="65"/>
      <c r="F205" s="65"/>
      <c r="G205" s="65"/>
      <c r="H205" s="43"/>
      <c r="I205" s="65"/>
      <c r="J205" s="65"/>
      <c r="K205" s="65"/>
      <c r="L205" s="65"/>
      <c r="M205" s="357"/>
      <c r="N205" s="364">
        <v>0</v>
      </c>
    </row>
    <row r="206" spans="1:14" ht="78.75" x14ac:dyDescent="0.25">
      <c r="A206" s="348">
        <v>0</v>
      </c>
      <c r="B206" s="365" t="s">
        <v>60</v>
      </c>
      <c r="C206" s="43"/>
      <c r="D206" s="65"/>
      <c r="E206" s="65"/>
      <c r="F206" s="65"/>
      <c r="G206" s="65"/>
      <c r="H206" s="55" t="s">
        <v>2027</v>
      </c>
      <c r="I206" s="57">
        <v>60</v>
      </c>
      <c r="J206" s="57" t="s">
        <v>2028</v>
      </c>
      <c r="K206" s="57" t="s">
        <v>2029</v>
      </c>
      <c r="L206" s="125">
        <v>44596</v>
      </c>
      <c r="M206" s="357"/>
      <c r="N206" s="364">
        <v>0</v>
      </c>
    </row>
    <row r="207" spans="1:14" x14ac:dyDescent="0.25">
      <c r="A207" s="348">
        <v>0</v>
      </c>
      <c r="B207" s="365" t="s">
        <v>61</v>
      </c>
      <c r="C207" s="43"/>
      <c r="D207" s="65"/>
      <c r="E207" s="65"/>
      <c r="F207" s="65"/>
      <c r="G207" s="65"/>
      <c r="H207" s="43"/>
      <c r="I207" s="65"/>
      <c r="J207" s="65"/>
      <c r="K207" s="65"/>
      <c r="L207" s="65"/>
      <c r="M207" s="357"/>
      <c r="N207" s="364">
        <v>0</v>
      </c>
    </row>
    <row r="208" spans="1:14" x14ac:dyDescent="0.25">
      <c r="A208" s="348">
        <v>0</v>
      </c>
      <c r="B208" s="365" t="s">
        <v>62</v>
      </c>
      <c r="C208" s="43"/>
      <c r="D208" s="65"/>
      <c r="E208" s="65"/>
      <c r="F208" s="65"/>
      <c r="G208" s="65"/>
      <c r="H208" s="43"/>
      <c r="I208" s="65"/>
      <c r="J208" s="65"/>
      <c r="K208" s="65"/>
      <c r="L208" s="65"/>
      <c r="M208" s="357"/>
      <c r="N208" s="364">
        <v>0</v>
      </c>
    </row>
    <row r="209" spans="1:14" x14ac:dyDescent="0.25">
      <c r="A209" s="348">
        <v>0</v>
      </c>
      <c r="B209" s="365" t="s">
        <v>63</v>
      </c>
      <c r="C209" s="43"/>
      <c r="D209" s="65"/>
      <c r="E209" s="65"/>
      <c r="F209" s="65"/>
      <c r="G209" s="65"/>
      <c r="H209" s="43"/>
      <c r="I209" s="65"/>
      <c r="J209" s="65"/>
      <c r="K209" s="65"/>
      <c r="L209" s="65"/>
      <c r="M209" s="357"/>
      <c r="N209" s="364">
        <v>0</v>
      </c>
    </row>
    <row r="210" spans="1:14" x14ac:dyDescent="0.25">
      <c r="A210" s="349">
        <f>SUM(A203:A209)</f>
        <v>1604</v>
      </c>
      <c r="B210" s="365" t="s">
        <v>64</v>
      </c>
      <c r="C210" s="43"/>
      <c r="D210" s="65"/>
      <c r="E210" s="65"/>
      <c r="F210" s="65"/>
      <c r="G210" s="65"/>
      <c r="H210" s="43"/>
      <c r="I210" s="65"/>
      <c r="J210" s="65"/>
      <c r="K210" s="65"/>
      <c r="L210" s="65"/>
      <c r="M210" s="357"/>
      <c r="N210" s="366">
        <f>SUM(N202:N209)</f>
        <v>3550</v>
      </c>
    </row>
    <row r="211" spans="1:14" ht="63" x14ac:dyDescent="0.25">
      <c r="A211" s="347">
        <f>A202+1</f>
        <v>44595</v>
      </c>
      <c r="B211" s="361" t="s">
        <v>1851</v>
      </c>
      <c r="C211" s="55" t="s">
        <v>2030</v>
      </c>
      <c r="D211" s="57">
        <v>48</v>
      </c>
      <c r="E211" s="57" t="s">
        <v>439</v>
      </c>
      <c r="F211" s="57" t="s">
        <v>2031</v>
      </c>
      <c r="G211" s="125">
        <v>44601</v>
      </c>
      <c r="H211" s="43"/>
      <c r="I211" s="371" t="s">
        <v>2032</v>
      </c>
      <c r="J211" s="161"/>
      <c r="K211" s="161"/>
      <c r="L211" s="161"/>
      <c r="M211" s="357"/>
      <c r="N211" s="364">
        <v>0</v>
      </c>
    </row>
    <row r="212" spans="1:14" x14ac:dyDescent="0.25">
      <c r="A212" s="348">
        <v>1220</v>
      </c>
      <c r="B212" s="365" t="s">
        <v>57</v>
      </c>
      <c r="C212" s="43"/>
      <c r="D212" s="65"/>
      <c r="E212" s="65"/>
      <c r="F212" s="65"/>
      <c r="G212" s="65"/>
      <c r="H212" s="43"/>
      <c r="I212" s="161"/>
      <c r="J212" s="161"/>
      <c r="K212" s="161"/>
      <c r="L212" s="161"/>
      <c r="M212" s="357"/>
      <c r="N212" s="364">
        <v>0</v>
      </c>
    </row>
    <row r="213" spans="1:14" x14ac:dyDescent="0.25">
      <c r="A213" s="348">
        <v>0</v>
      </c>
      <c r="B213" s="365" t="s">
        <v>58</v>
      </c>
      <c r="C213" s="43"/>
      <c r="D213" s="65"/>
      <c r="E213" s="65"/>
      <c r="F213" s="65"/>
      <c r="G213" s="65"/>
      <c r="H213" s="43"/>
      <c r="I213" s="161"/>
      <c r="J213" s="161"/>
      <c r="K213" s="161"/>
      <c r="L213" s="161"/>
      <c r="M213" s="357"/>
      <c r="N213" s="364">
        <v>0</v>
      </c>
    </row>
    <row r="214" spans="1:14" x14ac:dyDescent="0.25">
      <c r="A214" s="348">
        <v>0</v>
      </c>
      <c r="B214" s="365" t="s">
        <v>59</v>
      </c>
      <c r="C214" s="43"/>
      <c r="D214" s="65"/>
      <c r="E214" s="65"/>
      <c r="F214" s="65"/>
      <c r="G214" s="65"/>
      <c r="H214" s="43"/>
      <c r="I214" s="161"/>
      <c r="J214" s="161"/>
      <c r="K214" s="161"/>
      <c r="L214" s="161"/>
      <c r="M214" s="357"/>
      <c r="N214" s="364">
        <v>0</v>
      </c>
    </row>
    <row r="215" spans="1:14" ht="63" x14ac:dyDescent="0.25">
      <c r="A215" s="348">
        <v>0</v>
      </c>
      <c r="B215" s="365" t="s">
        <v>60</v>
      </c>
      <c r="C215" s="55" t="s">
        <v>2033</v>
      </c>
      <c r="D215" s="57">
        <v>72</v>
      </c>
      <c r="E215" s="57" t="s">
        <v>2034</v>
      </c>
      <c r="F215" s="57" t="s">
        <v>2035</v>
      </c>
      <c r="G215" s="125">
        <v>44601</v>
      </c>
      <c r="H215" s="43"/>
      <c r="I215" s="161"/>
      <c r="J215" s="161"/>
      <c r="K215" s="161"/>
      <c r="L215" s="161"/>
      <c r="M215" s="357"/>
      <c r="N215" s="364">
        <v>0</v>
      </c>
    </row>
    <row r="216" spans="1:14" x14ac:dyDescent="0.25">
      <c r="A216" s="348">
        <v>0</v>
      </c>
      <c r="B216" s="365" t="s">
        <v>61</v>
      </c>
      <c r="C216" s="87" t="s">
        <v>2036</v>
      </c>
      <c r="D216" s="65"/>
      <c r="E216" s="65"/>
      <c r="F216" s="65"/>
      <c r="G216" s="65"/>
      <c r="H216" s="43"/>
      <c r="I216" s="161"/>
      <c r="J216" s="161"/>
      <c r="K216" s="161"/>
      <c r="L216" s="161"/>
      <c r="M216" s="357"/>
      <c r="N216" s="364">
        <v>0</v>
      </c>
    </row>
    <row r="217" spans="1:14" x14ac:dyDescent="0.25">
      <c r="A217" s="348">
        <v>0</v>
      </c>
      <c r="B217" s="365" t="s">
        <v>62</v>
      </c>
      <c r="C217" s="43"/>
      <c r="D217" s="65"/>
      <c r="E217" s="65"/>
      <c r="F217" s="65"/>
      <c r="G217" s="65"/>
      <c r="H217" s="43"/>
      <c r="I217" s="161"/>
      <c r="J217" s="161"/>
      <c r="K217" s="161"/>
      <c r="L217" s="161"/>
      <c r="M217" s="357"/>
      <c r="N217" s="364">
        <v>0</v>
      </c>
    </row>
    <row r="218" spans="1:14" x14ac:dyDescent="0.25">
      <c r="A218" s="348">
        <v>0</v>
      </c>
      <c r="B218" s="365" t="s">
        <v>63</v>
      </c>
      <c r="C218" s="43"/>
      <c r="D218" s="65"/>
      <c r="E218" s="65"/>
      <c r="F218" s="65"/>
      <c r="G218" s="65"/>
      <c r="H218" s="43"/>
      <c r="I218" s="161"/>
      <c r="J218" s="161"/>
      <c r="K218" s="161"/>
      <c r="L218" s="161"/>
      <c r="M218" s="357"/>
      <c r="N218" s="364">
        <v>0</v>
      </c>
    </row>
    <row r="219" spans="1:14" x14ac:dyDescent="0.25">
      <c r="A219" s="349">
        <f>SUM(A212:A218)</f>
        <v>1220</v>
      </c>
      <c r="B219" s="365" t="s">
        <v>64</v>
      </c>
      <c r="C219" s="43"/>
      <c r="H219" s="43"/>
      <c r="I219" s="161"/>
      <c r="J219" s="161"/>
      <c r="K219" s="161"/>
      <c r="L219" s="161"/>
      <c r="M219" s="357"/>
      <c r="N219" s="366">
        <f>SUM(N211:N218)</f>
        <v>0</v>
      </c>
    </row>
    <row r="220" spans="1:14" ht="78.75" x14ac:dyDescent="0.25">
      <c r="A220" s="347">
        <f>A211+1</f>
        <v>44596</v>
      </c>
      <c r="B220" s="361" t="s">
        <v>1851</v>
      </c>
      <c r="C220" s="43"/>
      <c r="D220" s="371" t="s">
        <v>2037</v>
      </c>
      <c r="E220" s="161"/>
      <c r="F220" s="161"/>
      <c r="G220" s="161"/>
      <c r="H220" s="55" t="s">
        <v>2038</v>
      </c>
      <c r="I220" s="57">
        <v>60</v>
      </c>
      <c r="J220" s="57" t="s">
        <v>610</v>
      </c>
      <c r="K220" s="57" t="s">
        <v>1067</v>
      </c>
      <c r="L220" s="125">
        <v>44601</v>
      </c>
      <c r="M220" s="357"/>
      <c r="N220" s="364">
        <v>0</v>
      </c>
    </row>
    <row r="221" spans="1:14" x14ac:dyDescent="0.25">
      <c r="A221" s="348">
        <v>0</v>
      </c>
      <c r="B221" s="365" t="s">
        <v>57</v>
      </c>
      <c r="C221" s="43"/>
      <c r="D221" s="161" t="s">
        <v>2039</v>
      </c>
      <c r="E221" s="161"/>
      <c r="F221" s="161"/>
      <c r="G221" s="161"/>
      <c r="H221" s="43"/>
      <c r="I221" s="65"/>
      <c r="J221" s="65"/>
      <c r="K221" s="65"/>
      <c r="L221" s="65"/>
      <c r="M221" s="357"/>
      <c r="N221" s="364">
        <v>0</v>
      </c>
    </row>
    <row r="222" spans="1:14" x14ac:dyDescent="0.25">
      <c r="A222" s="348">
        <v>0</v>
      </c>
      <c r="B222" s="365" t="s">
        <v>58</v>
      </c>
      <c r="C222" s="43"/>
      <c r="D222" s="161"/>
      <c r="E222" s="161"/>
      <c r="F222" s="161"/>
      <c r="G222" s="161"/>
      <c r="H222" s="43"/>
      <c r="I222" s="65"/>
      <c r="J222" s="65"/>
      <c r="K222" s="65"/>
      <c r="L222" s="65"/>
      <c r="M222" s="357"/>
      <c r="N222" s="364">
        <v>0</v>
      </c>
    </row>
    <row r="223" spans="1:14" x14ac:dyDescent="0.25">
      <c r="A223" s="348">
        <v>0</v>
      </c>
      <c r="B223" s="365" t="s">
        <v>59</v>
      </c>
      <c r="C223" s="43"/>
      <c r="D223" s="161"/>
      <c r="E223" s="161"/>
      <c r="F223" s="161"/>
      <c r="G223" s="161"/>
      <c r="H223" s="43"/>
      <c r="I223" s="65"/>
      <c r="J223" s="65"/>
      <c r="K223" s="65"/>
      <c r="L223" s="65"/>
      <c r="M223" s="357"/>
      <c r="N223" s="364">
        <v>0</v>
      </c>
    </row>
    <row r="224" spans="1:14" x14ac:dyDescent="0.25">
      <c r="A224" s="348">
        <v>0</v>
      </c>
      <c r="B224" s="365" t="s">
        <v>60</v>
      </c>
      <c r="C224" s="43"/>
      <c r="D224" s="161"/>
      <c r="E224" s="161"/>
      <c r="F224" s="161"/>
      <c r="G224" s="161"/>
      <c r="H224" s="43"/>
      <c r="I224" s="65"/>
      <c r="J224" s="65"/>
      <c r="K224" s="65"/>
      <c r="L224" s="65"/>
      <c r="M224" s="357"/>
      <c r="N224" s="364">
        <v>0</v>
      </c>
    </row>
    <row r="225" spans="1:14" x14ac:dyDescent="0.25">
      <c r="A225" s="348">
        <v>0</v>
      </c>
      <c r="B225" s="365" t="s">
        <v>61</v>
      </c>
      <c r="C225" s="43"/>
      <c r="D225" s="161"/>
      <c r="E225" s="161"/>
      <c r="F225" s="161"/>
      <c r="G225" s="161"/>
      <c r="H225" s="43"/>
      <c r="I225" s="65"/>
      <c r="J225" s="65"/>
      <c r="K225" s="65"/>
      <c r="L225" s="65"/>
      <c r="M225" s="357"/>
      <c r="N225" s="364">
        <v>0</v>
      </c>
    </row>
    <row r="226" spans="1:14" x14ac:dyDescent="0.25">
      <c r="A226" s="348">
        <v>0</v>
      </c>
      <c r="B226" s="365" t="s">
        <v>62</v>
      </c>
      <c r="C226" s="43"/>
      <c r="D226" s="161"/>
      <c r="E226" s="161"/>
      <c r="F226" s="161"/>
      <c r="G226" s="161"/>
      <c r="H226" s="43"/>
      <c r="I226" s="65"/>
      <c r="J226" s="65"/>
      <c r="K226" s="65"/>
      <c r="L226" s="65"/>
      <c r="M226" s="357"/>
      <c r="N226" s="364">
        <v>0</v>
      </c>
    </row>
    <row r="227" spans="1:14" x14ac:dyDescent="0.25">
      <c r="A227" s="348">
        <v>0</v>
      </c>
      <c r="B227" s="365" t="s">
        <v>63</v>
      </c>
      <c r="C227" s="43"/>
      <c r="D227" s="161"/>
      <c r="E227" s="161"/>
      <c r="F227" s="161"/>
      <c r="G227" s="161"/>
      <c r="H227" s="43"/>
      <c r="I227" s="65"/>
      <c r="J227" s="65"/>
      <c r="K227" s="65"/>
      <c r="L227" s="65"/>
      <c r="M227" s="357"/>
      <c r="N227" s="364">
        <v>0</v>
      </c>
    </row>
    <row r="228" spans="1:14" x14ac:dyDescent="0.25">
      <c r="A228" s="349">
        <f>SUM(A221:A227)</f>
        <v>0</v>
      </c>
      <c r="B228" s="365" t="s">
        <v>64</v>
      </c>
      <c r="C228" s="43"/>
      <c r="H228" s="43"/>
      <c r="I228" s="65"/>
      <c r="J228" s="65"/>
      <c r="K228" s="65"/>
      <c r="L228" s="65"/>
      <c r="M228" s="357"/>
      <c r="N228" s="366">
        <f>SUM(N220:N227)</f>
        <v>0</v>
      </c>
    </row>
    <row r="229" spans="1:14" ht="63" x14ac:dyDescent="0.25">
      <c r="A229" s="347">
        <f>A220+3</f>
        <v>44599</v>
      </c>
      <c r="B229" s="361" t="s">
        <v>1851</v>
      </c>
      <c r="C229" s="43"/>
      <c r="D229" s="371" t="s">
        <v>2037</v>
      </c>
      <c r="E229" s="161"/>
      <c r="F229" s="161"/>
      <c r="G229" s="161"/>
      <c r="H229" s="55" t="s">
        <v>2040</v>
      </c>
      <c r="I229" s="57">
        <v>36</v>
      </c>
      <c r="J229" s="57" t="s">
        <v>1868</v>
      </c>
      <c r="K229" s="57" t="s">
        <v>2041</v>
      </c>
      <c r="L229" s="125">
        <v>44596</v>
      </c>
      <c r="M229" s="357"/>
      <c r="N229" s="364">
        <v>0</v>
      </c>
    </row>
    <row r="230" spans="1:14" x14ac:dyDescent="0.25">
      <c r="A230" s="348">
        <v>0</v>
      </c>
      <c r="B230" s="365" t="s">
        <v>57</v>
      </c>
      <c r="C230" s="43"/>
      <c r="D230" s="161" t="s">
        <v>2039</v>
      </c>
      <c r="E230" s="161"/>
      <c r="F230" s="161"/>
      <c r="G230" s="161"/>
      <c r="H230" s="43"/>
      <c r="I230" s="65" t="s">
        <v>2042</v>
      </c>
      <c r="J230" s="65"/>
      <c r="K230" s="65"/>
      <c r="L230" s="65"/>
      <c r="M230" s="357"/>
      <c r="N230" s="364">
        <v>1500</v>
      </c>
    </row>
    <row r="231" spans="1:14" x14ac:dyDescent="0.25">
      <c r="A231" s="348">
        <v>0</v>
      </c>
      <c r="B231" s="365" t="s">
        <v>58</v>
      </c>
      <c r="C231" s="43"/>
      <c r="D231" s="161"/>
      <c r="E231" s="161"/>
      <c r="F231" s="161"/>
      <c r="G231" s="161"/>
      <c r="H231" s="43"/>
      <c r="I231" s="65"/>
      <c r="J231" s="65"/>
      <c r="K231" s="65"/>
      <c r="L231" s="65"/>
      <c r="M231" s="357"/>
      <c r="N231" s="364">
        <v>0</v>
      </c>
    </row>
    <row r="232" spans="1:14" x14ac:dyDescent="0.25">
      <c r="A232" s="348">
        <v>0</v>
      </c>
      <c r="B232" s="365" t="s">
        <v>59</v>
      </c>
      <c r="C232" s="43"/>
      <c r="D232" s="161"/>
      <c r="E232" s="161"/>
      <c r="F232" s="161"/>
      <c r="G232" s="161"/>
      <c r="H232" s="43"/>
      <c r="I232" s="65"/>
      <c r="J232" s="65"/>
      <c r="K232" s="65"/>
      <c r="L232" s="65"/>
      <c r="M232" s="357"/>
      <c r="N232" s="364">
        <v>0</v>
      </c>
    </row>
    <row r="233" spans="1:14" x14ac:dyDescent="0.25">
      <c r="A233" s="348">
        <v>0</v>
      </c>
      <c r="B233" s="365" t="s">
        <v>60</v>
      </c>
      <c r="C233" s="43"/>
      <c r="D233" s="161"/>
      <c r="E233" s="161"/>
      <c r="F233" s="161"/>
      <c r="G233" s="161"/>
      <c r="H233" s="43"/>
      <c r="I233" s="65"/>
      <c r="J233" s="65"/>
      <c r="K233" s="65"/>
      <c r="L233" s="65"/>
      <c r="M233" s="357"/>
      <c r="N233" s="364">
        <v>0</v>
      </c>
    </row>
    <row r="234" spans="1:14" x14ac:dyDescent="0.25">
      <c r="A234" s="348">
        <v>0</v>
      </c>
      <c r="B234" s="365" t="s">
        <v>61</v>
      </c>
      <c r="C234" s="43"/>
      <c r="D234" s="161"/>
      <c r="E234" s="161"/>
      <c r="F234" s="161"/>
      <c r="G234" s="161"/>
      <c r="H234" s="43"/>
      <c r="I234" s="65"/>
      <c r="J234" s="65"/>
      <c r="K234" s="65"/>
      <c r="L234" s="65"/>
      <c r="M234" s="357"/>
      <c r="N234" s="364">
        <v>495</v>
      </c>
    </row>
    <row r="235" spans="1:14" x14ac:dyDescent="0.25">
      <c r="A235" s="348">
        <v>0</v>
      </c>
      <c r="B235" s="365" t="s">
        <v>62</v>
      </c>
      <c r="C235" s="43"/>
      <c r="D235" s="161"/>
      <c r="E235" s="161"/>
      <c r="F235" s="161"/>
      <c r="G235" s="161"/>
      <c r="H235" s="43"/>
      <c r="I235" s="65"/>
      <c r="J235" s="65"/>
      <c r="K235" s="65"/>
      <c r="L235" s="65"/>
      <c r="M235" s="357"/>
      <c r="N235" s="364">
        <v>0</v>
      </c>
    </row>
    <row r="236" spans="1:14" x14ac:dyDescent="0.25">
      <c r="A236" s="348">
        <v>0</v>
      </c>
      <c r="B236" s="365" t="s">
        <v>63</v>
      </c>
      <c r="C236" s="43"/>
      <c r="D236" s="161"/>
      <c r="E236" s="161"/>
      <c r="F236" s="161"/>
      <c r="G236" s="161"/>
      <c r="H236" s="43"/>
      <c r="I236" s="65"/>
      <c r="J236" s="65"/>
      <c r="K236" s="65"/>
      <c r="L236" s="65"/>
      <c r="M236" s="357"/>
      <c r="N236" s="364">
        <v>0</v>
      </c>
    </row>
    <row r="237" spans="1:14" x14ac:dyDescent="0.25">
      <c r="A237" s="349">
        <f>SUM(A230:A236)</f>
        <v>0</v>
      </c>
      <c r="B237" s="365" t="s">
        <v>64</v>
      </c>
      <c r="C237" s="43"/>
      <c r="H237" s="43"/>
      <c r="I237" s="65"/>
      <c r="J237" s="65"/>
      <c r="K237" s="65"/>
      <c r="L237" s="65"/>
      <c r="M237" s="357"/>
      <c r="N237" s="366">
        <f>SUM(N229:N236)</f>
        <v>1995</v>
      </c>
    </row>
    <row r="238" spans="1:14" ht="63" x14ac:dyDescent="0.25">
      <c r="A238" s="347">
        <f>A229+1</f>
        <v>44600</v>
      </c>
      <c r="B238" s="361" t="s">
        <v>1851</v>
      </c>
      <c r="C238" s="43"/>
      <c r="D238" s="371" t="s">
        <v>2043</v>
      </c>
      <c r="E238" s="161"/>
      <c r="F238" s="161"/>
      <c r="G238" s="161"/>
      <c r="H238" s="55" t="s">
        <v>2044</v>
      </c>
      <c r="I238" s="56">
        <v>36</v>
      </c>
      <c r="J238" s="57" t="s">
        <v>2045</v>
      </c>
      <c r="K238" s="57" t="s">
        <v>2046</v>
      </c>
      <c r="L238" s="57" t="s">
        <v>2047</v>
      </c>
      <c r="M238" s="357"/>
      <c r="N238" s="364">
        <v>2300</v>
      </c>
    </row>
    <row r="239" spans="1:14" ht="31.5" x14ac:dyDescent="0.25">
      <c r="A239" s="348">
        <v>0</v>
      </c>
      <c r="B239" s="365" t="s">
        <v>57</v>
      </c>
      <c r="C239" s="43"/>
      <c r="D239" s="161" t="s">
        <v>2039</v>
      </c>
      <c r="E239" s="161"/>
      <c r="F239" s="161"/>
      <c r="G239" s="161"/>
      <c r="H239" s="55" t="s">
        <v>2048</v>
      </c>
      <c r="I239" s="57"/>
      <c r="J239" s="57"/>
      <c r="K239" s="57"/>
      <c r="L239" s="57"/>
      <c r="M239" s="357"/>
      <c r="N239" s="364">
        <v>0</v>
      </c>
    </row>
    <row r="240" spans="1:14" x14ac:dyDescent="0.25">
      <c r="A240" s="348">
        <v>0</v>
      </c>
      <c r="B240" s="365" t="s">
        <v>58</v>
      </c>
      <c r="C240" s="43"/>
      <c r="D240" s="161"/>
      <c r="E240" s="161"/>
      <c r="F240" s="161"/>
      <c r="G240" s="161"/>
      <c r="H240" s="43"/>
      <c r="I240" s="65"/>
      <c r="J240" s="65"/>
      <c r="K240" s="65"/>
      <c r="L240" s="65"/>
      <c r="M240" s="357"/>
      <c r="N240" s="364">
        <v>0</v>
      </c>
    </row>
    <row r="241" spans="1:14" x14ac:dyDescent="0.25">
      <c r="A241" s="348">
        <v>0</v>
      </c>
      <c r="B241" s="365" t="s">
        <v>59</v>
      </c>
      <c r="C241" s="43"/>
      <c r="D241" s="161"/>
      <c r="E241" s="161"/>
      <c r="F241" s="161"/>
      <c r="G241" s="161"/>
      <c r="H241" s="43"/>
      <c r="I241" s="65"/>
      <c r="J241" s="65"/>
      <c r="K241" s="65"/>
      <c r="L241" s="65"/>
      <c r="M241" s="357"/>
      <c r="N241" s="364">
        <v>0</v>
      </c>
    </row>
    <row r="242" spans="1:14" x14ac:dyDescent="0.25">
      <c r="A242" s="348">
        <v>0</v>
      </c>
      <c r="B242" s="365" t="s">
        <v>60</v>
      </c>
      <c r="C242" s="43"/>
      <c r="D242" s="161"/>
      <c r="E242" s="161"/>
      <c r="F242" s="161"/>
      <c r="G242" s="161"/>
      <c r="H242" s="43"/>
      <c r="I242" s="65"/>
      <c r="J242" s="65"/>
      <c r="K242" s="65"/>
      <c r="L242" s="65"/>
      <c r="M242" s="357"/>
      <c r="N242" s="364">
        <v>0</v>
      </c>
    </row>
    <row r="243" spans="1:14" x14ac:dyDescent="0.25">
      <c r="A243" s="348">
        <v>0</v>
      </c>
      <c r="B243" s="365" t="s">
        <v>61</v>
      </c>
      <c r="C243" s="43"/>
      <c r="D243" s="161"/>
      <c r="E243" s="161"/>
      <c r="F243" s="161"/>
      <c r="G243" s="161"/>
      <c r="H243" s="43"/>
      <c r="I243" s="65"/>
      <c r="J243" s="65"/>
      <c r="K243" s="65"/>
      <c r="L243" s="65"/>
      <c r="M243" s="357"/>
      <c r="N243" s="364">
        <v>0</v>
      </c>
    </row>
    <row r="244" spans="1:14" x14ac:dyDescent="0.25">
      <c r="A244" s="348">
        <v>0</v>
      </c>
      <c r="B244" s="365" t="s">
        <v>62</v>
      </c>
      <c r="C244" s="43"/>
      <c r="D244" s="161"/>
      <c r="E244" s="161"/>
      <c r="F244" s="161"/>
      <c r="G244" s="161"/>
      <c r="H244" s="43"/>
      <c r="I244" s="65"/>
      <c r="J244" s="65"/>
      <c r="K244" s="65"/>
      <c r="L244" s="65"/>
      <c r="M244" s="357"/>
      <c r="N244" s="364">
        <v>0</v>
      </c>
    </row>
    <row r="245" spans="1:14" x14ac:dyDescent="0.25">
      <c r="A245" s="348">
        <v>0</v>
      </c>
      <c r="B245" s="365" t="s">
        <v>63</v>
      </c>
      <c r="C245" s="43"/>
      <c r="D245" s="161"/>
      <c r="E245" s="161"/>
      <c r="F245" s="161"/>
      <c r="G245" s="161"/>
      <c r="H245" s="43"/>
      <c r="I245" s="65"/>
      <c r="J245" s="65"/>
      <c r="K245" s="65"/>
      <c r="L245" s="65"/>
      <c r="M245" s="357"/>
      <c r="N245" s="364">
        <v>0</v>
      </c>
    </row>
    <row r="246" spans="1:14" x14ac:dyDescent="0.25">
      <c r="A246" s="349">
        <f>SUM(A239:A245)</f>
        <v>0</v>
      </c>
      <c r="B246" s="365" t="s">
        <v>64</v>
      </c>
      <c r="C246" s="43"/>
      <c r="H246" s="43"/>
      <c r="I246" s="65"/>
      <c r="J246" s="65"/>
      <c r="K246" s="65"/>
      <c r="L246" s="65"/>
      <c r="M246" s="357"/>
      <c r="N246" s="366">
        <f>SUM(N238:N245)</f>
        <v>2300</v>
      </c>
    </row>
    <row r="247" spans="1:14" ht="63" x14ac:dyDescent="0.25">
      <c r="A247" s="347">
        <f>A238+1</f>
        <v>44601</v>
      </c>
      <c r="B247" s="361" t="s">
        <v>1851</v>
      </c>
      <c r="C247" s="55" t="s">
        <v>2049</v>
      </c>
      <c r="D247" s="57">
        <v>30</v>
      </c>
      <c r="E247" s="57" t="s">
        <v>2050</v>
      </c>
      <c r="F247" s="57" t="s">
        <v>2011</v>
      </c>
      <c r="G247" s="57" t="s">
        <v>2012</v>
      </c>
      <c r="H247" s="55" t="s">
        <v>2051</v>
      </c>
      <c r="I247" s="56">
        <v>36</v>
      </c>
      <c r="J247" s="57" t="s">
        <v>2052</v>
      </c>
      <c r="K247" s="57" t="s">
        <v>2053</v>
      </c>
      <c r="L247" s="57" t="s">
        <v>2054</v>
      </c>
      <c r="M247" s="357"/>
      <c r="N247" s="364">
        <v>2328</v>
      </c>
    </row>
    <row r="248" spans="1:14" ht="31.5" x14ac:dyDescent="0.25">
      <c r="A248" s="348">
        <v>2500</v>
      </c>
      <c r="B248" s="365" t="s">
        <v>57</v>
      </c>
      <c r="C248" s="87" t="s">
        <v>2055</v>
      </c>
      <c r="D248" s="311"/>
      <c r="E248" s="311"/>
      <c r="F248" s="311"/>
      <c r="G248" s="311"/>
      <c r="H248" s="55" t="s">
        <v>2056</v>
      </c>
      <c r="I248" s="65"/>
      <c r="J248" s="65"/>
      <c r="K248" s="65"/>
      <c r="L248" s="57"/>
      <c r="M248" s="357"/>
      <c r="N248" s="364">
        <v>0</v>
      </c>
    </row>
    <row r="249" spans="1:14" x14ac:dyDescent="0.25">
      <c r="A249" s="348">
        <v>0</v>
      </c>
      <c r="B249" s="365" t="s">
        <v>58</v>
      </c>
      <c r="C249" s="43"/>
      <c r="D249" s="65"/>
      <c r="E249" s="65"/>
      <c r="F249" s="65"/>
      <c r="G249" s="65"/>
      <c r="H249" s="43"/>
      <c r="I249" s="65"/>
      <c r="J249" s="65"/>
      <c r="K249" s="65"/>
      <c r="L249" s="65"/>
      <c r="M249" s="357"/>
      <c r="N249" s="364">
        <v>0</v>
      </c>
    </row>
    <row r="250" spans="1:14" x14ac:dyDescent="0.25">
      <c r="A250" s="348">
        <v>0</v>
      </c>
      <c r="B250" s="365" t="s">
        <v>59</v>
      </c>
      <c r="C250" s="43"/>
      <c r="D250" s="65"/>
      <c r="E250" s="65"/>
      <c r="F250" s="65"/>
      <c r="G250" s="65"/>
      <c r="H250" s="43"/>
      <c r="I250" s="65"/>
      <c r="J250" s="65"/>
      <c r="K250" s="65"/>
      <c r="L250" s="65"/>
      <c r="M250" s="357"/>
      <c r="N250" s="364">
        <v>0</v>
      </c>
    </row>
    <row r="251" spans="1:14" ht="78.75" x14ac:dyDescent="0.25">
      <c r="A251" s="348">
        <v>0</v>
      </c>
      <c r="B251" s="365" t="s">
        <v>60</v>
      </c>
      <c r="C251" s="43"/>
      <c r="D251" s="65"/>
      <c r="E251" s="65"/>
      <c r="F251" s="65"/>
      <c r="G251" s="65"/>
      <c r="H251" s="55" t="s">
        <v>2057</v>
      </c>
      <c r="I251" s="84">
        <v>30</v>
      </c>
      <c r="J251" s="84" t="s">
        <v>2058</v>
      </c>
      <c r="K251" s="84" t="s">
        <v>2059</v>
      </c>
      <c r="L251" s="84" t="s">
        <v>2060</v>
      </c>
      <c r="M251" s="357"/>
      <c r="N251" s="364">
        <v>0</v>
      </c>
    </row>
    <row r="252" spans="1:14" ht="47.25" x14ac:dyDescent="0.25">
      <c r="A252" s="348">
        <v>0</v>
      </c>
      <c r="B252" s="365" t="s">
        <v>61</v>
      </c>
      <c r="C252" s="43"/>
      <c r="D252" s="65"/>
      <c r="E252" s="65"/>
      <c r="F252" s="65"/>
      <c r="G252" s="65"/>
      <c r="H252" s="55" t="s">
        <v>2061</v>
      </c>
      <c r="I252" s="84"/>
      <c r="J252" s="84"/>
      <c r="K252" s="84"/>
      <c r="L252" s="84"/>
      <c r="M252" s="357"/>
      <c r="N252" s="364">
        <v>0</v>
      </c>
    </row>
    <row r="253" spans="1:14" x14ac:dyDescent="0.25">
      <c r="A253" s="348">
        <v>0</v>
      </c>
      <c r="B253" s="365" t="s">
        <v>62</v>
      </c>
      <c r="C253" s="43"/>
      <c r="D253" s="65"/>
      <c r="E253" s="65"/>
      <c r="F253" s="65"/>
      <c r="G253" s="65"/>
      <c r="H253" s="43"/>
      <c r="I253" s="86"/>
      <c r="J253" s="86"/>
      <c r="K253" s="86"/>
      <c r="L253" s="86"/>
      <c r="M253" s="357"/>
      <c r="N253" s="364">
        <v>0</v>
      </c>
    </row>
    <row r="254" spans="1:14" x14ac:dyDescent="0.25">
      <c r="A254" s="348">
        <v>0</v>
      </c>
      <c r="B254" s="365" t="s">
        <v>63</v>
      </c>
      <c r="C254" s="43"/>
      <c r="D254" s="65"/>
      <c r="E254" s="65"/>
      <c r="F254" s="65"/>
      <c r="G254" s="65"/>
      <c r="H254" s="43"/>
      <c r="I254" s="86"/>
      <c r="J254" s="86"/>
      <c r="K254" s="86"/>
      <c r="L254" s="86"/>
      <c r="M254" s="357"/>
      <c r="N254" s="364">
        <v>0</v>
      </c>
    </row>
    <row r="255" spans="1:14" x14ac:dyDescent="0.25">
      <c r="A255" s="349">
        <f>SUM(A248:A254)</f>
        <v>2500</v>
      </c>
      <c r="B255" s="365" t="s">
        <v>64</v>
      </c>
      <c r="C255" s="43"/>
      <c r="D255" s="65"/>
      <c r="E255" s="65"/>
      <c r="F255" s="65"/>
      <c r="G255" s="65"/>
      <c r="H255" s="43"/>
      <c r="I255" s="86"/>
      <c r="J255" s="86"/>
      <c r="K255" s="86"/>
      <c r="L255" s="86"/>
      <c r="M255" s="357"/>
      <c r="N255" s="366">
        <f>SUM(N247:N254)</f>
        <v>2328</v>
      </c>
    </row>
    <row r="256" spans="1:14" ht="110.25" x14ac:dyDescent="0.25">
      <c r="A256" s="347">
        <f>A247+1</f>
        <v>44602</v>
      </c>
      <c r="B256" s="361" t="s">
        <v>1851</v>
      </c>
      <c r="C256" s="55" t="s">
        <v>2062</v>
      </c>
      <c r="D256" s="57">
        <v>48</v>
      </c>
      <c r="E256" s="57" t="s">
        <v>248</v>
      </c>
      <c r="F256" s="57" t="s">
        <v>2063</v>
      </c>
      <c r="G256" s="125">
        <v>44601</v>
      </c>
      <c r="H256" s="43"/>
      <c r="I256" s="161" t="s">
        <v>2064</v>
      </c>
      <c r="J256" s="161"/>
      <c r="K256" s="161"/>
      <c r="L256" s="161"/>
      <c r="M256" s="357"/>
      <c r="N256" s="364">
        <v>0</v>
      </c>
    </row>
    <row r="257" spans="1:14" ht="31.5" x14ac:dyDescent="0.25">
      <c r="A257" s="348">
        <v>2000</v>
      </c>
      <c r="B257" s="365" t="s">
        <v>57</v>
      </c>
      <c r="C257" s="55" t="s">
        <v>2065</v>
      </c>
      <c r="D257" s="57"/>
      <c r="E257" s="57"/>
      <c r="F257" s="57"/>
      <c r="G257" s="57" t="s">
        <v>1344</v>
      </c>
      <c r="H257" s="43"/>
      <c r="I257" s="161"/>
      <c r="J257" s="161"/>
      <c r="K257" s="161"/>
      <c r="L257" s="161"/>
      <c r="M257" s="357"/>
      <c r="N257" s="364">
        <v>0</v>
      </c>
    </row>
    <row r="258" spans="1:14" x14ac:dyDescent="0.25">
      <c r="A258" s="348">
        <v>0</v>
      </c>
      <c r="B258" s="365" t="s">
        <v>58</v>
      </c>
      <c r="C258" s="43"/>
      <c r="D258" s="65"/>
      <c r="E258" s="65"/>
      <c r="F258" s="65"/>
      <c r="G258" s="65"/>
      <c r="H258" s="43"/>
      <c r="I258" s="161"/>
      <c r="J258" s="161"/>
      <c r="K258" s="161"/>
      <c r="L258" s="161"/>
      <c r="M258" s="357"/>
      <c r="N258" s="364">
        <v>0</v>
      </c>
    </row>
    <row r="259" spans="1:14" x14ac:dyDescent="0.25">
      <c r="A259" s="348">
        <v>0</v>
      </c>
      <c r="B259" s="365" t="s">
        <v>59</v>
      </c>
      <c r="C259" s="43"/>
      <c r="D259" s="65"/>
      <c r="E259" s="65"/>
      <c r="F259" s="65"/>
      <c r="G259" s="65"/>
      <c r="H259" s="43"/>
      <c r="I259" s="161"/>
      <c r="J259" s="161"/>
      <c r="K259" s="161"/>
      <c r="L259" s="161"/>
      <c r="M259" s="357"/>
      <c r="N259" s="364">
        <v>0</v>
      </c>
    </row>
    <row r="260" spans="1:14" x14ac:dyDescent="0.25">
      <c r="A260" s="348">
        <v>0</v>
      </c>
      <c r="B260" s="365" t="s">
        <v>60</v>
      </c>
      <c r="C260" s="43"/>
      <c r="D260" s="65"/>
      <c r="E260" s="65"/>
      <c r="F260" s="65"/>
      <c r="G260" s="65"/>
      <c r="H260" s="43"/>
      <c r="I260" s="161"/>
      <c r="J260" s="161"/>
      <c r="K260" s="161"/>
      <c r="L260" s="161"/>
      <c r="M260" s="357"/>
      <c r="N260" s="364">
        <v>0</v>
      </c>
    </row>
    <row r="261" spans="1:14" x14ac:dyDescent="0.25">
      <c r="A261" s="348">
        <v>0</v>
      </c>
      <c r="B261" s="365" t="s">
        <v>61</v>
      </c>
      <c r="C261" s="43"/>
      <c r="D261" s="65"/>
      <c r="E261" s="65"/>
      <c r="F261" s="65"/>
      <c r="G261" s="65"/>
      <c r="H261" s="43"/>
      <c r="I261" s="161"/>
      <c r="J261" s="161"/>
      <c r="K261" s="161"/>
      <c r="L261" s="161"/>
      <c r="M261" s="357"/>
      <c r="N261" s="364">
        <v>0</v>
      </c>
    </row>
    <row r="262" spans="1:14" x14ac:dyDescent="0.25">
      <c r="A262" s="348">
        <v>0</v>
      </c>
      <c r="B262" s="365" t="s">
        <v>62</v>
      </c>
      <c r="C262" s="43"/>
      <c r="D262" s="65"/>
      <c r="E262" s="65"/>
      <c r="F262" s="65"/>
      <c r="G262" s="65"/>
      <c r="H262" s="43"/>
      <c r="I262" s="161"/>
      <c r="J262" s="161"/>
      <c r="K262" s="161"/>
      <c r="L262" s="161"/>
      <c r="M262" s="357"/>
      <c r="N262" s="364">
        <v>0</v>
      </c>
    </row>
    <row r="263" spans="1:14" x14ac:dyDescent="0.25">
      <c r="A263" s="348">
        <v>641</v>
      </c>
      <c r="B263" s="365" t="s">
        <v>63</v>
      </c>
      <c r="C263" s="43"/>
      <c r="D263" s="65"/>
      <c r="E263" s="65"/>
      <c r="F263" s="65"/>
      <c r="G263" s="65"/>
      <c r="H263" s="43"/>
      <c r="I263" s="161"/>
      <c r="J263" s="161"/>
      <c r="K263" s="161"/>
      <c r="L263" s="161"/>
      <c r="M263" s="357"/>
      <c r="N263" s="364">
        <v>0</v>
      </c>
    </row>
    <row r="264" spans="1:14" x14ac:dyDescent="0.25">
      <c r="A264" s="349">
        <f>SUM(A257:A263)</f>
        <v>2641</v>
      </c>
      <c r="B264" s="365" t="s">
        <v>64</v>
      </c>
      <c r="C264" s="43"/>
      <c r="D264" s="65"/>
      <c r="E264" s="65"/>
      <c r="F264" s="65"/>
      <c r="G264" s="65"/>
      <c r="H264" s="43"/>
      <c r="I264" s="161"/>
      <c r="J264" s="161"/>
      <c r="K264" s="161"/>
      <c r="L264" s="161"/>
      <c r="M264" s="357"/>
      <c r="N264" s="366">
        <f>SUM(N256:N263)</f>
        <v>0</v>
      </c>
    </row>
    <row r="265" spans="1:14" x14ac:dyDescent="0.25">
      <c r="A265" s="347">
        <f>A256+1</f>
        <v>44603</v>
      </c>
      <c r="B265" s="361" t="s">
        <v>1851</v>
      </c>
      <c r="C265" s="43"/>
      <c r="D265" s="86" t="s">
        <v>2066</v>
      </c>
      <c r="E265" s="86"/>
      <c r="F265" s="86"/>
      <c r="G265" s="86"/>
      <c r="H265" s="87" t="s">
        <v>2067</v>
      </c>
      <c r="I265" s="86"/>
      <c r="J265" s="86"/>
      <c r="K265" s="86"/>
      <c r="L265" s="86"/>
      <c r="M265" s="357"/>
      <c r="N265" s="364">
        <v>0</v>
      </c>
    </row>
    <row r="266" spans="1:14" x14ac:dyDescent="0.25">
      <c r="A266" s="348">
        <v>618</v>
      </c>
      <c r="B266" s="365" t="s">
        <v>57</v>
      </c>
      <c r="C266" s="43"/>
      <c r="D266" s="86"/>
      <c r="E266" s="86"/>
      <c r="F266" s="86"/>
      <c r="G266" s="86"/>
      <c r="H266" s="43"/>
      <c r="I266" s="65"/>
      <c r="J266" s="65"/>
      <c r="K266" s="65"/>
      <c r="L266" s="65"/>
      <c r="M266" s="357"/>
      <c r="N266" s="364">
        <v>0</v>
      </c>
    </row>
    <row r="267" spans="1:14" x14ac:dyDescent="0.25">
      <c r="A267" s="348">
        <v>0</v>
      </c>
      <c r="B267" s="365" t="s">
        <v>58</v>
      </c>
      <c r="C267" s="43"/>
      <c r="D267" s="86"/>
      <c r="E267" s="86"/>
      <c r="F267" s="86"/>
      <c r="G267" s="86"/>
      <c r="H267" s="43"/>
      <c r="I267" s="65"/>
      <c r="J267" s="65"/>
      <c r="K267" s="65"/>
      <c r="L267" s="65"/>
      <c r="M267" s="357"/>
      <c r="N267" s="364">
        <v>0</v>
      </c>
    </row>
    <row r="268" spans="1:14" x14ac:dyDescent="0.25">
      <c r="A268" s="348">
        <v>641</v>
      </c>
      <c r="B268" s="365" t="s">
        <v>59</v>
      </c>
      <c r="C268" s="43"/>
      <c r="D268" s="86"/>
      <c r="E268" s="86"/>
      <c r="F268" s="86"/>
      <c r="G268" s="86"/>
      <c r="H268" s="43"/>
      <c r="I268" s="65"/>
      <c r="J268" s="65"/>
      <c r="K268" s="65"/>
      <c r="L268" s="65"/>
      <c r="M268" s="357"/>
      <c r="N268" s="364">
        <v>0</v>
      </c>
    </row>
    <row r="269" spans="1:14" x14ac:dyDescent="0.25">
      <c r="A269" s="348">
        <v>0</v>
      </c>
      <c r="B269" s="365" t="s">
        <v>60</v>
      </c>
      <c r="C269" s="43"/>
      <c r="D269" s="86"/>
      <c r="E269" s="86"/>
      <c r="F269" s="86"/>
      <c r="G269" s="86"/>
      <c r="H269" s="43"/>
      <c r="I269" s="65"/>
      <c r="J269" s="65"/>
      <c r="K269" s="65"/>
      <c r="L269" s="65"/>
      <c r="M269" s="357"/>
      <c r="N269" s="364">
        <v>0</v>
      </c>
    </row>
    <row r="270" spans="1:14" ht="126" x14ac:dyDescent="0.25">
      <c r="A270" s="348">
        <v>0</v>
      </c>
      <c r="B270" s="365" t="s">
        <v>61</v>
      </c>
      <c r="C270" s="43"/>
      <c r="D270" s="86"/>
      <c r="E270" s="86"/>
      <c r="F270" s="86"/>
      <c r="G270" s="86"/>
      <c r="H270" s="55" t="s">
        <v>2068</v>
      </c>
      <c r="I270" s="84">
        <v>60</v>
      </c>
      <c r="J270" s="84" t="s">
        <v>1875</v>
      </c>
      <c r="K270" s="84" t="s">
        <v>2069</v>
      </c>
      <c r="L270" s="136">
        <v>44603</v>
      </c>
      <c r="M270" s="357"/>
      <c r="N270" s="364">
        <v>0</v>
      </c>
    </row>
    <row r="271" spans="1:14" ht="47.25" x14ac:dyDescent="0.25">
      <c r="A271" s="348">
        <v>0</v>
      </c>
      <c r="B271" s="365" t="s">
        <v>62</v>
      </c>
      <c r="C271" s="43"/>
      <c r="D271" s="86"/>
      <c r="E271" s="86"/>
      <c r="F271" s="86"/>
      <c r="G271" s="86"/>
      <c r="H271" s="55"/>
      <c r="I271" s="84"/>
      <c r="J271" s="84"/>
      <c r="K271" s="84" t="s">
        <v>2070</v>
      </c>
      <c r="L271" s="84" t="s">
        <v>929</v>
      </c>
      <c r="M271" s="357"/>
      <c r="N271" s="364">
        <v>0</v>
      </c>
    </row>
    <row r="272" spans="1:14" x14ac:dyDescent="0.25">
      <c r="A272" s="348">
        <v>0</v>
      </c>
      <c r="B272" s="365" t="s">
        <v>63</v>
      </c>
      <c r="C272" s="43"/>
      <c r="D272" s="86"/>
      <c r="E272" s="86"/>
      <c r="F272" s="86"/>
      <c r="G272" s="86"/>
      <c r="H272" s="43"/>
      <c r="I272" s="86"/>
      <c r="J272" s="86"/>
      <c r="K272" s="86"/>
      <c r="L272" s="86"/>
      <c r="M272" s="357"/>
      <c r="N272" s="364">
        <v>0</v>
      </c>
    </row>
    <row r="273" spans="1:14" x14ac:dyDescent="0.25">
      <c r="A273" s="349">
        <f>SUM(A266:A272)</f>
        <v>1259</v>
      </c>
      <c r="B273" s="365" t="s">
        <v>64</v>
      </c>
      <c r="C273" s="43"/>
      <c r="D273" s="86"/>
      <c r="E273" s="86"/>
      <c r="F273" s="86"/>
      <c r="G273" s="86"/>
      <c r="H273" s="43"/>
      <c r="I273" s="86"/>
      <c r="J273" s="86"/>
      <c r="K273" s="86"/>
      <c r="L273" s="86"/>
      <c r="M273" s="357"/>
      <c r="N273" s="366">
        <f>SUM(N265:N272)</f>
        <v>0</v>
      </c>
    </row>
    <row r="274" spans="1:14" ht="63" x14ac:dyDescent="0.25">
      <c r="A274" s="347">
        <f>A265+3</f>
        <v>44606</v>
      </c>
      <c r="B274" s="361" t="s">
        <v>1851</v>
      </c>
      <c r="C274" s="55" t="s">
        <v>2071</v>
      </c>
      <c r="D274" s="84">
        <v>36</v>
      </c>
      <c r="E274" s="84" t="s">
        <v>610</v>
      </c>
      <c r="F274" s="84" t="s">
        <v>2072</v>
      </c>
      <c r="G274" s="136">
        <v>44596</v>
      </c>
      <c r="H274" s="55" t="s">
        <v>2073</v>
      </c>
      <c r="I274" s="84">
        <v>48</v>
      </c>
      <c r="J274" s="84" t="s">
        <v>534</v>
      </c>
      <c r="K274" s="84" t="s">
        <v>2074</v>
      </c>
      <c r="L274" s="136">
        <v>44601</v>
      </c>
      <c r="M274" s="357"/>
      <c r="N274" s="364">
        <v>345</v>
      </c>
    </row>
    <row r="275" spans="1:14" ht="78.75" x14ac:dyDescent="0.25">
      <c r="A275" s="348">
        <v>618</v>
      </c>
      <c r="B275" s="365" t="s">
        <v>57</v>
      </c>
      <c r="C275" s="55" t="s">
        <v>2075</v>
      </c>
      <c r="D275" s="57" t="s">
        <v>2076</v>
      </c>
      <c r="E275" s="57"/>
      <c r="F275" s="57"/>
      <c r="G275" s="57"/>
      <c r="H275" s="43"/>
      <c r="I275" s="86"/>
      <c r="J275" s="86"/>
      <c r="K275" s="86"/>
      <c r="L275" s="86"/>
      <c r="M275" s="357"/>
      <c r="N275" s="364">
        <v>0</v>
      </c>
    </row>
    <row r="276" spans="1:14" x14ac:dyDescent="0.25">
      <c r="A276" s="348">
        <v>0</v>
      </c>
      <c r="B276" s="365" t="s">
        <v>58</v>
      </c>
      <c r="C276" s="43"/>
      <c r="D276" s="65"/>
      <c r="E276" s="65"/>
      <c r="F276" s="65"/>
      <c r="G276" s="65"/>
      <c r="H276" s="43"/>
      <c r="I276" s="86"/>
      <c r="J276" s="86"/>
      <c r="K276" s="86"/>
      <c r="L276" s="86"/>
      <c r="M276" s="357"/>
      <c r="N276" s="364">
        <v>0</v>
      </c>
    </row>
    <row r="277" spans="1:14" ht="63" x14ac:dyDescent="0.25">
      <c r="A277" s="348">
        <v>641</v>
      </c>
      <c r="B277" s="365" t="s">
        <v>59</v>
      </c>
      <c r="C277" s="55" t="s">
        <v>2077</v>
      </c>
      <c r="D277" s="57">
        <v>60</v>
      </c>
      <c r="E277" s="57" t="s">
        <v>204</v>
      </c>
      <c r="F277" s="57" t="s">
        <v>2078</v>
      </c>
      <c r="G277" s="125">
        <v>44603</v>
      </c>
      <c r="H277" s="55" t="s">
        <v>2079</v>
      </c>
      <c r="I277" s="84">
        <v>36</v>
      </c>
      <c r="J277" s="84" t="s">
        <v>2080</v>
      </c>
      <c r="K277" s="84" t="s">
        <v>759</v>
      </c>
      <c r="L277" s="84" t="s">
        <v>2081</v>
      </c>
      <c r="M277" s="357"/>
      <c r="N277" s="364">
        <v>2308</v>
      </c>
    </row>
    <row r="278" spans="1:14" ht="31.5" x14ac:dyDescent="0.25">
      <c r="A278" s="348">
        <v>0</v>
      </c>
      <c r="B278" s="365" t="s">
        <v>60</v>
      </c>
      <c r="C278" s="55" t="s">
        <v>2082</v>
      </c>
      <c r="D278" s="57"/>
      <c r="E278" s="57"/>
      <c r="F278" s="57"/>
      <c r="G278" s="57"/>
      <c r="H278" s="43"/>
      <c r="I278" s="86"/>
      <c r="J278" s="86"/>
      <c r="K278" s="86"/>
      <c r="L278" s="86"/>
      <c r="M278" s="357"/>
      <c r="N278" s="364">
        <v>0</v>
      </c>
    </row>
    <row r="279" spans="1:14" x14ac:dyDescent="0.25">
      <c r="A279" s="348">
        <v>622</v>
      </c>
      <c r="B279" s="365" t="s">
        <v>61</v>
      </c>
      <c r="C279" s="43"/>
      <c r="D279" s="65"/>
      <c r="E279" s="65"/>
      <c r="F279" s="65"/>
      <c r="G279" s="65"/>
      <c r="H279" s="43"/>
      <c r="I279" s="86"/>
      <c r="J279" s="86"/>
      <c r="K279" s="86"/>
      <c r="L279" s="86"/>
      <c r="M279" s="357"/>
      <c r="N279" s="364">
        <v>0</v>
      </c>
    </row>
    <row r="280" spans="1:14" x14ac:dyDescent="0.25">
      <c r="A280" s="348">
        <v>0</v>
      </c>
      <c r="B280" s="365" t="s">
        <v>62</v>
      </c>
      <c r="C280" s="43"/>
      <c r="D280" s="86"/>
      <c r="E280" s="86"/>
      <c r="F280" s="86"/>
      <c r="G280" s="86"/>
      <c r="H280" s="43"/>
      <c r="I280" s="86"/>
      <c r="J280" s="86"/>
      <c r="K280" s="86"/>
      <c r="L280" s="86"/>
      <c r="M280" s="357"/>
      <c r="N280" s="364">
        <v>0</v>
      </c>
    </row>
    <row r="281" spans="1:14" x14ac:dyDescent="0.25">
      <c r="A281" s="348">
        <v>0</v>
      </c>
      <c r="B281" s="365" t="s">
        <v>63</v>
      </c>
      <c r="C281" s="43"/>
      <c r="D281" s="86"/>
      <c r="E281" s="86"/>
      <c r="F281" s="86"/>
      <c r="G281" s="86"/>
      <c r="H281" s="43"/>
      <c r="I281" s="86"/>
      <c r="J281" s="86"/>
      <c r="K281" s="86"/>
      <c r="L281" s="86"/>
      <c r="M281" s="357"/>
      <c r="N281" s="364">
        <v>0</v>
      </c>
    </row>
    <row r="282" spans="1:14" x14ac:dyDescent="0.25">
      <c r="A282" s="349">
        <f>SUM(A275:A281)</f>
        <v>1881</v>
      </c>
      <c r="B282" s="365" t="s">
        <v>64</v>
      </c>
      <c r="C282" s="43"/>
      <c r="D282" s="86"/>
      <c r="E282" s="86"/>
      <c r="F282" s="86"/>
      <c r="G282" s="86"/>
      <c r="H282" s="43"/>
      <c r="I282" s="86"/>
      <c r="J282" s="86"/>
      <c r="K282" s="86"/>
      <c r="L282" s="86"/>
      <c r="M282" s="357"/>
      <c r="N282" s="366">
        <f>SUM(N274:N281)</f>
        <v>2653</v>
      </c>
    </row>
    <row r="283" spans="1:14" ht="78.75" x14ac:dyDescent="0.25">
      <c r="A283" s="347">
        <f>A274+1</f>
        <v>44607</v>
      </c>
      <c r="B283" s="361" t="s">
        <v>1851</v>
      </c>
      <c r="C283" s="55" t="s">
        <v>2083</v>
      </c>
      <c r="D283" s="57">
        <v>60</v>
      </c>
      <c r="E283" s="57" t="s">
        <v>140</v>
      </c>
      <c r="F283" s="57" t="s">
        <v>2084</v>
      </c>
      <c r="G283" s="125">
        <v>44607</v>
      </c>
      <c r="H283" s="87" t="s">
        <v>2085</v>
      </c>
      <c r="I283" s="86"/>
      <c r="J283" s="86"/>
      <c r="K283" s="86"/>
      <c r="L283" s="86"/>
      <c r="M283" s="357"/>
      <c r="N283" s="364">
        <v>1961</v>
      </c>
    </row>
    <row r="284" spans="1:14" x14ac:dyDescent="0.25">
      <c r="A284" s="348">
        <v>2000</v>
      </c>
      <c r="B284" s="365" t="s">
        <v>57</v>
      </c>
      <c r="C284" s="43"/>
      <c r="D284" s="65"/>
      <c r="E284" s="65"/>
      <c r="F284" s="65"/>
      <c r="G284" s="65"/>
      <c r="H284" s="43"/>
      <c r="I284" s="86"/>
      <c r="J284" s="86"/>
      <c r="K284" s="86"/>
      <c r="L284" s="86"/>
      <c r="M284" s="357"/>
      <c r="N284" s="364">
        <v>0</v>
      </c>
    </row>
    <row r="285" spans="1:14" x14ac:dyDescent="0.25">
      <c r="A285" s="348">
        <v>0</v>
      </c>
      <c r="B285" s="365" t="s">
        <v>58</v>
      </c>
      <c r="C285" s="43"/>
      <c r="D285" s="65"/>
      <c r="E285" s="65"/>
      <c r="F285" s="65"/>
      <c r="G285" s="65"/>
      <c r="H285" s="43"/>
      <c r="I285" s="86"/>
      <c r="J285" s="86"/>
      <c r="K285" s="86"/>
      <c r="L285" s="86"/>
      <c r="M285" s="357"/>
      <c r="N285" s="364">
        <v>0</v>
      </c>
    </row>
    <row r="286" spans="1:14" ht="78.75" x14ac:dyDescent="0.25">
      <c r="A286" s="348">
        <v>0</v>
      </c>
      <c r="B286" s="365" t="s">
        <v>59</v>
      </c>
      <c r="C286" s="43"/>
      <c r="D286" s="65"/>
      <c r="E286" s="65"/>
      <c r="F286" s="65"/>
      <c r="G286" s="65"/>
      <c r="H286" s="55" t="s">
        <v>2086</v>
      </c>
      <c r="I286" s="84">
        <v>49.125</v>
      </c>
      <c r="J286" s="84" t="s">
        <v>1145</v>
      </c>
      <c r="K286" s="84" t="s">
        <v>2087</v>
      </c>
      <c r="L286" s="136">
        <v>44606</v>
      </c>
      <c r="M286" s="357"/>
      <c r="N286" s="364">
        <v>0</v>
      </c>
    </row>
    <row r="287" spans="1:14" ht="63" x14ac:dyDescent="0.25">
      <c r="A287" s="348">
        <v>0</v>
      </c>
      <c r="B287" s="365" t="s">
        <v>60</v>
      </c>
      <c r="C287" s="55" t="s">
        <v>2088</v>
      </c>
      <c r="D287" s="56">
        <v>36</v>
      </c>
      <c r="E287" s="57" t="s">
        <v>2089</v>
      </c>
      <c r="F287" s="57" t="s">
        <v>2090</v>
      </c>
      <c r="G287" s="57" t="s">
        <v>2091</v>
      </c>
      <c r="H287" s="55" t="s">
        <v>2092</v>
      </c>
      <c r="I287" s="84">
        <v>60</v>
      </c>
      <c r="J287" s="84" t="s">
        <v>2093</v>
      </c>
      <c r="K287" s="84" t="s">
        <v>2094</v>
      </c>
      <c r="L287" s="136">
        <v>44603</v>
      </c>
      <c r="M287" s="357"/>
      <c r="N287" s="364">
        <v>0</v>
      </c>
    </row>
    <row r="288" spans="1:14" ht="47.25" x14ac:dyDescent="0.25">
      <c r="A288" s="348">
        <v>0</v>
      </c>
      <c r="B288" s="365" t="s">
        <v>61</v>
      </c>
      <c r="C288" s="55" t="s">
        <v>2095</v>
      </c>
      <c r="D288" s="65"/>
      <c r="E288" s="65"/>
      <c r="F288" s="65"/>
      <c r="G288" s="57"/>
      <c r="H288" s="55" t="s">
        <v>2096</v>
      </c>
      <c r="I288" s="86" t="s">
        <v>2097</v>
      </c>
      <c r="J288" s="86"/>
      <c r="K288" s="86"/>
      <c r="L288" s="86"/>
      <c r="M288" s="357"/>
      <c r="N288" s="364">
        <v>2251</v>
      </c>
    </row>
    <row r="289" spans="1:14" x14ac:dyDescent="0.25">
      <c r="A289" s="348">
        <v>0</v>
      </c>
      <c r="B289" s="365" t="s">
        <v>62</v>
      </c>
      <c r="C289" s="43"/>
      <c r="D289" s="65"/>
      <c r="E289" s="65"/>
      <c r="F289" s="65"/>
      <c r="G289" s="65"/>
      <c r="H289" s="43"/>
      <c r="I289" s="86"/>
      <c r="J289" s="86"/>
      <c r="K289" s="86"/>
      <c r="L289" s="86"/>
      <c r="M289" s="357"/>
      <c r="N289" s="364">
        <v>0</v>
      </c>
    </row>
    <row r="290" spans="1:14" x14ac:dyDescent="0.25">
      <c r="A290" s="348">
        <v>0</v>
      </c>
      <c r="B290" s="365" t="s">
        <v>63</v>
      </c>
      <c r="C290" s="43"/>
      <c r="D290" s="65"/>
      <c r="E290" s="65"/>
      <c r="F290" s="65"/>
      <c r="G290" s="65"/>
      <c r="H290" s="43"/>
      <c r="I290" s="86"/>
      <c r="J290" s="86"/>
      <c r="K290" s="86"/>
      <c r="L290" s="86"/>
      <c r="M290" s="357"/>
      <c r="N290" s="364">
        <v>0</v>
      </c>
    </row>
    <row r="291" spans="1:14" x14ac:dyDescent="0.25">
      <c r="A291" s="349">
        <f>SUM(A284:A290)</f>
        <v>2000</v>
      </c>
      <c r="B291" s="365" t="s">
        <v>64</v>
      </c>
      <c r="C291" s="43"/>
      <c r="D291" s="65"/>
      <c r="E291" s="65"/>
      <c r="F291" s="65"/>
      <c r="G291" s="65"/>
      <c r="H291" s="43"/>
      <c r="I291" s="86"/>
      <c r="J291" s="86"/>
      <c r="K291" s="86"/>
      <c r="L291" s="86"/>
      <c r="M291" s="357"/>
      <c r="N291" s="366">
        <f>SUM(N283:N290)</f>
        <v>4212</v>
      </c>
    </row>
    <row r="292" spans="1:14" x14ac:dyDescent="0.25">
      <c r="A292" s="347">
        <f>A283+1</f>
        <v>44608</v>
      </c>
      <c r="B292" s="361" t="s">
        <v>1851</v>
      </c>
      <c r="C292" s="87" t="s">
        <v>2098</v>
      </c>
      <c r="D292" s="65"/>
      <c r="E292" s="65"/>
      <c r="F292" s="65"/>
      <c r="G292" s="65"/>
      <c r="H292" s="87" t="s">
        <v>2099</v>
      </c>
      <c r="I292" s="86"/>
      <c r="J292" s="86"/>
      <c r="K292" s="86"/>
      <c r="L292" s="86"/>
      <c r="M292" s="357"/>
      <c r="N292" s="364">
        <v>0</v>
      </c>
    </row>
    <row r="293" spans="1:14" x14ac:dyDescent="0.25">
      <c r="A293" s="348">
        <v>2000</v>
      </c>
      <c r="B293" s="365" t="s">
        <v>57</v>
      </c>
      <c r="C293" s="43"/>
      <c r="D293" s="65"/>
      <c r="E293" s="65"/>
      <c r="F293" s="65"/>
      <c r="G293" s="65"/>
      <c r="H293" s="43"/>
      <c r="I293" s="86"/>
      <c r="J293" s="86"/>
      <c r="K293" s="86"/>
      <c r="L293" s="86"/>
      <c r="M293" s="357"/>
      <c r="N293" s="364">
        <v>0</v>
      </c>
    </row>
    <row r="294" spans="1:14" x14ac:dyDescent="0.25">
      <c r="A294" s="348">
        <v>0</v>
      </c>
      <c r="B294" s="365" t="s">
        <v>58</v>
      </c>
      <c r="C294" s="43"/>
      <c r="D294" s="65"/>
      <c r="E294" s="65"/>
      <c r="F294" s="65"/>
      <c r="G294" s="65"/>
      <c r="H294" s="43"/>
      <c r="I294" s="86"/>
      <c r="J294" s="86"/>
      <c r="K294" s="86"/>
      <c r="L294" s="86"/>
      <c r="M294" s="357"/>
      <c r="N294" s="364">
        <v>0</v>
      </c>
    </row>
    <row r="295" spans="1:14" x14ac:dyDescent="0.25">
      <c r="A295" s="348">
        <v>0</v>
      </c>
      <c r="B295" s="365" t="s">
        <v>59</v>
      </c>
      <c r="C295" s="43"/>
      <c r="D295" s="65"/>
      <c r="E295" s="65"/>
      <c r="F295" s="65"/>
      <c r="G295" s="65"/>
      <c r="H295" s="43"/>
      <c r="I295" s="86"/>
      <c r="J295" s="86"/>
      <c r="K295" s="86"/>
      <c r="L295" s="86"/>
      <c r="M295" s="357"/>
      <c r="N295" s="364">
        <v>0</v>
      </c>
    </row>
    <row r="296" spans="1:14" ht="110.25" x14ac:dyDescent="0.25">
      <c r="A296" s="348">
        <v>0</v>
      </c>
      <c r="B296" s="365" t="s">
        <v>60</v>
      </c>
      <c r="C296" s="43"/>
      <c r="D296" s="65"/>
      <c r="E296" s="65"/>
      <c r="F296" s="65"/>
      <c r="G296" s="65"/>
      <c r="H296" s="55" t="s">
        <v>2100</v>
      </c>
      <c r="I296" s="57">
        <v>72</v>
      </c>
      <c r="J296" s="57" t="s">
        <v>85</v>
      </c>
      <c r="K296" s="57" t="s">
        <v>2101</v>
      </c>
      <c r="L296" s="125">
        <v>44607</v>
      </c>
      <c r="M296" s="357"/>
      <c r="N296" s="364">
        <v>0</v>
      </c>
    </row>
    <row r="297" spans="1:14" ht="31.5" x14ac:dyDescent="0.25">
      <c r="A297" s="348">
        <v>1121</v>
      </c>
      <c r="B297" s="365" t="s">
        <v>61</v>
      </c>
      <c r="C297" s="43"/>
      <c r="D297" s="65"/>
      <c r="E297" s="65"/>
      <c r="F297" s="65"/>
      <c r="G297" s="65"/>
      <c r="H297" s="55" t="s">
        <v>2102</v>
      </c>
      <c r="I297" s="57"/>
      <c r="J297" s="57"/>
      <c r="K297" s="57"/>
      <c r="L297" s="57" t="s">
        <v>589</v>
      </c>
      <c r="M297" s="357"/>
      <c r="N297" s="364">
        <v>0</v>
      </c>
    </row>
    <row r="298" spans="1:14" x14ac:dyDescent="0.25">
      <c r="A298" s="348">
        <v>0</v>
      </c>
      <c r="B298" s="365" t="s">
        <v>62</v>
      </c>
      <c r="C298" s="43"/>
      <c r="D298" s="65"/>
      <c r="E298" s="65"/>
      <c r="F298" s="65"/>
      <c r="G298" s="65"/>
      <c r="H298" s="43"/>
      <c r="I298" s="65"/>
      <c r="J298" s="65"/>
      <c r="K298" s="65"/>
      <c r="L298" s="65"/>
      <c r="M298" s="357"/>
      <c r="N298" s="364">
        <v>0</v>
      </c>
    </row>
    <row r="299" spans="1:14" x14ac:dyDescent="0.25">
      <c r="A299" s="348">
        <v>0</v>
      </c>
      <c r="B299" s="365" t="s">
        <v>63</v>
      </c>
      <c r="C299" s="43"/>
      <c r="D299" s="65"/>
      <c r="E299" s="65"/>
      <c r="F299" s="65"/>
      <c r="G299" s="65"/>
      <c r="H299" s="43"/>
      <c r="I299" s="65"/>
      <c r="J299" s="65"/>
      <c r="K299" s="65"/>
      <c r="L299" s="65"/>
      <c r="M299" s="357"/>
      <c r="N299" s="364">
        <v>0</v>
      </c>
    </row>
    <row r="300" spans="1:14" x14ac:dyDescent="0.25">
      <c r="A300" s="349">
        <f>SUM(A293:A299)</f>
        <v>3121</v>
      </c>
      <c r="B300" s="365" t="s">
        <v>64</v>
      </c>
      <c r="C300" s="43"/>
      <c r="D300" s="65"/>
      <c r="E300" s="65"/>
      <c r="F300" s="65"/>
      <c r="G300" s="65"/>
      <c r="H300" s="43"/>
      <c r="I300" s="65"/>
      <c r="J300" s="65"/>
      <c r="K300" s="65"/>
      <c r="L300" s="65"/>
      <c r="M300" s="357"/>
      <c r="N300" s="366">
        <f>SUM(N292:N299)</f>
        <v>0</v>
      </c>
    </row>
    <row r="301" spans="1:14" x14ac:dyDescent="0.25">
      <c r="A301" s="347">
        <f>A292+1</f>
        <v>44609</v>
      </c>
      <c r="B301" s="361" t="s">
        <v>1851</v>
      </c>
      <c r="C301" s="87" t="s">
        <v>2098</v>
      </c>
      <c r="D301" s="86"/>
      <c r="E301" s="86"/>
      <c r="F301" s="86"/>
      <c r="G301" s="86"/>
      <c r="H301" s="87" t="s">
        <v>2103</v>
      </c>
      <c r="I301" s="65"/>
      <c r="J301" s="65"/>
      <c r="K301" s="65"/>
      <c r="L301" s="65"/>
      <c r="M301" s="357"/>
      <c r="N301" s="364">
        <v>0</v>
      </c>
    </row>
    <row r="302" spans="1:14" x14ac:dyDescent="0.25">
      <c r="A302" s="348">
        <v>1000</v>
      </c>
      <c r="B302" s="365" t="s">
        <v>57</v>
      </c>
      <c r="C302" s="43"/>
      <c r="D302" s="86"/>
      <c r="E302" s="86"/>
      <c r="F302" s="86"/>
      <c r="G302" s="86"/>
      <c r="H302" s="43"/>
      <c r="I302" s="65"/>
      <c r="J302" s="65"/>
      <c r="K302" s="65"/>
      <c r="L302" s="65"/>
      <c r="M302" s="357"/>
      <c r="N302" s="364">
        <v>0</v>
      </c>
    </row>
    <row r="303" spans="1:14" x14ac:dyDescent="0.25">
      <c r="A303" s="348">
        <v>0</v>
      </c>
      <c r="B303" s="365" t="s">
        <v>58</v>
      </c>
      <c r="C303" s="43"/>
      <c r="D303" s="86"/>
      <c r="E303" s="86"/>
      <c r="F303" s="86"/>
      <c r="G303" s="86"/>
      <c r="H303" s="43"/>
      <c r="I303" s="65"/>
      <c r="J303" s="65"/>
      <c r="K303" s="65"/>
      <c r="L303" s="65"/>
      <c r="M303" s="357"/>
      <c r="N303" s="364">
        <v>0</v>
      </c>
    </row>
    <row r="304" spans="1:14" x14ac:dyDescent="0.25">
      <c r="A304" s="348">
        <v>0</v>
      </c>
      <c r="B304" s="365" t="s">
        <v>59</v>
      </c>
      <c r="C304" s="43"/>
      <c r="D304" s="86"/>
      <c r="E304" s="86"/>
      <c r="F304" s="86"/>
      <c r="G304" s="86"/>
      <c r="H304" s="43"/>
      <c r="I304" s="65"/>
      <c r="J304" s="65"/>
      <c r="K304" s="65"/>
      <c r="L304" s="65"/>
      <c r="M304" s="357"/>
      <c r="N304" s="364">
        <v>0</v>
      </c>
    </row>
    <row r="305" spans="1:14" x14ac:dyDescent="0.25">
      <c r="A305" s="348"/>
      <c r="B305" s="365" t="s">
        <v>60</v>
      </c>
      <c r="C305" s="43"/>
      <c r="D305" s="86"/>
      <c r="E305" s="86"/>
      <c r="F305" s="86"/>
      <c r="G305" s="86"/>
      <c r="H305" s="43"/>
      <c r="I305" s="65"/>
      <c r="J305" s="65"/>
      <c r="K305" s="65"/>
      <c r="L305" s="65"/>
      <c r="M305" s="357"/>
      <c r="N305" s="364">
        <v>0</v>
      </c>
    </row>
    <row r="306" spans="1:14" ht="31.5" x14ac:dyDescent="0.25">
      <c r="A306" s="348">
        <v>1121</v>
      </c>
      <c r="B306" s="365" t="s">
        <v>61</v>
      </c>
      <c r="C306" s="55" t="s">
        <v>2104</v>
      </c>
      <c r="D306" s="84">
        <v>36</v>
      </c>
      <c r="E306" s="84" t="s">
        <v>1145</v>
      </c>
      <c r="F306" s="84" t="s">
        <v>2105</v>
      </c>
      <c r="G306" s="136">
        <v>44609</v>
      </c>
      <c r="H306" s="43"/>
      <c r="I306" s="65"/>
      <c r="J306" s="65"/>
      <c r="K306" s="65"/>
      <c r="L306" s="65"/>
      <c r="M306" s="357"/>
      <c r="N306" s="364">
        <v>0</v>
      </c>
    </row>
    <row r="307" spans="1:14" x14ac:dyDescent="0.25">
      <c r="A307" s="348">
        <v>0</v>
      </c>
      <c r="B307" s="365" t="s">
        <v>62</v>
      </c>
      <c r="C307" s="55" t="s">
        <v>2106</v>
      </c>
      <c r="D307" s="84"/>
      <c r="E307" s="84"/>
      <c r="F307" s="84"/>
      <c r="G307" s="84" t="s">
        <v>613</v>
      </c>
      <c r="H307" s="43"/>
      <c r="I307" s="65"/>
      <c r="J307" s="65"/>
      <c r="K307" s="65"/>
      <c r="L307" s="65"/>
      <c r="M307" s="357"/>
      <c r="N307" s="364">
        <v>0</v>
      </c>
    </row>
    <row r="308" spans="1:14" x14ac:dyDescent="0.25">
      <c r="A308" s="348">
        <v>0</v>
      </c>
      <c r="B308" s="365" t="s">
        <v>63</v>
      </c>
      <c r="C308" s="43"/>
      <c r="D308" s="86"/>
      <c r="E308" s="86"/>
      <c r="F308" s="86"/>
      <c r="G308" s="86"/>
      <c r="H308" s="43"/>
      <c r="I308" s="65"/>
      <c r="J308" s="65"/>
      <c r="K308" s="65"/>
      <c r="L308" s="65"/>
      <c r="M308" s="357"/>
      <c r="N308" s="364">
        <v>0</v>
      </c>
    </row>
    <row r="309" spans="1:14" x14ac:dyDescent="0.25">
      <c r="A309" s="349">
        <f>SUM(A302:A308)</f>
        <v>2121</v>
      </c>
      <c r="B309" s="365" t="s">
        <v>64</v>
      </c>
      <c r="C309" s="43"/>
      <c r="D309" s="86"/>
      <c r="E309" s="86"/>
      <c r="F309" s="86"/>
      <c r="G309" s="86"/>
      <c r="H309" s="43"/>
      <c r="I309" s="65"/>
      <c r="J309" s="65"/>
      <c r="K309" s="65"/>
      <c r="L309" s="65"/>
      <c r="M309" s="357"/>
      <c r="N309" s="366">
        <f>SUM(N301:N308)</f>
        <v>0</v>
      </c>
    </row>
    <row r="310" spans="1:14" x14ac:dyDescent="0.25">
      <c r="A310" s="347">
        <f>A301+1</f>
        <v>44610</v>
      </c>
      <c r="B310" s="361" t="s">
        <v>1851</v>
      </c>
      <c r="C310" s="43"/>
      <c r="D310" s="323" t="s">
        <v>2107</v>
      </c>
      <c r="E310" s="323"/>
      <c r="F310" s="323"/>
      <c r="G310" s="323"/>
      <c r="H310" s="87" t="s">
        <v>2103</v>
      </c>
      <c r="I310" s="65"/>
      <c r="J310" s="65"/>
      <c r="K310" s="65"/>
      <c r="L310" s="65"/>
      <c r="M310" s="357"/>
      <c r="N310" s="364">
        <v>0</v>
      </c>
    </row>
    <row r="311" spans="1:14" x14ac:dyDescent="0.25">
      <c r="A311" s="348">
        <v>0</v>
      </c>
      <c r="B311" s="365" t="s">
        <v>57</v>
      </c>
      <c r="C311" s="43"/>
      <c r="D311" s="323" t="s">
        <v>2108</v>
      </c>
      <c r="E311" s="323"/>
      <c r="F311" s="323"/>
      <c r="G311" s="323"/>
      <c r="H311" s="43"/>
      <c r="I311" s="65"/>
      <c r="J311" s="65"/>
      <c r="K311" s="65"/>
      <c r="L311" s="65"/>
      <c r="M311" s="357"/>
      <c r="N311" s="364">
        <v>0</v>
      </c>
    </row>
    <row r="312" spans="1:14" x14ac:dyDescent="0.25">
      <c r="A312" s="348">
        <v>0</v>
      </c>
      <c r="B312" s="365" t="s">
        <v>58</v>
      </c>
      <c r="C312" s="43"/>
      <c r="D312" s="323"/>
      <c r="E312" s="323"/>
      <c r="F312" s="323"/>
      <c r="G312" s="323"/>
      <c r="H312" s="43"/>
      <c r="I312" s="65"/>
      <c r="J312" s="65"/>
      <c r="K312" s="65"/>
      <c r="L312" s="65"/>
      <c r="M312" s="357"/>
      <c r="N312" s="364">
        <v>0</v>
      </c>
    </row>
    <row r="313" spans="1:14" x14ac:dyDescent="0.25">
      <c r="A313" s="348">
        <v>0</v>
      </c>
      <c r="B313" s="365" t="s">
        <v>59</v>
      </c>
      <c r="C313" s="43"/>
      <c r="D313" s="323"/>
      <c r="E313" s="323"/>
      <c r="F313" s="323"/>
      <c r="G313" s="323"/>
      <c r="H313" s="43"/>
      <c r="I313" s="65"/>
      <c r="J313" s="65"/>
      <c r="K313" s="65"/>
      <c r="L313" s="65"/>
      <c r="M313" s="357"/>
      <c r="N313" s="364">
        <v>0</v>
      </c>
    </row>
    <row r="314" spans="1:14" x14ac:dyDescent="0.25">
      <c r="A314" s="348">
        <v>0</v>
      </c>
      <c r="B314" s="365" t="s">
        <v>60</v>
      </c>
      <c r="C314" s="43"/>
      <c r="D314" s="323"/>
      <c r="E314" s="323"/>
      <c r="F314" s="323"/>
      <c r="G314" s="323"/>
      <c r="H314" s="43"/>
      <c r="I314" s="65"/>
      <c r="J314" s="65"/>
      <c r="K314" s="65"/>
      <c r="L314" s="65"/>
      <c r="M314" s="357"/>
      <c r="N314" s="364">
        <v>0</v>
      </c>
    </row>
    <row r="315" spans="1:14" x14ac:dyDescent="0.25">
      <c r="A315" s="348">
        <v>0</v>
      </c>
      <c r="B315" s="365" t="s">
        <v>61</v>
      </c>
      <c r="C315" s="43"/>
      <c r="D315" s="323"/>
      <c r="E315" s="323"/>
      <c r="F315" s="323"/>
      <c r="G315" s="323"/>
      <c r="H315" s="43"/>
      <c r="I315" s="65"/>
      <c r="J315" s="65"/>
      <c r="K315" s="65"/>
      <c r="L315" s="65"/>
      <c r="M315" s="357"/>
      <c r="N315" s="364">
        <v>0</v>
      </c>
    </row>
    <row r="316" spans="1:14" x14ac:dyDescent="0.25">
      <c r="A316" s="348">
        <v>0</v>
      </c>
      <c r="B316" s="365" t="s">
        <v>62</v>
      </c>
      <c r="C316" s="43"/>
      <c r="D316" s="323"/>
      <c r="E316" s="323"/>
      <c r="F316" s="323"/>
      <c r="G316" s="323"/>
      <c r="H316" s="43"/>
      <c r="I316" s="65"/>
      <c r="J316" s="65"/>
      <c r="K316" s="65"/>
      <c r="L316" s="65"/>
      <c r="M316" s="357"/>
      <c r="N316" s="364">
        <v>0</v>
      </c>
    </row>
    <row r="317" spans="1:14" x14ac:dyDescent="0.25">
      <c r="A317" s="348">
        <v>0</v>
      </c>
      <c r="B317" s="365" t="s">
        <v>63</v>
      </c>
      <c r="C317" s="43"/>
      <c r="D317" s="323"/>
      <c r="E317" s="323"/>
      <c r="F317" s="323"/>
      <c r="G317" s="323"/>
      <c r="H317" s="43"/>
      <c r="I317" s="65"/>
      <c r="J317" s="65"/>
      <c r="K317" s="65"/>
      <c r="L317" s="65"/>
      <c r="M317" s="357"/>
      <c r="N317" s="364">
        <v>0</v>
      </c>
    </row>
    <row r="318" spans="1:14" x14ac:dyDescent="0.25">
      <c r="A318" s="349">
        <f>SUM(A311:A317)</f>
        <v>0</v>
      </c>
      <c r="B318" s="365" t="s">
        <v>64</v>
      </c>
      <c r="C318" s="43"/>
      <c r="D318" s="323"/>
      <c r="E318" s="323"/>
      <c r="F318" s="323"/>
      <c r="G318" s="323"/>
      <c r="H318" s="43"/>
      <c r="I318" s="65"/>
      <c r="J318" s="65"/>
      <c r="K318" s="65"/>
      <c r="L318" s="65"/>
      <c r="M318" s="357"/>
      <c r="N318" s="366">
        <f>SUM(N310:N317)</f>
        <v>0</v>
      </c>
    </row>
    <row r="319" spans="1:14" ht="94.5" x14ac:dyDescent="0.25">
      <c r="A319" s="347">
        <f>A310+3</f>
        <v>44613</v>
      </c>
      <c r="B319" s="361" t="s">
        <v>1851</v>
      </c>
      <c r="C319" s="55" t="s">
        <v>2109</v>
      </c>
      <c r="D319" s="57">
        <v>48</v>
      </c>
      <c r="E319" s="57" t="s">
        <v>280</v>
      </c>
      <c r="F319" s="57" t="s">
        <v>2110</v>
      </c>
      <c r="G319" s="125">
        <v>44613</v>
      </c>
      <c r="H319" s="55" t="s">
        <v>2111</v>
      </c>
      <c r="I319" s="84">
        <v>60</v>
      </c>
      <c r="J319" s="84" t="s">
        <v>204</v>
      </c>
      <c r="K319" s="84" t="s">
        <v>655</v>
      </c>
      <c r="L319" s="136">
        <v>44610</v>
      </c>
      <c r="M319" s="357"/>
      <c r="N319" s="364">
        <v>0</v>
      </c>
    </row>
    <row r="320" spans="1:14" ht="94.5" x14ac:dyDescent="0.25">
      <c r="A320" s="348">
        <v>1300</v>
      </c>
      <c r="B320" s="365" t="s">
        <v>57</v>
      </c>
      <c r="C320" s="55" t="s">
        <v>2112</v>
      </c>
      <c r="D320" s="178" t="s">
        <v>2113</v>
      </c>
      <c r="E320" s="57"/>
      <c r="F320" s="57"/>
      <c r="G320" s="57"/>
      <c r="H320" s="87" t="s">
        <v>2114</v>
      </c>
      <c r="I320" s="86"/>
      <c r="J320" s="86"/>
      <c r="K320" s="86"/>
      <c r="L320" s="86"/>
      <c r="M320" s="357"/>
      <c r="N320" s="364">
        <v>1500</v>
      </c>
    </row>
    <row r="321" spans="1:14" x14ac:dyDescent="0.25">
      <c r="A321" s="348">
        <v>0</v>
      </c>
      <c r="B321" s="365" t="s">
        <v>58</v>
      </c>
      <c r="C321" s="43"/>
      <c r="D321" s="65"/>
      <c r="E321" s="65"/>
      <c r="F321" s="65"/>
      <c r="G321" s="65"/>
      <c r="H321" s="43"/>
      <c r="I321" s="86"/>
      <c r="J321" s="86"/>
      <c r="K321" s="86"/>
      <c r="L321" s="86"/>
      <c r="M321" s="357"/>
      <c r="N321" s="364">
        <v>0</v>
      </c>
    </row>
    <row r="322" spans="1:14" x14ac:dyDescent="0.25">
      <c r="A322" s="348">
        <v>0</v>
      </c>
      <c r="B322" s="365" t="s">
        <v>59</v>
      </c>
      <c r="C322" s="43"/>
      <c r="D322" s="65"/>
      <c r="E322" s="65"/>
      <c r="F322" s="65"/>
      <c r="G322" s="65"/>
      <c r="H322" s="43"/>
      <c r="I322" s="86"/>
      <c r="J322" s="86"/>
      <c r="K322" s="86"/>
      <c r="L322" s="86"/>
      <c r="M322" s="357"/>
      <c r="N322" s="364">
        <v>0</v>
      </c>
    </row>
    <row r="323" spans="1:14" x14ac:dyDescent="0.25">
      <c r="A323" s="348">
        <v>0</v>
      </c>
      <c r="B323" s="365" t="s">
        <v>60</v>
      </c>
      <c r="C323" s="43"/>
      <c r="D323" s="65"/>
      <c r="E323" s="65"/>
      <c r="F323" s="65"/>
      <c r="G323" s="65"/>
      <c r="H323" s="43"/>
      <c r="I323" s="86"/>
      <c r="J323" s="86"/>
      <c r="K323" s="86"/>
      <c r="L323" s="86"/>
      <c r="M323" s="357"/>
      <c r="N323" s="364">
        <v>0</v>
      </c>
    </row>
    <row r="324" spans="1:14" x14ac:dyDescent="0.25">
      <c r="A324" s="348">
        <v>0</v>
      </c>
      <c r="B324" s="365" t="s">
        <v>61</v>
      </c>
      <c r="C324" s="43"/>
      <c r="D324" s="65"/>
      <c r="E324" s="65"/>
      <c r="F324" s="65"/>
      <c r="G324" s="65"/>
      <c r="H324" s="43"/>
      <c r="I324" s="86"/>
      <c r="J324" s="86"/>
      <c r="K324" s="86"/>
      <c r="L324" s="86"/>
      <c r="M324" s="357"/>
      <c r="N324" s="364">
        <v>495</v>
      </c>
    </row>
    <row r="325" spans="1:14" x14ac:dyDescent="0.25">
      <c r="A325" s="348">
        <v>0</v>
      </c>
      <c r="B325" s="365" t="s">
        <v>62</v>
      </c>
      <c r="C325" s="43"/>
      <c r="D325" s="65"/>
      <c r="E325" s="65"/>
      <c r="F325" s="65"/>
      <c r="G325" s="65"/>
      <c r="H325" s="43"/>
      <c r="I325" s="86"/>
      <c r="J325" s="86"/>
      <c r="K325" s="86"/>
      <c r="L325" s="86"/>
      <c r="M325" s="357"/>
      <c r="N325" s="364">
        <v>0</v>
      </c>
    </row>
    <row r="326" spans="1:14" x14ac:dyDescent="0.25">
      <c r="A326" s="348">
        <v>0</v>
      </c>
      <c r="B326" s="365" t="s">
        <v>63</v>
      </c>
      <c r="C326" s="43"/>
      <c r="D326" s="65"/>
      <c r="E326" s="65"/>
      <c r="F326" s="65"/>
      <c r="G326" s="65"/>
      <c r="H326" s="43"/>
      <c r="I326" s="86"/>
      <c r="J326" s="86"/>
      <c r="K326" s="86"/>
      <c r="L326" s="86"/>
      <c r="M326" s="357"/>
      <c r="N326" s="364">
        <v>0</v>
      </c>
    </row>
    <row r="327" spans="1:14" x14ac:dyDescent="0.25">
      <c r="A327" s="349">
        <f>SUM(A320:A326)</f>
        <v>1300</v>
      </c>
      <c r="B327" s="365" t="s">
        <v>64</v>
      </c>
      <c r="C327" s="43"/>
      <c r="D327" s="65"/>
      <c r="E327" s="65"/>
      <c r="F327" s="65"/>
      <c r="G327" s="65"/>
      <c r="H327" s="43"/>
      <c r="I327" s="86"/>
      <c r="J327" s="86"/>
      <c r="K327" s="86"/>
      <c r="L327" s="86"/>
      <c r="M327" s="357"/>
      <c r="N327" s="366">
        <f>SUM(N319:N326)</f>
        <v>1995</v>
      </c>
    </row>
    <row r="328" spans="1:14" ht="78.75" x14ac:dyDescent="0.25">
      <c r="A328" s="347">
        <f>A319+1</f>
        <v>44614</v>
      </c>
      <c r="B328" s="361" t="s">
        <v>1851</v>
      </c>
      <c r="C328" s="43"/>
      <c r="D328" s="323" t="s">
        <v>2115</v>
      </c>
      <c r="E328" s="323"/>
      <c r="F328" s="323"/>
      <c r="G328" s="323"/>
      <c r="H328" s="55" t="s">
        <v>2116</v>
      </c>
      <c r="I328" s="57">
        <v>36</v>
      </c>
      <c r="J328" s="57" t="s">
        <v>2117</v>
      </c>
      <c r="K328" s="57" t="s">
        <v>2118</v>
      </c>
      <c r="L328" s="125">
        <v>44651</v>
      </c>
      <c r="M328" s="357"/>
      <c r="N328" s="364">
        <v>3438</v>
      </c>
    </row>
    <row r="329" spans="1:14" x14ac:dyDescent="0.25">
      <c r="A329" s="348">
        <v>1300</v>
      </c>
      <c r="B329" s="365" t="s">
        <v>57</v>
      </c>
      <c r="C329" s="43"/>
      <c r="D329" s="323"/>
      <c r="E329" s="323"/>
      <c r="F329" s="323"/>
      <c r="G329" s="323"/>
      <c r="H329" s="43"/>
      <c r="I329" s="65"/>
      <c r="J329" s="65"/>
      <c r="K329" s="65"/>
      <c r="L329" s="65"/>
      <c r="M329" s="357"/>
      <c r="N329" s="364">
        <v>0</v>
      </c>
    </row>
    <row r="330" spans="1:14" x14ac:dyDescent="0.25">
      <c r="A330" s="348">
        <v>0</v>
      </c>
      <c r="B330" s="365" t="s">
        <v>58</v>
      </c>
      <c r="C330" s="43"/>
      <c r="D330" s="323"/>
      <c r="E330" s="323"/>
      <c r="F330" s="323"/>
      <c r="G330" s="323"/>
      <c r="H330" s="43"/>
      <c r="I330" s="65"/>
      <c r="J330" s="65"/>
      <c r="K330" s="65"/>
      <c r="L330" s="65"/>
      <c r="M330" s="357"/>
      <c r="N330" s="364">
        <v>0</v>
      </c>
    </row>
    <row r="331" spans="1:14" x14ac:dyDescent="0.25">
      <c r="A331" s="348">
        <v>0</v>
      </c>
      <c r="B331" s="365" t="s">
        <v>59</v>
      </c>
      <c r="C331" s="43"/>
      <c r="D331" s="323"/>
      <c r="E331" s="323"/>
      <c r="F331" s="323"/>
      <c r="G331" s="323"/>
      <c r="H331" s="43"/>
      <c r="I331" s="65"/>
      <c r="J331" s="65"/>
      <c r="K331" s="65"/>
      <c r="L331" s="65"/>
      <c r="M331" s="357"/>
      <c r="N331" s="364">
        <v>0</v>
      </c>
    </row>
    <row r="332" spans="1:14" x14ac:dyDescent="0.25">
      <c r="A332" s="348">
        <v>0</v>
      </c>
      <c r="B332" s="365" t="s">
        <v>60</v>
      </c>
      <c r="C332" s="43"/>
      <c r="D332" s="323"/>
      <c r="E332" s="323"/>
      <c r="F332" s="323"/>
      <c r="G332" s="323"/>
      <c r="H332" s="43"/>
      <c r="I332" s="65"/>
      <c r="J332" s="65"/>
      <c r="K332" s="65"/>
      <c r="L332" s="65"/>
      <c r="M332" s="357"/>
      <c r="N332" s="364">
        <v>0</v>
      </c>
    </row>
    <row r="333" spans="1:14" x14ac:dyDescent="0.25">
      <c r="A333" s="348">
        <v>0</v>
      </c>
      <c r="B333" s="365" t="s">
        <v>61</v>
      </c>
      <c r="C333" s="43"/>
      <c r="D333" s="323"/>
      <c r="E333" s="323"/>
      <c r="F333" s="323"/>
      <c r="G333" s="323"/>
      <c r="H333" s="43"/>
      <c r="I333" s="65"/>
      <c r="J333" s="65"/>
      <c r="K333" s="65"/>
      <c r="L333" s="65"/>
      <c r="M333" s="357"/>
      <c r="N333" s="364">
        <v>0</v>
      </c>
    </row>
    <row r="334" spans="1:14" x14ac:dyDescent="0.25">
      <c r="A334" s="348">
        <v>0</v>
      </c>
      <c r="B334" s="365" t="s">
        <v>62</v>
      </c>
      <c r="C334" s="43"/>
      <c r="D334" s="323"/>
      <c r="E334" s="323"/>
      <c r="F334" s="323"/>
      <c r="G334" s="323"/>
      <c r="H334" s="43"/>
      <c r="I334" s="65"/>
      <c r="J334" s="65"/>
      <c r="K334" s="65"/>
      <c r="L334" s="65"/>
      <c r="M334" s="357"/>
      <c r="N334" s="364">
        <v>0</v>
      </c>
    </row>
    <row r="335" spans="1:14" x14ac:dyDescent="0.25">
      <c r="A335" s="348">
        <v>0</v>
      </c>
      <c r="B335" s="365" t="s">
        <v>63</v>
      </c>
      <c r="C335" s="43"/>
      <c r="D335" s="323"/>
      <c r="E335" s="323"/>
      <c r="F335" s="323"/>
      <c r="G335" s="323"/>
      <c r="H335" s="43"/>
      <c r="I335" s="65"/>
      <c r="J335" s="65"/>
      <c r="K335" s="65"/>
      <c r="L335" s="65"/>
      <c r="M335" s="357"/>
      <c r="N335" s="364">
        <v>0</v>
      </c>
    </row>
    <row r="336" spans="1:14" x14ac:dyDescent="0.25">
      <c r="A336" s="349">
        <f>SUM(A329:A335)</f>
        <v>1300</v>
      </c>
      <c r="B336" s="365" t="s">
        <v>64</v>
      </c>
      <c r="C336" s="43"/>
      <c r="D336" s="323"/>
      <c r="E336" s="323"/>
      <c r="F336" s="323"/>
      <c r="G336" s="323"/>
      <c r="H336" s="43"/>
      <c r="I336" s="86"/>
      <c r="J336" s="86"/>
      <c r="K336" s="86"/>
      <c r="L336" s="86"/>
      <c r="M336" s="357"/>
      <c r="N336" s="366">
        <f>SUM(N328:N335)</f>
        <v>3438</v>
      </c>
    </row>
    <row r="337" spans="1:14" x14ac:dyDescent="0.25">
      <c r="A337" s="347">
        <f>A328+1</f>
        <v>44615</v>
      </c>
      <c r="B337" s="361" t="s">
        <v>1851</v>
      </c>
      <c r="C337" s="43"/>
      <c r="D337" s="323" t="s">
        <v>2119</v>
      </c>
      <c r="E337" s="323"/>
      <c r="F337" s="323"/>
      <c r="G337" s="323"/>
      <c r="H337" s="87" t="s">
        <v>2120</v>
      </c>
      <c r="I337" s="86"/>
      <c r="J337" s="86"/>
      <c r="K337" s="86"/>
      <c r="L337" s="86"/>
      <c r="M337" s="357"/>
      <c r="N337" s="364">
        <v>3000</v>
      </c>
    </row>
    <row r="338" spans="1:14" x14ac:dyDescent="0.25">
      <c r="A338" s="348">
        <v>0</v>
      </c>
      <c r="B338" s="365" t="s">
        <v>57</v>
      </c>
      <c r="C338" s="43"/>
      <c r="D338" s="323"/>
      <c r="E338" s="323"/>
      <c r="F338" s="323"/>
      <c r="G338" s="323"/>
      <c r="H338" s="43"/>
      <c r="I338" s="86"/>
      <c r="J338" s="86"/>
      <c r="K338" s="86"/>
      <c r="L338" s="86"/>
      <c r="M338" s="357"/>
      <c r="N338" s="364">
        <v>0</v>
      </c>
    </row>
    <row r="339" spans="1:14" x14ac:dyDescent="0.25">
      <c r="A339" s="348">
        <v>0</v>
      </c>
      <c r="B339" s="365" t="s">
        <v>58</v>
      </c>
      <c r="C339" s="43"/>
      <c r="D339" s="323"/>
      <c r="E339" s="323"/>
      <c r="F339" s="323"/>
      <c r="G339" s="323"/>
      <c r="H339" s="43"/>
      <c r="I339" s="86"/>
      <c r="J339" s="86"/>
      <c r="K339" s="86"/>
      <c r="L339" s="86"/>
      <c r="M339" s="357"/>
      <c r="N339" s="364">
        <v>0</v>
      </c>
    </row>
    <row r="340" spans="1:14" x14ac:dyDescent="0.25">
      <c r="A340" s="348">
        <v>0</v>
      </c>
      <c r="B340" s="365" t="s">
        <v>59</v>
      </c>
      <c r="C340" s="43"/>
      <c r="D340" s="323"/>
      <c r="E340" s="323"/>
      <c r="F340" s="323"/>
      <c r="G340" s="323"/>
      <c r="H340" s="43"/>
      <c r="I340" s="86"/>
      <c r="J340" s="86"/>
      <c r="K340" s="86"/>
      <c r="L340" s="86"/>
      <c r="M340" s="357"/>
      <c r="N340" s="364">
        <v>0</v>
      </c>
    </row>
    <row r="341" spans="1:14" ht="47.25" x14ac:dyDescent="0.25">
      <c r="A341" s="348">
        <v>0</v>
      </c>
      <c r="B341" s="365" t="s">
        <v>60</v>
      </c>
      <c r="C341" s="43"/>
      <c r="D341" s="323"/>
      <c r="E341" s="323"/>
      <c r="F341" s="323"/>
      <c r="G341" s="323"/>
      <c r="H341" s="55" t="s">
        <v>2121</v>
      </c>
      <c r="I341" s="84">
        <v>52.5</v>
      </c>
      <c r="J341" s="84" t="s">
        <v>1281</v>
      </c>
      <c r="K341" s="84" t="s">
        <v>2122</v>
      </c>
      <c r="L341" s="136">
        <v>44615</v>
      </c>
      <c r="M341" s="357"/>
      <c r="N341" s="364">
        <v>0</v>
      </c>
    </row>
    <row r="342" spans="1:14" x14ac:dyDescent="0.25">
      <c r="A342" s="348">
        <v>0</v>
      </c>
      <c r="B342" s="365" t="s">
        <v>61</v>
      </c>
      <c r="C342" s="43"/>
      <c r="D342" s="323"/>
      <c r="E342" s="323"/>
      <c r="F342" s="323"/>
      <c r="G342" s="323"/>
      <c r="H342" s="55" t="s">
        <v>2123</v>
      </c>
      <c r="I342" s="84"/>
      <c r="J342" s="84"/>
      <c r="K342" s="84"/>
      <c r="L342" s="84"/>
      <c r="M342" s="357"/>
      <c r="N342" s="364">
        <v>0</v>
      </c>
    </row>
    <row r="343" spans="1:14" x14ac:dyDescent="0.25">
      <c r="A343" s="348">
        <v>0</v>
      </c>
      <c r="B343" s="365" t="s">
        <v>62</v>
      </c>
      <c r="C343" s="43"/>
      <c r="D343" s="323"/>
      <c r="E343" s="323"/>
      <c r="F343" s="323"/>
      <c r="G343" s="323"/>
      <c r="H343" s="43"/>
      <c r="I343" s="86"/>
      <c r="J343" s="86"/>
      <c r="K343" s="86"/>
      <c r="L343" s="86"/>
      <c r="M343" s="357"/>
      <c r="N343" s="364">
        <v>0</v>
      </c>
    </row>
    <row r="344" spans="1:14" x14ac:dyDescent="0.25">
      <c r="A344" s="348">
        <v>0</v>
      </c>
      <c r="B344" s="365" t="s">
        <v>63</v>
      </c>
      <c r="C344" s="43"/>
      <c r="D344" s="323"/>
      <c r="E344" s="323"/>
      <c r="F344" s="323"/>
      <c r="G344" s="323"/>
      <c r="H344" s="43"/>
      <c r="I344" s="86"/>
      <c r="J344" s="86"/>
      <c r="K344" s="86"/>
      <c r="L344" s="86"/>
      <c r="M344" s="357"/>
      <c r="N344" s="364">
        <v>0</v>
      </c>
    </row>
    <row r="345" spans="1:14" x14ac:dyDescent="0.25">
      <c r="A345" s="349">
        <f>SUM(A338:A344)</f>
        <v>0</v>
      </c>
      <c r="B345" s="365" t="s">
        <v>64</v>
      </c>
      <c r="C345" s="43"/>
      <c r="D345" s="323"/>
      <c r="E345" s="323"/>
      <c r="F345" s="323"/>
      <c r="G345" s="323"/>
      <c r="H345" s="43"/>
      <c r="I345" s="323" t="s">
        <v>2124</v>
      </c>
      <c r="J345" s="323"/>
      <c r="K345" s="323"/>
      <c r="L345" s="323"/>
      <c r="M345" s="357"/>
      <c r="N345" s="366">
        <f>SUM(N337:N344)</f>
        <v>3000</v>
      </c>
    </row>
    <row r="346" spans="1:14" x14ac:dyDescent="0.25">
      <c r="A346" s="347">
        <f>A337+1</f>
        <v>44616</v>
      </c>
      <c r="B346" s="361" t="s">
        <v>1851</v>
      </c>
      <c r="C346" s="87" t="s">
        <v>2125</v>
      </c>
      <c r="D346" s="65"/>
      <c r="E346" s="65"/>
      <c r="F346" s="65"/>
      <c r="G346" s="65"/>
      <c r="H346" s="43"/>
      <c r="I346" s="187" t="s">
        <v>2126</v>
      </c>
      <c r="J346" s="188"/>
      <c r="K346" s="188"/>
      <c r="L346" s="188"/>
      <c r="M346" s="357"/>
      <c r="N346" s="364">
        <v>0</v>
      </c>
    </row>
    <row r="347" spans="1:14" x14ac:dyDescent="0.25">
      <c r="A347" s="348">
        <v>0</v>
      </c>
      <c r="B347" s="365" t="s">
        <v>57</v>
      </c>
      <c r="C347" s="43"/>
      <c r="D347" s="65"/>
      <c r="E347" s="65"/>
      <c r="F347" s="65"/>
      <c r="G347" s="65"/>
      <c r="H347" s="43"/>
      <c r="I347" s="187" t="s">
        <v>2127</v>
      </c>
      <c r="J347" s="188"/>
      <c r="K347" s="188"/>
      <c r="L347" s="188"/>
      <c r="M347" s="357"/>
      <c r="N347" s="364">
        <v>0</v>
      </c>
    </row>
    <row r="348" spans="1:14" x14ac:dyDescent="0.25">
      <c r="A348" s="348">
        <v>0</v>
      </c>
      <c r="B348" s="365" t="s">
        <v>58</v>
      </c>
      <c r="C348" s="43"/>
      <c r="D348" s="65"/>
      <c r="E348" s="65"/>
      <c r="F348" s="65"/>
      <c r="G348" s="65"/>
      <c r="H348" s="43"/>
      <c r="I348" s="188"/>
      <c r="J348" s="188"/>
      <c r="K348" s="188"/>
      <c r="L348" s="188"/>
      <c r="M348" s="357"/>
      <c r="N348" s="364">
        <v>0</v>
      </c>
    </row>
    <row r="349" spans="1:14" ht="47.25" x14ac:dyDescent="0.25">
      <c r="A349" s="348">
        <v>0</v>
      </c>
      <c r="B349" s="365" t="s">
        <v>59</v>
      </c>
      <c r="C349" s="55" t="s">
        <v>2128</v>
      </c>
      <c r="D349" s="84">
        <v>51</v>
      </c>
      <c r="E349" s="84" t="s">
        <v>2129</v>
      </c>
      <c r="F349" s="84" t="s">
        <v>2130</v>
      </c>
      <c r="G349" s="136">
        <v>44620</v>
      </c>
      <c r="H349" s="43"/>
      <c r="I349" s="188"/>
      <c r="J349" s="188"/>
      <c r="K349" s="188"/>
      <c r="L349" s="188"/>
      <c r="M349" s="357"/>
      <c r="N349" s="364">
        <v>0</v>
      </c>
    </row>
    <row r="350" spans="1:14" x14ac:dyDescent="0.25">
      <c r="A350" s="348">
        <v>0</v>
      </c>
      <c r="B350" s="365" t="s">
        <v>60</v>
      </c>
      <c r="C350" s="55" t="s">
        <v>2131</v>
      </c>
      <c r="D350" s="84"/>
      <c r="E350" s="84"/>
      <c r="F350" s="84"/>
      <c r="G350" s="84" t="s">
        <v>1483</v>
      </c>
      <c r="H350" s="43"/>
      <c r="I350" s="188"/>
      <c r="J350" s="188"/>
      <c r="K350" s="188"/>
      <c r="L350" s="188"/>
      <c r="M350" s="357"/>
      <c r="N350" s="364">
        <v>0</v>
      </c>
    </row>
    <row r="351" spans="1:14" x14ac:dyDescent="0.25">
      <c r="A351" s="348">
        <v>0</v>
      </c>
      <c r="B351" s="365" t="s">
        <v>61</v>
      </c>
      <c r="C351" s="43"/>
      <c r="D351" s="86"/>
      <c r="E351" s="86"/>
      <c r="F351" s="86"/>
      <c r="G351" s="86"/>
      <c r="H351" s="43"/>
      <c r="I351" s="188"/>
      <c r="J351" s="188"/>
      <c r="K351" s="188"/>
      <c r="L351" s="188"/>
      <c r="M351" s="357"/>
      <c r="N351" s="364">
        <v>0</v>
      </c>
    </row>
    <row r="352" spans="1:14" x14ac:dyDescent="0.25">
      <c r="A352" s="348">
        <v>0</v>
      </c>
      <c r="B352" s="365" t="s">
        <v>62</v>
      </c>
      <c r="C352" s="43"/>
      <c r="D352" s="86"/>
      <c r="E352" s="86"/>
      <c r="F352" s="86"/>
      <c r="G352" s="86"/>
      <c r="H352" s="43"/>
      <c r="I352" s="188"/>
      <c r="J352" s="188"/>
      <c r="K352" s="188"/>
      <c r="L352" s="188"/>
      <c r="M352" s="357"/>
      <c r="N352" s="364">
        <v>0</v>
      </c>
    </row>
    <row r="353" spans="1:20" x14ac:dyDescent="0.25">
      <c r="A353" s="348">
        <v>0</v>
      </c>
      <c r="B353" s="365" t="s">
        <v>63</v>
      </c>
      <c r="C353" s="43"/>
      <c r="D353" s="86"/>
      <c r="E353" s="86"/>
      <c r="F353" s="86"/>
      <c r="G353" s="86"/>
      <c r="H353" s="43"/>
      <c r="I353" s="188"/>
      <c r="J353" s="188"/>
      <c r="K353" s="188"/>
      <c r="L353" s="188"/>
      <c r="M353" s="357"/>
      <c r="N353" s="364">
        <v>0</v>
      </c>
    </row>
    <row r="354" spans="1:20" x14ac:dyDescent="0.25">
      <c r="A354" s="349">
        <f>SUM(A347:A353)</f>
        <v>0</v>
      </c>
      <c r="B354" s="365" t="s">
        <v>64</v>
      </c>
      <c r="C354" s="43"/>
      <c r="D354" s="86"/>
      <c r="E354" s="86"/>
      <c r="F354" s="86"/>
      <c r="G354" s="86"/>
      <c r="H354" s="43"/>
      <c r="I354" s="188"/>
      <c r="J354" s="188"/>
      <c r="K354" s="188"/>
      <c r="L354" s="188"/>
      <c r="M354" s="357"/>
      <c r="N354" s="366">
        <f>SUM(N346:N353)</f>
        <v>0</v>
      </c>
    </row>
    <row r="355" spans="1:20" x14ac:dyDescent="0.25">
      <c r="A355" s="347">
        <f>A346+1</f>
        <v>44617</v>
      </c>
      <c r="B355" s="361" t="s">
        <v>1851</v>
      </c>
      <c r="C355" s="43"/>
      <c r="D355" s="86"/>
      <c r="E355" s="86"/>
      <c r="F355" s="86"/>
      <c r="G355" s="86"/>
      <c r="H355" s="43"/>
      <c r="I355" s="187" t="s">
        <v>2126</v>
      </c>
      <c r="J355" s="188"/>
      <c r="K355" s="188"/>
      <c r="L355" s="188"/>
      <c r="M355" s="357"/>
      <c r="N355" s="364">
        <v>0</v>
      </c>
    </row>
    <row r="356" spans="1:20" ht="63" x14ac:dyDescent="0.25">
      <c r="A356" s="348">
        <v>0</v>
      </c>
      <c r="B356" s="365" t="s">
        <v>57</v>
      </c>
      <c r="C356" s="55" t="s">
        <v>2132</v>
      </c>
      <c r="D356" s="84">
        <v>60</v>
      </c>
      <c r="E356" s="84" t="s">
        <v>204</v>
      </c>
      <c r="F356" s="84" t="s">
        <v>2133</v>
      </c>
      <c r="G356" s="136">
        <v>44620</v>
      </c>
      <c r="H356" s="43"/>
      <c r="I356" s="187" t="s">
        <v>2127</v>
      </c>
      <c r="J356" s="188"/>
      <c r="K356" s="188"/>
      <c r="L356" s="188"/>
      <c r="M356" s="357"/>
      <c r="N356" s="364">
        <v>0</v>
      </c>
    </row>
    <row r="357" spans="1:20" x14ac:dyDescent="0.25">
      <c r="A357" s="348">
        <v>0</v>
      </c>
      <c r="B357" s="365" t="s">
        <v>58</v>
      </c>
      <c r="C357" s="55" t="s">
        <v>2134</v>
      </c>
      <c r="D357" s="84"/>
      <c r="E357" s="84"/>
      <c r="F357" s="84"/>
      <c r="G357" s="84" t="s">
        <v>1483</v>
      </c>
      <c r="H357" s="43"/>
      <c r="I357" s="188"/>
      <c r="J357" s="188"/>
      <c r="K357" s="188"/>
      <c r="L357" s="188"/>
      <c r="M357" s="357"/>
      <c r="N357" s="364">
        <v>0</v>
      </c>
    </row>
    <row r="358" spans="1:20" x14ac:dyDescent="0.25">
      <c r="A358" s="348">
        <v>0</v>
      </c>
      <c r="B358" s="365" t="s">
        <v>59</v>
      </c>
      <c r="C358" s="43"/>
      <c r="D358" s="86"/>
      <c r="E358" s="86"/>
      <c r="F358" s="86"/>
      <c r="G358" s="86"/>
      <c r="H358" s="43"/>
      <c r="I358" s="188"/>
      <c r="J358" s="188"/>
      <c r="K358" s="188"/>
      <c r="L358" s="188"/>
      <c r="M358" s="357"/>
      <c r="N358" s="364">
        <v>0</v>
      </c>
    </row>
    <row r="359" spans="1:20" x14ac:dyDescent="0.25">
      <c r="A359" s="348">
        <v>0</v>
      </c>
      <c r="B359" s="365" t="s">
        <v>60</v>
      </c>
      <c r="C359" s="43"/>
      <c r="D359" s="86"/>
      <c r="E359" s="86"/>
      <c r="F359" s="86"/>
      <c r="G359" s="86"/>
      <c r="H359" s="43"/>
      <c r="I359" s="188"/>
      <c r="J359" s="188"/>
      <c r="K359" s="188"/>
      <c r="L359" s="188"/>
      <c r="M359" s="357"/>
      <c r="N359" s="364">
        <v>0</v>
      </c>
    </row>
    <row r="360" spans="1:20" ht="47.25" x14ac:dyDescent="0.25">
      <c r="A360" s="348">
        <v>0</v>
      </c>
      <c r="B360" s="365" t="s">
        <v>61</v>
      </c>
      <c r="C360" s="55" t="s">
        <v>2135</v>
      </c>
      <c r="D360" s="84">
        <v>49.125</v>
      </c>
      <c r="E360" s="84" t="s">
        <v>1145</v>
      </c>
      <c r="F360" s="84" t="s">
        <v>2136</v>
      </c>
      <c r="G360" s="136">
        <v>44621</v>
      </c>
      <c r="H360" s="43"/>
      <c r="I360" s="188"/>
      <c r="J360" s="188"/>
      <c r="K360" s="188"/>
      <c r="L360" s="188"/>
      <c r="M360" s="357"/>
      <c r="N360" s="364">
        <v>0</v>
      </c>
      <c r="R360" s="32"/>
      <c r="S360" s="32"/>
      <c r="T360" s="32"/>
    </row>
    <row r="361" spans="1:20" x14ac:dyDescent="0.25">
      <c r="A361" s="348">
        <v>0</v>
      </c>
      <c r="B361" s="365" t="s">
        <v>62</v>
      </c>
      <c r="C361" s="43"/>
      <c r="D361" s="86"/>
      <c r="E361" s="86"/>
      <c r="F361" s="86"/>
      <c r="G361" s="86"/>
      <c r="H361" s="43"/>
      <c r="I361" s="188"/>
      <c r="J361" s="188"/>
      <c r="K361" s="188"/>
      <c r="L361" s="188"/>
      <c r="M361" s="357"/>
      <c r="N361" s="364">
        <v>0</v>
      </c>
      <c r="R361" s="32"/>
      <c r="S361" s="32"/>
      <c r="T361" s="32"/>
    </row>
    <row r="362" spans="1:20" x14ac:dyDescent="0.25">
      <c r="A362" s="348">
        <v>0</v>
      </c>
      <c r="B362" s="365" t="s">
        <v>63</v>
      </c>
      <c r="C362" s="43"/>
      <c r="D362" s="86"/>
      <c r="E362" s="86"/>
      <c r="F362" s="86"/>
      <c r="G362" s="86"/>
      <c r="H362" s="43"/>
      <c r="I362" s="188"/>
      <c r="J362" s="188"/>
      <c r="K362" s="188"/>
      <c r="L362" s="188"/>
      <c r="M362" s="357"/>
      <c r="N362" s="364">
        <v>0</v>
      </c>
      <c r="R362" s="32"/>
      <c r="S362" s="32"/>
      <c r="T362" s="32"/>
    </row>
    <row r="363" spans="1:20" x14ac:dyDescent="0.25">
      <c r="A363" s="349">
        <f>SUM(A356:A362)</f>
        <v>0</v>
      </c>
      <c r="B363" s="365" t="s">
        <v>64</v>
      </c>
      <c r="C363" s="43"/>
      <c r="D363" s="86"/>
      <c r="E363" s="86"/>
      <c r="F363" s="86"/>
      <c r="G363" s="86"/>
      <c r="H363" s="43"/>
      <c r="I363" s="188"/>
      <c r="J363" s="188"/>
      <c r="K363" s="188"/>
      <c r="L363" s="188"/>
      <c r="M363" s="357"/>
      <c r="N363" s="366">
        <f>SUM(N355:N362)</f>
        <v>0</v>
      </c>
      <c r="R363" s="32"/>
      <c r="S363" s="32"/>
      <c r="T363" s="32"/>
    </row>
    <row r="364" spans="1:20" x14ac:dyDescent="0.25">
      <c r="A364" s="347">
        <f>A355+3</f>
        <v>44620</v>
      </c>
      <c r="B364" s="361" t="s">
        <v>1851</v>
      </c>
      <c r="C364" s="87" t="s">
        <v>2137</v>
      </c>
      <c r="D364" s="86"/>
      <c r="E364" s="86"/>
      <c r="F364" s="86"/>
      <c r="G364" s="86"/>
      <c r="H364" s="43"/>
      <c r="I364" s="187" t="s">
        <v>2126</v>
      </c>
      <c r="J364" s="188"/>
      <c r="K364" s="188"/>
      <c r="L364" s="188"/>
      <c r="M364" s="357"/>
      <c r="N364" s="364">
        <v>0</v>
      </c>
      <c r="R364" s="32"/>
      <c r="S364" s="32"/>
      <c r="T364" s="32"/>
    </row>
    <row r="365" spans="1:20" x14ac:dyDescent="0.25">
      <c r="A365" s="348">
        <v>0</v>
      </c>
      <c r="B365" s="365" t="s">
        <v>57</v>
      </c>
      <c r="C365" s="43"/>
      <c r="D365" s="86"/>
      <c r="E365" s="86"/>
      <c r="F365" s="86"/>
      <c r="G365" s="86"/>
      <c r="H365" s="43"/>
      <c r="I365" s="187" t="s">
        <v>2127</v>
      </c>
      <c r="J365" s="188"/>
      <c r="K365" s="188"/>
      <c r="L365" s="188"/>
      <c r="M365" s="357"/>
      <c r="N365" s="364">
        <v>0</v>
      </c>
      <c r="R365" s="32"/>
      <c r="S365" s="32"/>
      <c r="T365" s="32"/>
    </row>
    <row r="366" spans="1:20" x14ac:dyDescent="0.25">
      <c r="A366" s="348">
        <v>0</v>
      </c>
      <c r="B366" s="365" t="s">
        <v>58</v>
      </c>
      <c r="C366" s="43"/>
      <c r="D366" s="86"/>
      <c r="E366" s="86"/>
      <c r="F366" s="86"/>
      <c r="G366" s="86"/>
      <c r="H366" s="43"/>
      <c r="I366" s="188"/>
      <c r="J366" s="188"/>
      <c r="K366" s="188"/>
      <c r="L366" s="188"/>
      <c r="M366" s="357"/>
      <c r="N366" s="364">
        <v>0</v>
      </c>
      <c r="R366" s="32"/>
      <c r="S366" s="32"/>
      <c r="T366" s="32"/>
    </row>
    <row r="367" spans="1:20" x14ac:dyDescent="0.25">
      <c r="A367" s="348">
        <v>0</v>
      </c>
      <c r="B367" s="365" t="s">
        <v>59</v>
      </c>
      <c r="C367" s="43"/>
      <c r="D367" s="86"/>
      <c r="E367" s="86"/>
      <c r="F367" s="86"/>
      <c r="G367" s="86"/>
      <c r="H367" s="43"/>
      <c r="I367" s="188"/>
      <c r="J367" s="188"/>
      <c r="K367" s="188"/>
      <c r="L367" s="188"/>
      <c r="M367" s="357"/>
      <c r="N367" s="364">
        <v>0</v>
      </c>
      <c r="R367" s="32"/>
      <c r="S367" s="32"/>
      <c r="T367" s="32"/>
    </row>
    <row r="368" spans="1:20" x14ac:dyDescent="0.25">
      <c r="A368" s="348">
        <v>0</v>
      </c>
      <c r="B368" s="365" t="s">
        <v>60</v>
      </c>
      <c r="C368" s="43"/>
      <c r="D368" s="86"/>
      <c r="E368" s="86"/>
      <c r="F368" s="86"/>
      <c r="G368" s="86"/>
      <c r="H368" s="43"/>
      <c r="I368" s="188"/>
      <c r="J368" s="188"/>
      <c r="K368" s="188"/>
      <c r="L368" s="188"/>
      <c r="M368" s="357"/>
      <c r="N368" s="364">
        <v>0</v>
      </c>
      <c r="R368" s="32"/>
      <c r="S368" s="32"/>
      <c r="T368" s="32"/>
    </row>
    <row r="369" spans="1:20" x14ac:dyDescent="0.25">
      <c r="A369" s="348">
        <v>0</v>
      </c>
      <c r="B369" s="365" t="s">
        <v>61</v>
      </c>
      <c r="C369" s="43"/>
      <c r="D369" s="86"/>
      <c r="E369" s="86"/>
      <c r="F369" s="86"/>
      <c r="G369" s="86"/>
      <c r="H369" s="43"/>
      <c r="I369" s="188"/>
      <c r="J369" s="188"/>
      <c r="K369" s="188"/>
      <c r="L369" s="188"/>
      <c r="M369" s="357"/>
      <c r="N369" s="364">
        <v>495</v>
      </c>
      <c r="R369" s="32"/>
      <c r="S369" s="32"/>
      <c r="T369" s="32"/>
    </row>
    <row r="370" spans="1:20" x14ac:dyDescent="0.25">
      <c r="A370" s="348">
        <v>0</v>
      </c>
      <c r="B370" s="365" t="s">
        <v>62</v>
      </c>
      <c r="C370" s="43"/>
      <c r="D370" s="86"/>
      <c r="E370" s="86"/>
      <c r="F370" s="86"/>
      <c r="G370" s="86"/>
      <c r="H370" s="43"/>
      <c r="I370" s="188"/>
      <c r="J370" s="188"/>
      <c r="K370" s="188"/>
      <c r="L370" s="188"/>
      <c r="M370" s="357"/>
      <c r="N370" s="364">
        <v>0</v>
      </c>
      <c r="R370" s="32"/>
      <c r="S370" s="32"/>
      <c r="T370" s="32"/>
    </row>
    <row r="371" spans="1:20" x14ac:dyDescent="0.25">
      <c r="A371" s="348">
        <v>0</v>
      </c>
      <c r="B371" s="365" t="s">
        <v>63</v>
      </c>
      <c r="C371" s="43"/>
      <c r="D371" s="86"/>
      <c r="E371" s="86"/>
      <c r="F371" s="86"/>
      <c r="G371" s="86"/>
      <c r="H371" s="43"/>
      <c r="I371" s="188"/>
      <c r="J371" s="188"/>
      <c r="K371" s="188"/>
      <c r="L371" s="188"/>
      <c r="M371" s="357"/>
      <c r="N371" s="364">
        <v>0</v>
      </c>
      <c r="R371" s="32"/>
      <c r="S371" s="32"/>
      <c r="T371" s="32"/>
    </row>
    <row r="372" spans="1:20" x14ac:dyDescent="0.25">
      <c r="A372" s="349">
        <f>SUM(A365:A371)</f>
        <v>0</v>
      </c>
      <c r="B372" s="372" t="s">
        <v>64</v>
      </c>
      <c r="C372" s="43"/>
      <c r="D372" s="86"/>
      <c r="E372" s="86"/>
      <c r="F372" s="86"/>
      <c r="G372" s="86"/>
      <c r="H372" s="43"/>
      <c r="I372" s="188"/>
      <c r="J372" s="188"/>
      <c r="K372" s="188"/>
      <c r="L372" s="188"/>
      <c r="M372" s="357"/>
      <c r="N372" s="366">
        <f>SUM(N364:N371)</f>
        <v>495</v>
      </c>
      <c r="R372" s="32"/>
      <c r="S372" s="32"/>
      <c r="T372" s="32"/>
    </row>
    <row r="373" spans="1:20" x14ac:dyDescent="0.25">
      <c r="A373" s="347">
        <f>A364+1</f>
        <v>44621</v>
      </c>
      <c r="B373" s="372" t="s">
        <v>1851</v>
      </c>
      <c r="C373" s="373" t="s">
        <v>2137</v>
      </c>
      <c r="D373" s="374"/>
      <c r="E373" s="374"/>
      <c r="F373" s="374"/>
      <c r="G373" s="374"/>
      <c r="H373" s="43"/>
      <c r="I373" s="187" t="s">
        <v>2126</v>
      </c>
      <c r="J373" s="188"/>
      <c r="K373" s="188"/>
      <c r="L373" s="188"/>
      <c r="M373" s="357"/>
      <c r="N373" s="364">
        <v>1961</v>
      </c>
      <c r="R373" s="32"/>
      <c r="S373" s="32"/>
      <c r="T373" s="32"/>
    </row>
    <row r="374" spans="1:20" x14ac:dyDescent="0.25">
      <c r="A374" s="348">
        <v>200</v>
      </c>
      <c r="B374" s="372" t="s">
        <v>57</v>
      </c>
      <c r="C374" s="375"/>
      <c r="D374" s="374"/>
      <c r="E374" s="374"/>
      <c r="F374" s="374"/>
      <c r="G374" s="374"/>
      <c r="H374" s="43"/>
      <c r="I374" s="187" t="s">
        <v>2127</v>
      </c>
      <c r="J374" s="188"/>
      <c r="K374" s="188"/>
      <c r="L374" s="188"/>
      <c r="M374" s="357"/>
      <c r="N374" s="364">
        <v>0</v>
      </c>
    </row>
    <row r="375" spans="1:20" x14ac:dyDescent="0.25">
      <c r="A375" s="348">
        <v>0</v>
      </c>
      <c r="B375" s="372" t="s">
        <v>58</v>
      </c>
      <c r="C375" s="375"/>
      <c r="D375" s="374"/>
      <c r="E375" s="374"/>
      <c r="F375" s="374"/>
      <c r="G375" s="374"/>
      <c r="H375" s="43"/>
      <c r="I375" s="188"/>
      <c r="J375" s="188"/>
      <c r="K375" s="188"/>
      <c r="L375" s="188"/>
      <c r="M375" s="357"/>
      <c r="N375" s="364">
        <v>0</v>
      </c>
    </row>
    <row r="376" spans="1:20" x14ac:dyDescent="0.25">
      <c r="A376" s="348">
        <v>0</v>
      </c>
      <c r="B376" s="372" t="s">
        <v>59</v>
      </c>
      <c r="C376" s="375"/>
      <c r="D376" s="374"/>
      <c r="E376" s="374"/>
      <c r="F376" s="374"/>
      <c r="G376" s="374"/>
      <c r="H376" s="43"/>
      <c r="I376" s="188"/>
      <c r="J376" s="188"/>
      <c r="K376" s="188"/>
      <c r="L376" s="188"/>
      <c r="M376" s="357"/>
      <c r="N376" s="364">
        <v>0</v>
      </c>
    </row>
    <row r="377" spans="1:20" ht="47.25" x14ac:dyDescent="0.25">
      <c r="A377" s="348">
        <v>700</v>
      </c>
      <c r="B377" s="372" t="s">
        <v>60</v>
      </c>
      <c r="C377" s="376" t="s">
        <v>2138</v>
      </c>
      <c r="D377" s="84">
        <v>58</v>
      </c>
      <c r="E377" s="84" t="s">
        <v>1197</v>
      </c>
      <c r="F377" s="84" t="s">
        <v>2139</v>
      </c>
      <c r="G377" s="136">
        <v>44623</v>
      </c>
      <c r="H377" s="43"/>
      <c r="I377" s="188"/>
      <c r="J377" s="188"/>
      <c r="K377" s="188"/>
      <c r="L377" s="188"/>
      <c r="M377" s="357"/>
      <c r="N377" s="364">
        <v>0</v>
      </c>
    </row>
    <row r="378" spans="1:20" x14ac:dyDescent="0.25">
      <c r="A378" s="348">
        <v>0</v>
      </c>
      <c r="B378" s="372" t="s">
        <v>61</v>
      </c>
      <c r="C378" s="375"/>
      <c r="D378" s="86"/>
      <c r="E378" s="86"/>
      <c r="F378" s="86"/>
      <c r="G378" s="172" t="s">
        <v>1522</v>
      </c>
      <c r="H378" s="43"/>
      <c r="I378" s="188"/>
      <c r="J378" s="188"/>
      <c r="K378" s="188"/>
      <c r="L378" s="188"/>
      <c r="M378" s="357"/>
      <c r="N378" s="364">
        <v>2251</v>
      </c>
    </row>
    <row r="379" spans="1:20" x14ac:dyDescent="0.25">
      <c r="A379" s="348">
        <v>0</v>
      </c>
      <c r="B379" s="372" t="s">
        <v>62</v>
      </c>
      <c r="C379" s="375"/>
      <c r="D379" s="86"/>
      <c r="E379" s="86"/>
      <c r="F379" s="86"/>
      <c r="G379" s="86"/>
      <c r="H379" s="43"/>
      <c r="I379" s="188"/>
      <c r="J379" s="188"/>
      <c r="K379" s="188"/>
      <c r="L379" s="188"/>
      <c r="M379" s="357"/>
      <c r="N379" s="364">
        <v>0</v>
      </c>
    </row>
    <row r="380" spans="1:20" ht="78.75" x14ac:dyDescent="0.25">
      <c r="A380" s="348">
        <v>702</v>
      </c>
      <c r="B380" s="372" t="s">
        <v>63</v>
      </c>
      <c r="C380" s="376" t="s">
        <v>2140</v>
      </c>
      <c r="D380" s="84">
        <v>60</v>
      </c>
      <c r="E380" s="84" t="s">
        <v>2028</v>
      </c>
      <c r="F380" s="84" t="s">
        <v>2141</v>
      </c>
      <c r="G380" s="136">
        <v>44630</v>
      </c>
      <c r="H380" s="43"/>
      <c r="I380" s="188"/>
      <c r="J380" s="188"/>
      <c r="K380" s="188"/>
      <c r="L380" s="188"/>
      <c r="M380" s="357"/>
      <c r="N380" s="364">
        <v>0</v>
      </c>
    </row>
    <row r="381" spans="1:20" x14ac:dyDescent="0.25">
      <c r="A381" s="349">
        <f>SUM(A374:A380)</f>
        <v>1602</v>
      </c>
      <c r="B381" s="372" t="s">
        <v>64</v>
      </c>
      <c r="C381" s="373" t="s">
        <v>2142</v>
      </c>
      <c r="D381" s="374"/>
      <c r="E381" s="374"/>
      <c r="F381" s="374"/>
      <c r="G381" s="374"/>
      <c r="H381" s="43"/>
      <c r="I381" s="188"/>
      <c r="J381" s="188"/>
      <c r="K381" s="188"/>
      <c r="L381" s="188"/>
      <c r="M381" s="357"/>
      <c r="N381" s="366">
        <f>SUM(N373:N380)</f>
        <v>4212</v>
      </c>
    </row>
    <row r="382" spans="1:20" x14ac:dyDescent="0.25">
      <c r="A382" s="347">
        <f>A373+1</f>
        <v>44622</v>
      </c>
      <c r="B382" s="372" t="s">
        <v>1851</v>
      </c>
      <c r="C382" s="375"/>
      <c r="D382" s="320" t="s">
        <v>2143</v>
      </c>
      <c r="E382" s="377"/>
      <c r="F382" s="377"/>
      <c r="G382" s="377"/>
      <c r="H382" s="43"/>
      <c r="I382" s="187" t="s">
        <v>2126</v>
      </c>
      <c r="J382" s="188"/>
      <c r="K382" s="188"/>
      <c r="L382" s="188"/>
      <c r="M382" s="357"/>
      <c r="N382" s="364">
        <v>0</v>
      </c>
    </row>
    <row r="383" spans="1:20" x14ac:dyDescent="0.25">
      <c r="A383" s="348">
        <v>0</v>
      </c>
      <c r="B383" s="365" t="s">
        <v>57</v>
      </c>
      <c r="C383" s="43"/>
      <c r="D383" s="166"/>
      <c r="E383" s="166"/>
      <c r="F383" s="166"/>
      <c r="G383" s="166"/>
      <c r="H383" s="43"/>
      <c r="I383" s="187" t="s">
        <v>2127</v>
      </c>
      <c r="J383" s="188"/>
      <c r="K383" s="188"/>
      <c r="L383" s="188"/>
      <c r="M383" s="357"/>
      <c r="N383" s="364">
        <v>0</v>
      </c>
    </row>
    <row r="384" spans="1:20" x14ac:dyDescent="0.25">
      <c r="A384" s="348">
        <v>0</v>
      </c>
      <c r="B384" s="365" t="s">
        <v>58</v>
      </c>
      <c r="C384" s="43"/>
      <c r="D384" s="166"/>
      <c r="E384" s="166"/>
      <c r="F384" s="166"/>
      <c r="G384" s="166"/>
      <c r="H384" s="43"/>
      <c r="I384" s="188"/>
      <c r="J384" s="188"/>
      <c r="K384" s="188"/>
      <c r="L384" s="188"/>
      <c r="M384" s="357"/>
      <c r="N384" s="364">
        <v>0</v>
      </c>
    </row>
    <row r="385" spans="1:14" x14ac:dyDescent="0.25">
      <c r="A385" s="348">
        <v>0</v>
      </c>
      <c r="B385" s="365" t="s">
        <v>59</v>
      </c>
      <c r="C385" s="43"/>
      <c r="D385" s="166"/>
      <c r="E385" s="166"/>
      <c r="F385" s="166"/>
      <c r="G385" s="166"/>
      <c r="H385" s="43"/>
      <c r="I385" s="188"/>
      <c r="J385" s="188"/>
      <c r="K385" s="188"/>
      <c r="L385" s="188"/>
      <c r="M385" s="357"/>
      <c r="N385" s="364">
        <v>0</v>
      </c>
    </row>
    <row r="386" spans="1:14" x14ac:dyDescent="0.25">
      <c r="A386" s="348">
        <v>0</v>
      </c>
      <c r="B386" s="365" t="s">
        <v>60</v>
      </c>
      <c r="C386" s="43"/>
      <c r="D386" s="166"/>
      <c r="E386" s="166"/>
      <c r="F386" s="166"/>
      <c r="G386" s="166"/>
      <c r="H386" s="43"/>
      <c r="I386" s="188"/>
      <c r="J386" s="188"/>
      <c r="K386" s="188"/>
      <c r="L386" s="188"/>
      <c r="M386" s="357"/>
      <c r="N386" s="364">
        <v>0</v>
      </c>
    </row>
    <row r="387" spans="1:14" x14ac:dyDescent="0.25">
      <c r="A387" s="348">
        <v>0</v>
      </c>
      <c r="B387" s="365" t="s">
        <v>61</v>
      </c>
      <c r="C387" s="43"/>
      <c r="D387" s="166"/>
      <c r="E387" s="166"/>
      <c r="F387" s="166"/>
      <c r="G387" s="166"/>
      <c r="H387" s="43"/>
      <c r="I387" s="188"/>
      <c r="J387" s="188"/>
      <c r="K387" s="188"/>
      <c r="L387" s="188"/>
      <c r="M387" s="357"/>
      <c r="N387" s="364">
        <v>0</v>
      </c>
    </row>
    <row r="388" spans="1:14" x14ac:dyDescent="0.25">
      <c r="A388" s="348">
        <v>0</v>
      </c>
      <c r="B388" s="365" t="s">
        <v>62</v>
      </c>
      <c r="C388" s="43"/>
      <c r="D388" s="166"/>
      <c r="E388" s="166"/>
      <c r="F388" s="166"/>
      <c r="G388" s="166"/>
      <c r="H388" s="43"/>
      <c r="I388" s="188"/>
      <c r="J388" s="188"/>
      <c r="K388" s="188"/>
      <c r="L388" s="188"/>
      <c r="M388" s="357"/>
      <c r="N388" s="364">
        <v>0</v>
      </c>
    </row>
    <row r="389" spans="1:14" x14ac:dyDescent="0.25">
      <c r="A389" s="348">
        <v>0</v>
      </c>
      <c r="B389" s="365" t="s">
        <v>63</v>
      </c>
      <c r="C389" s="43"/>
      <c r="D389" s="166"/>
      <c r="E389" s="166"/>
      <c r="F389" s="166"/>
      <c r="G389" s="166"/>
      <c r="H389" s="43"/>
      <c r="I389" s="188"/>
      <c r="J389" s="188"/>
      <c r="K389" s="188"/>
      <c r="L389" s="188"/>
      <c r="M389" s="357"/>
      <c r="N389" s="364">
        <v>0</v>
      </c>
    </row>
    <row r="390" spans="1:14" x14ac:dyDescent="0.25">
      <c r="A390" s="349">
        <f>SUM(A383:A389)</f>
        <v>0</v>
      </c>
      <c r="B390" s="365" t="s">
        <v>64</v>
      </c>
      <c r="C390" s="43"/>
      <c r="D390" s="166"/>
      <c r="E390" s="166"/>
      <c r="F390" s="166"/>
      <c r="G390" s="166"/>
      <c r="H390" s="43"/>
      <c r="I390" s="188"/>
      <c r="J390" s="188"/>
      <c r="K390" s="188"/>
      <c r="L390" s="188"/>
      <c r="M390" s="357"/>
      <c r="N390" s="366">
        <f>SUM(N382:N389)</f>
        <v>0</v>
      </c>
    </row>
    <row r="391" spans="1:14" ht="63" x14ac:dyDescent="0.25">
      <c r="A391" s="347">
        <f>A382+1</f>
        <v>44623</v>
      </c>
      <c r="B391" s="361" t="s">
        <v>1851</v>
      </c>
      <c r="C391" s="55" t="s">
        <v>2144</v>
      </c>
      <c r="D391" s="57">
        <v>36</v>
      </c>
      <c r="E391" s="57" t="s">
        <v>2145</v>
      </c>
      <c r="F391" s="57" t="s">
        <v>2146</v>
      </c>
      <c r="G391" s="57" t="s">
        <v>2147</v>
      </c>
      <c r="H391" s="43"/>
      <c r="I391" s="187" t="s">
        <v>2126</v>
      </c>
      <c r="J391" s="188"/>
      <c r="K391" s="188"/>
      <c r="L391" s="188"/>
      <c r="M391" s="357"/>
      <c r="N391" s="364">
        <v>0</v>
      </c>
    </row>
    <row r="392" spans="1:14" ht="31.5" x14ac:dyDescent="0.25">
      <c r="A392" s="348">
        <v>2322</v>
      </c>
      <c r="B392" s="365" t="s">
        <v>57</v>
      </c>
      <c r="C392" s="55" t="s">
        <v>2148</v>
      </c>
      <c r="D392" s="65"/>
      <c r="E392" s="65"/>
      <c r="F392" s="65"/>
      <c r="G392" s="65"/>
      <c r="H392" s="43"/>
      <c r="I392" s="187" t="s">
        <v>2127</v>
      </c>
      <c r="J392" s="188"/>
      <c r="K392" s="188"/>
      <c r="L392" s="188"/>
      <c r="M392" s="357"/>
      <c r="N392" s="364">
        <v>0</v>
      </c>
    </row>
    <row r="393" spans="1:14" x14ac:dyDescent="0.25">
      <c r="A393" s="348">
        <v>0</v>
      </c>
      <c r="B393" s="365" t="s">
        <v>58</v>
      </c>
      <c r="C393" s="43"/>
      <c r="D393" s="65"/>
      <c r="E393" s="65"/>
      <c r="F393" s="65"/>
      <c r="G393" s="65"/>
      <c r="H393" s="43"/>
      <c r="I393" s="188"/>
      <c r="J393" s="188"/>
      <c r="K393" s="188"/>
      <c r="L393" s="188"/>
      <c r="M393" s="357"/>
      <c r="N393" s="364">
        <v>0</v>
      </c>
    </row>
    <row r="394" spans="1:14" x14ac:dyDescent="0.25">
      <c r="A394" s="348">
        <v>0</v>
      </c>
      <c r="B394" s="365" t="s">
        <v>59</v>
      </c>
      <c r="C394" s="43"/>
      <c r="D394" s="65"/>
      <c r="E394" s="65"/>
      <c r="F394" s="65"/>
      <c r="G394" s="65"/>
      <c r="H394" s="43"/>
      <c r="I394" s="188"/>
      <c r="J394" s="188"/>
      <c r="K394" s="188"/>
      <c r="L394" s="188"/>
      <c r="M394" s="357"/>
      <c r="N394" s="364">
        <v>0</v>
      </c>
    </row>
    <row r="395" spans="1:14" x14ac:dyDescent="0.25">
      <c r="A395" s="348">
        <v>0</v>
      </c>
      <c r="B395" s="365" t="s">
        <v>60</v>
      </c>
      <c r="C395" s="43"/>
      <c r="D395" s="65"/>
      <c r="E395" s="65"/>
      <c r="F395" s="65"/>
      <c r="G395" s="65"/>
      <c r="H395" s="43"/>
      <c r="I395" s="188"/>
      <c r="J395" s="188"/>
      <c r="K395" s="188"/>
      <c r="L395" s="188"/>
      <c r="M395" s="357"/>
      <c r="N395" s="364">
        <v>0</v>
      </c>
    </row>
    <row r="396" spans="1:14" x14ac:dyDescent="0.25">
      <c r="A396" s="348">
        <v>0</v>
      </c>
      <c r="B396" s="365" t="s">
        <v>61</v>
      </c>
      <c r="C396" s="43"/>
      <c r="D396" s="65"/>
      <c r="E396" s="65"/>
      <c r="F396" s="65"/>
      <c r="G396" s="65"/>
      <c r="H396" s="43"/>
      <c r="I396" s="188"/>
      <c r="J396" s="188"/>
      <c r="K396" s="188"/>
      <c r="L396" s="188"/>
      <c r="M396" s="357"/>
      <c r="N396" s="364">
        <v>0</v>
      </c>
    </row>
    <row r="397" spans="1:14" x14ac:dyDescent="0.25">
      <c r="A397" s="348">
        <v>0</v>
      </c>
      <c r="B397" s="365" t="s">
        <v>62</v>
      </c>
      <c r="C397" s="43"/>
      <c r="D397" s="65"/>
      <c r="E397" s="65"/>
      <c r="F397" s="65"/>
      <c r="G397" s="65"/>
      <c r="H397" s="43"/>
      <c r="I397" s="188"/>
      <c r="J397" s="188"/>
      <c r="K397" s="188"/>
      <c r="L397" s="188"/>
      <c r="M397" s="357"/>
      <c r="N397" s="364">
        <v>0</v>
      </c>
    </row>
    <row r="398" spans="1:14" x14ac:dyDescent="0.25">
      <c r="A398" s="348">
        <v>0</v>
      </c>
      <c r="B398" s="365" t="s">
        <v>63</v>
      </c>
      <c r="C398" s="43"/>
      <c r="D398" s="65"/>
      <c r="E398" s="65"/>
      <c r="F398" s="65"/>
      <c r="G398" s="65"/>
      <c r="H398" s="43"/>
      <c r="I398" s="188"/>
      <c r="J398" s="188"/>
      <c r="K398" s="188"/>
      <c r="L398" s="188"/>
      <c r="M398" s="357"/>
      <c r="N398" s="364">
        <v>0</v>
      </c>
    </row>
    <row r="399" spans="1:14" x14ac:dyDescent="0.25">
      <c r="A399" s="349">
        <f>SUM(A392:A398)</f>
        <v>2322</v>
      </c>
      <c r="B399" s="365" t="s">
        <v>64</v>
      </c>
      <c r="C399" s="43"/>
      <c r="D399" s="65"/>
      <c r="E399" s="65"/>
      <c r="F399" s="65"/>
      <c r="G399" s="65"/>
      <c r="H399" s="43"/>
      <c r="I399" s="188"/>
      <c r="J399" s="188"/>
      <c r="K399" s="188"/>
      <c r="L399" s="188"/>
      <c r="M399" s="357"/>
      <c r="N399" s="366">
        <f>SUM(N391:N398)</f>
        <v>0</v>
      </c>
    </row>
    <row r="400" spans="1:14" x14ac:dyDescent="0.25">
      <c r="A400" s="347">
        <f>A391+1</f>
        <v>44624</v>
      </c>
      <c r="B400" s="361" t="s">
        <v>1851</v>
      </c>
      <c r="C400" s="43"/>
      <c r="D400" s="37" t="s">
        <v>2149</v>
      </c>
      <c r="E400" s="37"/>
      <c r="F400" s="37"/>
      <c r="G400" s="37"/>
      <c r="H400" s="43"/>
      <c r="I400" s="187" t="s">
        <v>2126</v>
      </c>
      <c r="J400" s="188"/>
      <c r="K400" s="188"/>
      <c r="L400" s="188"/>
      <c r="M400" s="357"/>
      <c r="N400" s="364">
        <v>0</v>
      </c>
    </row>
    <row r="401" spans="1:14" x14ac:dyDescent="0.25">
      <c r="A401" s="348">
        <v>0</v>
      </c>
      <c r="B401" s="365" t="s">
        <v>57</v>
      </c>
      <c r="C401" s="43"/>
      <c r="D401" s="37" t="s">
        <v>2150</v>
      </c>
      <c r="E401" s="37"/>
      <c r="F401" s="37"/>
      <c r="G401" s="37"/>
      <c r="H401" s="43"/>
      <c r="I401" s="187" t="s">
        <v>2127</v>
      </c>
      <c r="J401" s="188"/>
      <c r="K401" s="188"/>
      <c r="L401" s="188"/>
      <c r="M401" s="357"/>
      <c r="N401" s="364">
        <v>0</v>
      </c>
    </row>
    <row r="402" spans="1:14" x14ac:dyDescent="0.25">
      <c r="A402" s="348">
        <v>0</v>
      </c>
      <c r="B402" s="365" t="s">
        <v>58</v>
      </c>
      <c r="C402" s="43"/>
      <c r="D402" s="37"/>
      <c r="E402" s="37"/>
      <c r="F402" s="37"/>
      <c r="G402" s="37"/>
      <c r="H402" s="43"/>
      <c r="I402" s="188"/>
      <c r="J402" s="188"/>
      <c r="K402" s="188"/>
      <c r="L402" s="188"/>
      <c r="M402" s="357"/>
      <c r="N402" s="364">
        <v>0</v>
      </c>
    </row>
    <row r="403" spans="1:14" x14ac:dyDescent="0.25">
      <c r="A403" s="348">
        <v>0</v>
      </c>
      <c r="B403" s="365" t="s">
        <v>59</v>
      </c>
      <c r="C403" s="43"/>
      <c r="D403" s="37"/>
      <c r="E403" s="37"/>
      <c r="F403" s="37"/>
      <c r="G403" s="37"/>
      <c r="H403" s="43"/>
      <c r="I403" s="188"/>
      <c r="J403" s="188"/>
      <c r="K403" s="188"/>
      <c r="L403" s="188"/>
      <c r="M403" s="357"/>
      <c r="N403" s="364">
        <v>0</v>
      </c>
    </row>
    <row r="404" spans="1:14" x14ac:dyDescent="0.25">
      <c r="A404" s="348">
        <v>0</v>
      </c>
      <c r="B404" s="365" t="s">
        <v>60</v>
      </c>
      <c r="C404" s="43"/>
      <c r="D404" s="37"/>
      <c r="E404" s="37"/>
      <c r="F404" s="37"/>
      <c r="G404" s="37"/>
      <c r="H404" s="43"/>
      <c r="I404" s="188"/>
      <c r="J404" s="188"/>
      <c r="K404" s="188"/>
      <c r="L404" s="188"/>
      <c r="M404" s="357"/>
      <c r="N404" s="364">
        <v>0</v>
      </c>
    </row>
    <row r="405" spans="1:14" x14ac:dyDescent="0.25">
      <c r="A405" s="348">
        <v>0</v>
      </c>
      <c r="B405" s="365" t="s">
        <v>61</v>
      </c>
      <c r="C405" s="43"/>
      <c r="D405" s="37"/>
      <c r="E405" s="37"/>
      <c r="F405" s="37"/>
      <c r="G405" s="37"/>
      <c r="H405" s="43"/>
      <c r="I405" s="188"/>
      <c r="J405" s="188"/>
      <c r="K405" s="188"/>
      <c r="L405" s="188"/>
      <c r="M405" s="357"/>
      <c r="N405" s="364">
        <v>0</v>
      </c>
    </row>
    <row r="406" spans="1:14" x14ac:dyDescent="0.25">
      <c r="A406" s="348">
        <v>0</v>
      </c>
      <c r="B406" s="365" t="s">
        <v>62</v>
      </c>
      <c r="C406" s="43"/>
      <c r="D406" s="37"/>
      <c r="E406" s="37"/>
      <c r="F406" s="37"/>
      <c r="G406" s="37"/>
      <c r="H406" s="43"/>
      <c r="I406" s="188"/>
      <c r="J406" s="188"/>
      <c r="K406" s="188"/>
      <c r="L406" s="188"/>
      <c r="M406" s="357"/>
      <c r="N406" s="364">
        <v>0</v>
      </c>
    </row>
    <row r="407" spans="1:14" x14ac:dyDescent="0.25">
      <c r="A407" s="348">
        <v>0</v>
      </c>
      <c r="B407" s="365" t="s">
        <v>63</v>
      </c>
      <c r="C407" s="43"/>
      <c r="D407" s="37"/>
      <c r="E407" s="37"/>
      <c r="F407" s="37"/>
      <c r="G407" s="37"/>
      <c r="H407" s="43"/>
      <c r="I407" s="188"/>
      <c r="J407" s="188"/>
      <c r="K407" s="188"/>
      <c r="L407" s="188"/>
      <c r="M407" s="357"/>
      <c r="N407" s="364">
        <v>0</v>
      </c>
    </row>
    <row r="408" spans="1:14" x14ac:dyDescent="0.25">
      <c r="A408" s="349">
        <f>SUM(A401:A407)</f>
        <v>0</v>
      </c>
      <c r="B408" s="365" t="s">
        <v>64</v>
      </c>
      <c r="C408" s="43"/>
      <c r="D408" s="37"/>
      <c r="E408" s="37"/>
      <c r="F408" s="37"/>
      <c r="G408" s="37"/>
      <c r="H408" s="43"/>
      <c r="I408" s="188"/>
      <c r="J408" s="188"/>
      <c r="K408" s="188"/>
      <c r="L408" s="188"/>
      <c r="M408" s="357"/>
      <c r="N408" s="366">
        <f>SUM(N400:N407)</f>
        <v>0</v>
      </c>
    </row>
    <row r="409" spans="1:14" x14ac:dyDescent="0.25">
      <c r="A409" s="347">
        <f>A400+3</f>
        <v>44627</v>
      </c>
      <c r="B409" s="361" t="s">
        <v>1851</v>
      </c>
      <c r="C409" s="43"/>
      <c r="D409" s="37" t="s">
        <v>2151</v>
      </c>
      <c r="E409" s="37"/>
      <c r="F409" s="37"/>
      <c r="G409" s="37"/>
      <c r="H409" s="43"/>
      <c r="I409" s="187" t="s">
        <v>2126</v>
      </c>
      <c r="J409" s="188"/>
      <c r="K409" s="188"/>
      <c r="L409" s="188"/>
      <c r="M409" s="357"/>
      <c r="N409" s="364">
        <v>0</v>
      </c>
    </row>
    <row r="410" spans="1:14" x14ac:dyDescent="0.25">
      <c r="A410" s="348">
        <v>3000</v>
      </c>
      <c r="B410" s="365" t="s">
        <v>57</v>
      </c>
      <c r="C410" s="43"/>
      <c r="D410" s="37"/>
      <c r="E410" s="37"/>
      <c r="F410" s="37"/>
      <c r="G410" s="37"/>
      <c r="H410" s="43"/>
      <c r="I410" s="187" t="s">
        <v>2127</v>
      </c>
      <c r="J410" s="188"/>
      <c r="K410" s="188"/>
      <c r="L410" s="188"/>
      <c r="M410" s="357"/>
      <c r="N410" s="364">
        <v>0</v>
      </c>
    </row>
    <row r="411" spans="1:14" x14ac:dyDescent="0.25">
      <c r="A411" s="348">
        <v>0</v>
      </c>
      <c r="B411" s="365" t="s">
        <v>58</v>
      </c>
      <c r="C411" s="43"/>
      <c r="D411" s="37"/>
      <c r="E411" s="37"/>
      <c r="F411" s="37"/>
      <c r="G411" s="37"/>
      <c r="H411" s="43"/>
      <c r="I411" s="188"/>
      <c r="J411" s="188"/>
      <c r="K411" s="188"/>
      <c r="L411" s="188"/>
      <c r="M411" s="357"/>
      <c r="N411" s="364">
        <v>0</v>
      </c>
    </row>
    <row r="412" spans="1:14" x14ac:dyDescent="0.25">
      <c r="A412" s="348">
        <v>0</v>
      </c>
      <c r="B412" s="365" t="s">
        <v>59</v>
      </c>
      <c r="C412" s="43"/>
      <c r="D412" s="37"/>
      <c r="E412" s="37"/>
      <c r="F412" s="37"/>
      <c r="G412" s="37"/>
      <c r="H412" s="43"/>
      <c r="I412" s="188"/>
      <c r="J412" s="188"/>
      <c r="K412" s="188"/>
      <c r="L412" s="188"/>
      <c r="M412" s="357"/>
      <c r="N412" s="364">
        <v>0</v>
      </c>
    </row>
    <row r="413" spans="1:14" x14ac:dyDescent="0.25">
      <c r="A413" s="348">
        <v>0</v>
      </c>
      <c r="B413" s="365" t="s">
        <v>60</v>
      </c>
      <c r="C413" s="43"/>
      <c r="D413" s="37"/>
      <c r="E413" s="37"/>
      <c r="F413" s="37"/>
      <c r="G413" s="37"/>
      <c r="H413" s="43"/>
      <c r="I413" s="188"/>
      <c r="J413" s="188"/>
      <c r="K413" s="188"/>
      <c r="L413" s="188"/>
      <c r="M413" s="357"/>
      <c r="N413" s="364">
        <v>0</v>
      </c>
    </row>
    <row r="414" spans="1:14" x14ac:dyDescent="0.25">
      <c r="A414" s="348">
        <v>0</v>
      </c>
      <c r="B414" s="365" t="s">
        <v>61</v>
      </c>
      <c r="C414" s="43"/>
      <c r="D414" s="37"/>
      <c r="E414" s="37"/>
      <c r="F414" s="37"/>
      <c r="G414" s="37"/>
      <c r="H414" s="43"/>
      <c r="I414" s="188"/>
      <c r="J414" s="188"/>
      <c r="K414" s="188"/>
      <c r="L414" s="188"/>
      <c r="M414" s="357"/>
      <c r="N414" s="364">
        <v>0</v>
      </c>
    </row>
    <row r="415" spans="1:14" x14ac:dyDescent="0.25">
      <c r="A415" s="348">
        <v>0</v>
      </c>
      <c r="B415" s="365" t="s">
        <v>62</v>
      </c>
      <c r="C415" s="43"/>
      <c r="D415" s="37"/>
      <c r="E415" s="37"/>
      <c r="F415" s="37"/>
      <c r="G415" s="37"/>
      <c r="H415" s="43"/>
      <c r="I415" s="188"/>
      <c r="J415" s="188"/>
      <c r="K415" s="188"/>
      <c r="L415" s="188"/>
      <c r="M415" s="357"/>
      <c r="N415" s="364">
        <v>0</v>
      </c>
    </row>
    <row r="416" spans="1:14" x14ac:dyDescent="0.25">
      <c r="A416" s="348">
        <v>0</v>
      </c>
      <c r="B416" s="365" t="s">
        <v>63</v>
      </c>
      <c r="C416" s="43"/>
      <c r="D416" s="37"/>
      <c r="E416" s="37"/>
      <c r="F416" s="37"/>
      <c r="G416" s="37"/>
      <c r="H416" s="43"/>
      <c r="I416" s="188"/>
      <c r="J416" s="188"/>
      <c r="K416" s="188"/>
      <c r="L416" s="188"/>
      <c r="M416" s="357"/>
      <c r="N416" s="364">
        <v>0</v>
      </c>
    </row>
    <row r="417" spans="1:14" ht="47.25" x14ac:dyDescent="0.25">
      <c r="A417" s="349">
        <f>SUM(A410:A416)</f>
        <v>3000</v>
      </c>
      <c r="B417" s="365" t="s">
        <v>64</v>
      </c>
      <c r="C417" s="55" t="s">
        <v>2152</v>
      </c>
      <c r="D417" s="84">
        <v>60</v>
      </c>
      <c r="E417" s="84" t="s">
        <v>808</v>
      </c>
      <c r="F417" s="84" t="s">
        <v>2153</v>
      </c>
      <c r="G417" s="136">
        <v>44627</v>
      </c>
      <c r="H417" s="43"/>
      <c r="I417" s="188"/>
      <c r="J417" s="188"/>
      <c r="K417" s="188"/>
      <c r="L417" s="188"/>
      <c r="M417" s="357"/>
      <c r="N417" s="366">
        <f>SUM(N409:N416)</f>
        <v>0</v>
      </c>
    </row>
    <row r="418" spans="1:14" x14ac:dyDescent="0.25">
      <c r="A418" s="347">
        <f>A409+1</f>
        <v>44628</v>
      </c>
      <c r="B418" s="361" t="s">
        <v>1851</v>
      </c>
      <c r="C418" s="43"/>
      <c r="D418" s="86"/>
      <c r="E418" s="86"/>
      <c r="F418" s="86"/>
      <c r="G418" s="86"/>
      <c r="H418" s="43"/>
      <c r="I418" s="187" t="s">
        <v>2126</v>
      </c>
      <c r="J418" s="188"/>
      <c r="K418" s="188"/>
      <c r="L418" s="188"/>
      <c r="M418" s="357"/>
      <c r="N418" s="364">
        <v>0</v>
      </c>
    </row>
    <row r="419" spans="1:14" ht="63" x14ac:dyDescent="0.25">
      <c r="A419" s="348">
        <v>1000</v>
      </c>
      <c r="B419" s="365" t="s">
        <v>57</v>
      </c>
      <c r="C419" s="55" t="s">
        <v>2154</v>
      </c>
      <c r="D419" s="57">
        <v>72</v>
      </c>
      <c r="E419" s="57" t="s">
        <v>85</v>
      </c>
      <c r="F419" s="57" t="s">
        <v>2155</v>
      </c>
      <c r="G419" s="125">
        <v>44627</v>
      </c>
      <c r="H419" s="43"/>
      <c r="I419" s="187" t="s">
        <v>2127</v>
      </c>
      <c r="J419" s="188"/>
      <c r="K419" s="188"/>
      <c r="L419" s="188"/>
      <c r="M419" s="357"/>
      <c r="N419" s="364">
        <v>0</v>
      </c>
    </row>
    <row r="420" spans="1:14" ht="47.25" x14ac:dyDescent="0.25">
      <c r="A420" s="348">
        <v>0</v>
      </c>
      <c r="B420" s="365" t="s">
        <v>58</v>
      </c>
      <c r="C420" s="55" t="s">
        <v>2156</v>
      </c>
      <c r="D420" s="57" t="s">
        <v>2157</v>
      </c>
      <c r="E420" s="57"/>
      <c r="F420" s="57"/>
      <c r="G420" s="57"/>
      <c r="H420" s="43"/>
      <c r="I420" s="188"/>
      <c r="J420" s="188"/>
      <c r="K420" s="188"/>
      <c r="L420" s="188"/>
      <c r="M420" s="357"/>
      <c r="N420" s="364">
        <v>0</v>
      </c>
    </row>
    <row r="421" spans="1:14" x14ac:dyDescent="0.25">
      <c r="A421" s="348">
        <v>0</v>
      </c>
      <c r="B421" s="365" t="s">
        <v>59</v>
      </c>
      <c r="C421" s="43"/>
      <c r="D421" s="65" t="s">
        <v>2158</v>
      </c>
      <c r="E421" s="65"/>
      <c r="F421" s="65"/>
      <c r="G421" s="65"/>
      <c r="H421" s="43"/>
      <c r="I421" s="188"/>
      <c r="J421" s="188"/>
      <c r="K421" s="188"/>
      <c r="L421" s="188"/>
      <c r="M421" s="357"/>
      <c r="N421" s="364">
        <v>0</v>
      </c>
    </row>
    <row r="422" spans="1:14" x14ac:dyDescent="0.25">
      <c r="A422" s="348">
        <v>0</v>
      </c>
      <c r="B422" s="365" t="s">
        <v>60</v>
      </c>
      <c r="C422" s="43"/>
      <c r="D422" s="57"/>
      <c r="E422" s="57"/>
      <c r="F422" s="57"/>
      <c r="G422" s="57"/>
      <c r="H422" s="43"/>
      <c r="I422" s="188"/>
      <c r="J422" s="188"/>
      <c r="K422" s="188"/>
      <c r="L422" s="188"/>
      <c r="M422" s="357"/>
      <c r="N422" s="364">
        <v>0</v>
      </c>
    </row>
    <row r="423" spans="1:14" x14ac:dyDescent="0.25">
      <c r="A423" s="348">
        <v>0</v>
      </c>
      <c r="B423" s="365" t="s">
        <v>61</v>
      </c>
      <c r="C423" s="43"/>
      <c r="D423" s="57"/>
      <c r="E423" s="57"/>
      <c r="F423" s="57"/>
      <c r="G423" s="57"/>
      <c r="H423" s="43"/>
      <c r="I423" s="188"/>
      <c r="J423" s="188"/>
      <c r="K423" s="188"/>
      <c r="L423" s="188"/>
      <c r="M423" s="357"/>
      <c r="N423" s="364">
        <v>0</v>
      </c>
    </row>
    <row r="424" spans="1:14" x14ac:dyDescent="0.25">
      <c r="A424" s="348">
        <v>0</v>
      </c>
      <c r="B424" s="365" t="s">
        <v>62</v>
      </c>
      <c r="C424" s="43"/>
      <c r="D424" s="57"/>
      <c r="E424" s="57"/>
      <c r="F424" s="57"/>
      <c r="G424" s="57"/>
      <c r="H424" s="43"/>
      <c r="I424" s="188"/>
      <c r="J424" s="188"/>
      <c r="K424" s="188"/>
      <c r="L424" s="188"/>
      <c r="M424" s="357"/>
      <c r="N424" s="364">
        <v>0</v>
      </c>
    </row>
    <row r="425" spans="1:14" x14ac:dyDescent="0.25">
      <c r="A425" s="348">
        <v>0</v>
      </c>
      <c r="B425" s="365" t="s">
        <v>63</v>
      </c>
      <c r="C425" s="43"/>
      <c r="D425" s="57"/>
      <c r="E425" s="57"/>
      <c r="F425" s="57"/>
      <c r="G425" s="57"/>
      <c r="H425" s="43"/>
      <c r="I425" s="188"/>
      <c r="J425" s="188"/>
      <c r="K425" s="188"/>
      <c r="L425" s="188"/>
      <c r="M425" s="357"/>
      <c r="N425" s="364">
        <v>0</v>
      </c>
    </row>
    <row r="426" spans="1:14" x14ac:dyDescent="0.25">
      <c r="A426" s="349">
        <f>SUM(A419:A425)</f>
        <v>1000</v>
      </c>
      <c r="B426" s="365" t="s">
        <v>64</v>
      </c>
      <c r="C426" s="43"/>
      <c r="D426" s="57"/>
      <c r="E426" s="57"/>
      <c r="F426" s="57"/>
      <c r="G426" s="57"/>
      <c r="H426" s="43"/>
      <c r="I426" s="188"/>
      <c r="J426" s="188"/>
      <c r="K426" s="188"/>
      <c r="L426" s="188"/>
      <c r="M426" s="357"/>
      <c r="N426" s="366">
        <f>SUM(N418:N425)</f>
        <v>0</v>
      </c>
    </row>
    <row r="427" spans="1:14" x14ac:dyDescent="0.25">
      <c r="A427" s="347">
        <f>A418+1</f>
        <v>44629</v>
      </c>
      <c r="B427" s="361" t="s">
        <v>1851</v>
      </c>
      <c r="C427" s="43"/>
      <c r="D427" s="57"/>
      <c r="E427" s="57"/>
      <c r="F427" s="57"/>
      <c r="G427" s="57"/>
      <c r="H427" s="43"/>
      <c r="I427" s="187" t="s">
        <v>2126</v>
      </c>
      <c r="J427" s="188"/>
      <c r="K427" s="188"/>
      <c r="L427" s="188"/>
      <c r="M427" s="357"/>
      <c r="N427" s="364">
        <v>0</v>
      </c>
    </row>
    <row r="428" spans="1:14" x14ac:dyDescent="0.25">
      <c r="A428" s="348">
        <v>1000</v>
      </c>
      <c r="B428" s="365" t="s">
        <v>57</v>
      </c>
      <c r="C428" s="43"/>
      <c r="D428" s="57"/>
      <c r="E428" s="57"/>
      <c r="F428" s="57"/>
      <c r="G428" s="57"/>
      <c r="H428" s="43"/>
      <c r="I428" s="187" t="s">
        <v>2127</v>
      </c>
      <c r="J428" s="188"/>
      <c r="K428" s="188"/>
      <c r="L428" s="188"/>
      <c r="M428" s="357"/>
      <c r="N428" s="364">
        <v>0</v>
      </c>
    </row>
    <row r="429" spans="1:14" x14ac:dyDescent="0.25">
      <c r="A429" s="348">
        <v>0</v>
      </c>
      <c r="B429" s="365" t="s">
        <v>58</v>
      </c>
      <c r="C429" s="43"/>
      <c r="D429" s="57"/>
      <c r="E429" s="57"/>
      <c r="F429" s="57"/>
      <c r="G429" s="57"/>
      <c r="H429" s="43"/>
      <c r="I429" s="188"/>
      <c r="J429" s="188"/>
      <c r="K429" s="188"/>
      <c r="L429" s="188"/>
      <c r="M429" s="357"/>
      <c r="N429" s="364">
        <v>0</v>
      </c>
    </row>
    <row r="430" spans="1:14" x14ac:dyDescent="0.25">
      <c r="A430" s="348">
        <v>0</v>
      </c>
      <c r="B430" s="365" t="s">
        <v>59</v>
      </c>
      <c r="C430" s="43"/>
      <c r="D430" s="57"/>
      <c r="E430" s="57"/>
      <c r="F430" s="57"/>
      <c r="G430" s="57"/>
      <c r="H430" s="43"/>
      <c r="I430" s="188"/>
      <c r="J430" s="188"/>
      <c r="K430" s="188"/>
      <c r="L430" s="188"/>
      <c r="M430" s="357"/>
      <c r="N430" s="364">
        <v>0</v>
      </c>
    </row>
    <row r="431" spans="1:14" x14ac:dyDescent="0.25">
      <c r="A431" s="348">
        <v>0</v>
      </c>
      <c r="B431" s="365" t="s">
        <v>60</v>
      </c>
      <c r="C431" s="43"/>
      <c r="D431" s="57"/>
      <c r="E431" s="57"/>
      <c r="F431" s="57"/>
      <c r="G431" s="57"/>
      <c r="H431" s="43"/>
      <c r="I431" s="188"/>
      <c r="J431" s="188"/>
      <c r="K431" s="188"/>
      <c r="L431" s="188"/>
      <c r="M431" s="357"/>
      <c r="N431" s="364">
        <v>0</v>
      </c>
    </row>
    <row r="432" spans="1:14" x14ac:dyDescent="0.25">
      <c r="A432" s="348">
        <v>0</v>
      </c>
      <c r="B432" s="365" t="s">
        <v>61</v>
      </c>
      <c r="C432" s="43"/>
      <c r="D432" s="57"/>
      <c r="E432" s="57"/>
      <c r="F432" s="57"/>
      <c r="G432" s="57"/>
      <c r="H432" s="43"/>
      <c r="I432" s="188"/>
      <c r="J432" s="188"/>
      <c r="K432" s="188"/>
      <c r="L432" s="188"/>
      <c r="M432" s="357"/>
      <c r="N432" s="364">
        <v>0</v>
      </c>
    </row>
    <row r="433" spans="1:14" x14ac:dyDescent="0.25">
      <c r="A433" s="348">
        <v>0</v>
      </c>
      <c r="B433" s="365" t="s">
        <v>62</v>
      </c>
      <c r="C433" s="43"/>
      <c r="D433" s="57"/>
      <c r="E433" s="57"/>
      <c r="F433" s="57"/>
      <c r="G433" s="57"/>
      <c r="H433" s="43"/>
      <c r="I433" s="188"/>
      <c r="J433" s="188"/>
      <c r="K433" s="188"/>
      <c r="L433" s="188"/>
      <c r="M433" s="357"/>
      <c r="N433" s="364">
        <v>0</v>
      </c>
    </row>
    <row r="434" spans="1:14" x14ac:dyDescent="0.25">
      <c r="A434" s="348">
        <v>0</v>
      </c>
      <c r="B434" s="365" t="s">
        <v>63</v>
      </c>
      <c r="C434" s="43"/>
      <c r="D434" s="57"/>
      <c r="E434" s="57"/>
      <c r="F434" s="57"/>
      <c r="G434" s="57"/>
      <c r="H434" s="43"/>
      <c r="I434" s="188"/>
      <c r="J434" s="188"/>
      <c r="K434" s="188"/>
      <c r="L434" s="188"/>
      <c r="M434" s="357"/>
      <c r="N434" s="364">
        <v>0</v>
      </c>
    </row>
    <row r="435" spans="1:14" x14ac:dyDescent="0.25">
      <c r="A435" s="349">
        <f>SUM(A428:A434)</f>
        <v>1000</v>
      </c>
      <c r="B435" s="365" t="s">
        <v>64</v>
      </c>
      <c r="C435" s="43"/>
      <c r="D435" s="57"/>
      <c r="E435" s="57"/>
      <c r="F435" s="57"/>
      <c r="G435" s="57"/>
      <c r="H435" s="43"/>
      <c r="I435" s="188"/>
      <c r="J435" s="188"/>
      <c r="K435" s="188"/>
      <c r="L435" s="188"/>
      <c r="M435" s="357"/>
      <c r="N435" s="366">
        <f>SUM(N427:N434)</f>
        <v>0</v>
      </c>
    </row>
    <row r="436" spans="1:14" x14ac:dyDescent="0.25">
      <c r="A436" s="347">
        <f>A427+1</f>
        <v>44630</v>
      </c>
      <c r="B436" s="361" t="s">
        <v>1851</v>
      </c>
      <c r="C436" s="43"/>
      <c r="D436" s="57"/>
      <c r="E436" s="57"/>
      <c r="F436" s="57"/>
      <c r="G436" s="57"/>
      <c r="H436" s="43"/>
      <c r="I436" s="187" t="s">
        <v>2126</v>
      </c>
      <c r="J436" s="188"/>
      <c r="K436" s="188"/>
      <c r="L436" s="188"/>
      <c r="M436" s="357"/>
      <c r="N436" s="364">
        <v>0</v>
      </c>
    </row>
    <row r="437" spans="1:14" x14ac:dyDescent="0.25">
      <c r="A437" s="348">
        <v>1135</v>
      </c>
      <c r="B437" s="365" t="s">
        <v>57</v>
      </c>
      <c r="C437" s="43"/>
      <c r="D437" s="57"/>
      <c r="E437" s="57"/>
      <c r="F437" s="57"/>
      <c r="G437" s="57"/>
      <c r="H437" s="43"/>
      <c r="I437" s="187" t="s">
        <v>2127</v>
      </c>
      <c r="J437" s="188"/>
      <c r="K437" s="188"/>
      <c r="L437" s="188"/>
      <c r="M437" s="357"/>
      <c r="N437" s="364">
        <v>0</v>
      </c>
    </row>
    <row r="438" spans="1:14" x14ac:dyDescent="0.25">
      <c r="A438" s="348">
        <v>0</v>
      </c>
      <c r="B438" s="365" t="s">
        <v>58</v>
      </c>
      <c r="C438" s="43"/>
      <c r="D438" s="57"/>
      <c r="E438" s="57"/>
      <c r="F438" s="57"/>
      <c r="G438" s="57"/>
      <c r="H438" s="43"/>
      <c r="I438" s="188"/>
      <c r="J438" s="188"/>
      <c r="K438" s="188"/>
      <c r="L438" s="188"/>
      <c r="M438" s="357"/>
      <c r="N438" s="364">
        <v>0</v>
      </c>
    </row>
    <row r="439" spans="1:14" x14ac:dyDescent="0.25">
      <c r="A439" s="348">
        <v>0</v>
      </c>
      <c r="B439" s="365" t="s">
        <v>59</v>
      </c>
      <c r="C439" s="43"/>
      <c r="D439" s="57"/>
      <c r="E439" s="57"/>
      <c r="F439" s="57"/>
      <c r="G439" s="57"/>
      <c r="H439" s="43"/>
      <c r="I439" s="188"/>
      <c r="J439" s="188"/>
      <c r="K439" s="188"/>
      <c r="L439" s="188"/>
      <c r="M439" s="357"/>
      <c r="N439" s="364">
        <v>0</v>
      </c>
    </row>
    <row r="440" spans="1:14" x14ac:dyDescent="0.25">
      <c r="A440" s="348">
        <v>1649</v>
      </c>
      <c r="B440" s="365" t="s">
        <v>60</v>
      </c>
      <c r="C440" s="43"/>
      <c r="D440" s="57"/>
      <c r="E440" s="57"/>
      <c r="F440" s="57"/>
      <c r="G440" s="57"/>
      <c r="H440" s="43"/>
      <c r="I440" s="188"/>
      <c r="J440" s="188"/>
      <c r="K440" s="188"/>
      <c r="L440" s="188"/>
      <c r="M440" s="357"/>
      <c r="N440" s="364">
        <v>0</v>
      </c>
    </row>
    <row r="441" spans="1:14" x14ac:dyDescent="0.25">
      <c r="A441" s="348">
        <v>0</v>
      </c>
      <c r="B441" s="365" t="s">
        <v>61</v>
      </c>
      <c r="C441" s="43"/>
      <c r="D441" s="57"/>
      <c r="E441" s="57"/>
      <c r="F441" s="57"/>
      <c r="G441" s="57"/>
      <c r="H441" s="43"/>
      <c r="I441" s="188"/>
      <c r="J441" s="188"/>
      <c r="K441" s="188"/>
      <c r="L441" s="188"/>
      <c r="M441" s="357"/>
      <c r="N441" s="364">
        <v>0</v>
      </c>
    </row>
    <row r="442" spans="1:14" x14ac:dyDescent="0.25">
      <c r="A442" s="348">
        <v>0</v>
      </c>
      <c r="B442" s="365" t="s">
        <v>62</v>
      </c>
      <c r="C442" s="43"/>
      <c r="D442" s="57"/>
      <c r="E442" s="57"/>
      <c r="F442" s="57"/>
      <c r="G442" s="57"/>
      <c r="H442" s="43"/>
      <c r="I442" s="188"/>
      <c r="J442" s="188"/>
      <c r="K442" s="188"/>
      <c r="L442" s="188"/>
      <c r="M442" s="357"/>
      <c r="N442" s="364">
        <v>0</v>
      </c>
    </row>
    <row r="443" spans="1:14" x14ac:dyDescent="0.25">
      <c r="A443" s="348">
        <v>0</v>
      </c>
      <c r="B443" s="365" t="s">
        <v>63</v>
      </c>
      <c r="C443" s="43"/>
      <c r="D443" s="57"/>
      <c r="E443" s="57"/>
      <c r="F443" s="57"/>
      <c r="G443" s="57"/>
      <c r="H443" s="43"/>
      <c r="I443" s="188"/>
      <c r="J443" s="188"/>
      <c r="K443" s="188"/>
      <c r="L443" s="188"/>
      <c r="M443" s="357"/>
      <c r="N443" s="364">
        <v>0</v>
      </c>
    </row>
    <row r="444" spans="1:14" x14ac:dyDescent="0.25">
      <c r="A444" s="349">
        <f>SUM(A437:A443)</f>
        <v>2784</v>
      </c>
      <c r="B444" s="365" t="s">
        <v>64</v>
      </c>
      <c r="C444" s="43"/>
      <c r="D444" s="57"/>
      <c r="E444" s="57"/>
      <c r="F444" s="57"/>
      <c r="G444" s="57"/>
      <c r="H444" s="43"/>
      <c r="I444" s="188"/>
      <c r="J444" s="188"/>
      <c r="K444" s="188"/>
      <c r="L444" s="188"/>
      <c r="M444" s="357"/>
      <c r="N444" s="366">
        <f>SUM(N436:N443)</f>
        <v>0</v>
      </c>
    </row>
    <row r="445" spans="1:14" ht="47.25" x14ac:dyDescent="0.25">
      <c r="A445" s="347">
        <f>A436+1</f>
        <v>44631</v>
      </c>
      <c r="B445" s="361" t="s">
        <v>1851</v>
      </c>
      <c r="C445" s="55" t="s">
        <v>2159</v>
      </c>
      <c r="D445" s="56">
        <v>36</v>
      </c>
      <c r="E445" s="57" t="s">
        <v>2160</v>
      </c>
      <c r="F445" s="57" t="s">
        <v>2161</v>
      </c>
      <c r="G445" s="125">
        <v>44634</v>
      </c>
      <c r="H445" s="43"/>
      <c r="I445" s="187" t="s">
        <v>2126</v>
      </c>
      <c r="J445" s="188"/>
      <c r="K445" s="188"/>
      <c r="L445" s="188"/>
      <c r="M445" s="357"/>
      <c r="N445" s="364">
        <v>0</v>
      </c>
    </row>
    <row r="446" spans="1:14" ht="47.25" x14ac:dyDescent="0.25">
      <c r="A446" s="348">
        <v>2000</v>
      </c>
      <c r="B446" s="365" t="s">
        <v>57</v>
      </c>
      <c r="C446" s="55" t="s">
        <v>2162</v>
      </c>
      <c r="D446" s="65"/>
      <c r="E446" s="65"/>
      <c r="F446" s="65"/>
      <c r="G446" s="57" t="s">
        <v>2163</v>
      </c>
      <c r="H446" s="43"/>
      <c r="I446" s="187" t="s">
        <v>2127</v>
      </c>
      <c r="J446" s="188"/>
      <c r="K446" s="188"/>
      <c r="L446" s="188"/>
      <c r="M446" s="357"/>
      <c r="N446" s="364">
        <v>0</v>
      </c>
    </row>
    <row r="447" spans="1:14" x14ac:dyDescent="0.25">
      <c r="A447" s="348">
        <v>0</v>
      </c>
      <c r="B447" s="365" t="s">
        <v>58</v>
      </c>
      <c r="C447" s="43"/>
      <c r="D447" s="65"/>
      <c r="E447" s="65"/>
      <c r="F447" s="65"/>
      <c r="G447" s="65"/>
      <c r="H447" s="43"/>
      <c r="I447" s="188"/>
      <c r="J447" s="188"/>
      <c r="K447" s="188"/>
      <c r="L447" s="188"/>
      <c r="M447" s="357"/>
      <c r="N447" s="364">
        <v>0</v>
      </c>
    </row>
    <row r="448" spans="1:14" x14ac:dyDescent="0.25">
      <c r="A448" s="348">
        <v>0</v>
      </c>
      <c r="B448" s="365" t="s">
        <v>59</v>
      </c>
      <c r="C448" s="43"/>
      <c r="D448" s="65"/>
      <c r="E448" s="65"/>
      <c r="F448" s="65"/>
      <c r="G448" s="65"/>
      <c r="H448" s="43"/>
      <c r="I448" s="188"/>
      <c r="J448" s="188"/>
      <c r="K448" s="188"/>
      <c r="L448" s="188"/>
      <c r="M448" s="357"/>
      <c r="N448" s="364">
        <v>0</v>
      </c>
    </row>
    <row r="449" spans="1:14" x14ac:dyDescent="0.25">
      <c r="A449" s="348">
        <v>0</v>
      </c>
      <c r="B449" s="365" t="s">
        <v>60</v>
      </c>
      <c r="C449" s="43"/>
      <c r="D449" s="65"/>
      <c r="E449" s="65"/>
      <c r="F449" s="65"/>
      <c r="G449" s="65"/>
      <c r="H449" s="43"/>
      <c r="I449" s="188"/>
      <c r="J449" s="188"/>
      <c r="K449" s="188"/>
      <c r="L449" s="188"/>
      <c r="M449" s="357"/>
      <c r="N449" s="364">
        <v>0</v>
      </c>
    </row>
    <row r="450" spans="1:14" x14ac:dyDescent="0.25">
      <c r="A450" s="348">
        <v>0</v>
      </c>
      <c r="B450" s="365" t="s">
        <v>61</v>
      </c>
      <c r="C450" s="43"/>
      <c r="D450" s="65"/>
      <c r="E450" s="65"/>
      <c r="F450" s="65"/>
      <c r="G450" s="65"/>
      <c r="H450" s="43"/>
      <c r="I450" s="188"/>
      <c r="J450" s="188"/>
      <c r="K450" s="188"/>
      <c r="L450" s="188"/>
      <c r="M450" s="357"/>
      <c r="N450" s="364">
        <v>0</v>
      </c>
    </row>
    <row r="451" spans="1:14" x14ac:dyDescent="0.25">
      <c r="A451" s="348">
        <v>0</v>
      </c>
      <c r="B451" s="365" t="s">
        <v>62</v>
      </c>
      <c r="C451" s="43"/>
      <c r="D451" s="65"/>
      <c r="E451" s="65"/>
      <c r="F451" s="65"/>
      <c r="G451" s="65"/>
      <c r="H451" s="43"/>
      <c r="I451" s="188"/>
      <c r="J451" s="188"/>
      <c r="K451" s="188"/>
      <c r="L451" s="188"/>
      <c r="M451" s="357"/>
      <c r="N451" s="364">
        <v>0</v>
      </c>
    </row>
    <row r="452" spans="1:14" x14ac:dyDescent="0.25">
      <c r="A452" s="348">
        <v>0</v>
      </c>
      <c r="B452" s="365" t="s">
        <v>63</v>
      </c>
      <c r="C452" s="43"/>
      <c r="D452" s="65"/>
      <c r="E452" s="65"/>
      <c r="F452" s="65"/>
      <c r="G452" s="65"/>
      <c r="H452" s="43"/>
      <c r="I452" s="188"/>
      <c r="J452" s="188"/>
      <c r="K452" s="188"/>
      <c r="L452" s="188"/>
      <c r="M452" s="357"/>
      <c r="N452" s="364">
        <v>0</v>
      </c>
    </row>
    <row r="453" spans="1:14" x14ac:dyDescent="0.25">
      <c r="A453" s="349">
        <f>SUM(A446:A452)</f>
        <v>2000</v>
      </c>
      <c r="B453" s="365" t="s">
        <v>64</v>
      </c>
      <c r="C453" s="43"/>
      <c r="D453" s="65"/>
      <c r="E453" s="65"/>
      <c r="F453" s="65"/>
      <c r="G453" s="65"/>
      <c r="H453" s="43"/>
      <c r="I453" s="188"/>
      <c r="J453" s="188"/>
      <c r="K453" s="188"/>
      <c r="L453" s="188"/>
      <c r="M453" s="357"/>
      <c r="N453" s="366">
        <f>SUM(N445:N452)</f>
        <v>0</v>
      </c>
    </row>
    <row r="454" spans="1:14" ht="63" x14ac:dyDescent="0.25">
      <c r="A454" s="347">
        <f>A445+3</f>
        <v>44634</v>
      </c>
      <c r="B454" s="361" t="s">
        <v>1851</v>
      </c>
      <c r="C454" s="43"/>
      <c r="D454" s="65"/>
      <c r="E454" s="65"/>
      <c r="F454" s="65"/>
      <c r="G454" s="65"/>
      <c r="H454" s="55" t="s">
        <v>2164</v>
      </c>
      <c r="I454" s="57">
        <v>60</v>
      </c>
      <c r="J454" s="57" t="s">
        <v>100</v>
      </c>
      <c r="K454" s="57" t="s">
        <v>2165</v>
      </c>
      <c r="L454" s="125">
        <v>44630</v>
      </c>
      <c r="M454" s="357"/>
      <c r="N454" s="364">
        <v>1135</v>
      </c>
    </row>
    <row r="455" spans="1:14" x14ac:dyDescent="0.25">
      <c r="A455" s="348">
        <v>2000</v>
      </c>
      <c r="B455" s="365" t="s">
        <v>57</v>
      </c>
      <c r="C455" s="43"/>
      <c r="D455" s="65"/>
      <c r="E455" s="65"/>
      <c r="F455" s="65"/>
      <c r="G455" s="65"/>
      <c r="H455" s="55" t="s">
        <v>2166</v>
      </c>
      <c r="I455" s="57"/>
      <c r="J455" s="57"/>
      <c r="K455" s="57"/>
      <c r="L455" s="191" t="s">
        <v>1584</v>
      </c>
      <c r="M455" s="357"/>
      <c r="N455" s="364">
        <v>0</v>
      </c>
    </row>
    <row r="456" spans="1:14" x14ac:dyDescent="0.25">
      <c r="A456" s="348">
        <v>0</v>
      </c>
      <c r="B456" s="365" t="s">
        <v>58</v>
      </c>
      <c r="C456" s="43"/>
      <c r="D456" s="65"/>
      <c r="E456" s="65"/>
      <c r="F456" s="65"/>
      <c r="G456" s="65"/>
      <c r="H456" s="55"/>
      <c r="I456" s="57"/>
      <c r="J456" s="57"/>
      <c r="K456" s="57"/>
      <c r="L456" s="57"/>
      <c r="M456" s="357"/>
      <c r="N456" s="364">
        <v>0</v>
      </c>
    </row>
    <row r="457" spans="1:14" x14ac:dyDescent="0.25">
      <c r="A457" s="348">
        <v>0</v>
      </c>
      <c r="B457" s="365" t="s">
        <v>59</v>
      </c>
      <c r="C457" s="43"/>
      <c r="D457" s="65"/>
      <c r="E457" s="65"/>
      <c r="F457" s="65"/>
      <c r="G457" s="65"/>
      <c r="H457" s="43"/>
      <c r="I457" s="65"/>
      <c r="J457" s="65"/>
      <c r="K457" s="65"/>
      <c r="L457" s="65"/>
      <c r="M457" s="357"/>
      <c r="N457" s="364">
        <v>0</v>
      </c>
    </row>
    <row r="458" spans="1:14" x14ac:dyDescent="0.25">
      <c r="A458" s="348">
        <v>0</v>
      </c>
      <c r="B458" s="365" t="s">
        <v>60</v>
      </c>
      <c r="C458" s="43"/>
      <c r="D458" s="65"/>
      <c r="E458" s="65"/>
      <c r="F458" s="65"/>
      <c r="G458" s="65"/>
      <c r="H458" s="43"/>
      <c r="I458" s="65"/>
      <c r="J458" s="65"/>
      <c r="K458" s="65"/>
      <c r="L458" s="65"/>
      <c r="M458" s="357"/>
      <c r="N458" s="364">
        <v>0</v>
      </c>
    </row>
    <row r="459" spans="1:14" x14ac:dyDescent="0.25">
      <c r="A459" s="348">
        <v>0</v>
      </c>
      <c r="B459" s="365" t="s">
        <v>61</v>
      </c>
      <c r="C459" s="43"/>
      <c r="D459" s="65"/>
      <c r="E459" s="65"/>
      <c r="F459" s="65"/>
      <c r="G459" s="65"/>
      <c r="H459" s="43"/>
      <c r="I459" s="65"/>
      <c r="J459" s="65"/>
      <c r="K459" s="65"/>
      <c r="L459" s="65"/>
      <c r="M459" s="357"/>
      <c r="N459" s="364">
        <v>0</v>
      </c>
    </row>
    <row r="460" spans="1:14" x14ac:dyDescent="0.25">
      <c r="A460" s="348">
        <v>0</v>
      </c>
      <c r="B460" s="365" t="s">
        <v>62</v>
      </c>
      <c r="C460" s="43"/>
      <c r="D460" s="65"/>
      <c r="E460" s="65"/>
      <c r="F460" s="65"/>
      <c r="G460" s="65"/>
      <c r="H460" s="43"/>
      <c r="I460" s="65"/>
      <c r="J460" s="65"/>
      <c r="K460" s="65"/>
      <c r="L460" s="65"/>
      <c r="M460" s="357"/>
      <c r="N460" s="364">
        <v>0</v>
      </c>
    </row>
    <row r="461" spans="1:14" x14ac:dyDescent="0.25">
      <c r="A461" s="348">
        <v>0</v>
      </c>
      <c r="B461" s="365" t="s">
        <v>63</v>
      </c>
      <c r="C461" s="43"/>
      <c r="D461" s="65"/>
      <c r="E461" s="65"/>
      <c r="F461" s="65"/>
      <c r="G461" s="65"/>
      <c r="H461" s="43"/>
      <c r="I461" s="65"/>
      <c r="J461" s="65"/>
      <c r="K461" s="65"/>
      <c r="L461" s="65"/>
      <c r="M461" s="357"/>
      <c r="N461" s="364">
        <v>0</v>
      </c>
    </row>
    <row r="462" spans="1:14" x14ac:dyDescent="0.25">
      <c r="A462" s="349">
        <f>SUM(A455:A461)</f>
        <v>2000</v>
      </c>
      <c r="B462" s="365" t="s">
        <v>64</v>
      </c>
      <c r="C462" s="43"/>
      <c r="D462" s="65"/>
      <c r="E462" s="65"/>
      <c r="F462" s="65"/>
      <c r="G462" s="65"/>
      <c r="H462" s="43"/>
      <c r="I462" s="65"/>
      <c r="J462" s="65"/>
      <c r="K462" s="65"/>
      <c r="L462" s="65"/>
      <c r="M462" s="357"/>
      <c r="N462" s="366">
        <f>SUM(N454:N461)</f>
        <v>1135</v>
      </c>
    </row>
    <row r="463" spans="1:14" x14ac:dyDescent="0.25">
      <c r="A463" s="347">
        <f>A454+1</f>
        <v>44635</v>
      </c>
      <c r="B463" s="361" t="s">
        <v>1851</v>
      </c>
      <c r="C463" s="43"/>
      <c r="D463" s="65"/>
      <c r="E463" s="65"/>
      <c r="F463" s="65"/>
      <c r="G463" s="65"/>
      <c r="H463" s="43"/>
      <c r="I463" s="65"/>
      <c r="J463" s="65"/>
      <c r="K463" s="65"/>
      <c r="L463" s="65"/>
      <c r="M463" s="357"/>
      <c r="N463" s="364">
        <v>1958</v>
      </c>
    </row>
    <row r="464" spans="1:14" x14ac:dyDescent="0.25">
      <c r="A464" s="348">
        <v>266</v>
      </c>
      <c r="B464" s="365" t="s">
        <v>57</v>
      </c>
      <c r="C464" s="43"/>
      <c r="D464" s="65"/>
      <c r="E464" s="65"/>
      <c r="F464" s="65"/>
      <c r="G464" s="65"/>
      <c r="H464" s="43"/>
      <c r="I464" s="65"/>
      <c r="J464" s="65"/>
      <c r="K464" s="65"/>
      <c r="L464" s="65"/>
      <c r="M464" s="357"/>
      <c r="N464" s="364">
        <v>0</v>
      </c>
    </row>
    <row r="465" spans="1:14" x14ac:dyDescent="0.25">
      <c r="A465" s="348">
        <v>1649</v>
      </c>
      <c r="B465" s="365" t="s">
        <v>58</v>
      </c>
      <c r="C465" s="43"/>
      <c r="D465" s="65"/>
      <c r="E465" s="65"/>
      <c r="F465" s="65"/>
      <c r="G465" s="65"/>
      <c r="H465" s="43"/>
      <c r="I465" s="65"/>
      <c r="J465" s="65"/>
      <c r="K465" s="65"/>
      <c r="L465" s="65"/>
      <c r="M465" s="357"/>
      <c r="N465" s="364">
        <v>0</v>
      </c>
    </row>
    <row r="466" spans="1:14" x14ac:dyDescent="0.25">
      <c r="A466" s="348">
        <v>0</v>
      </c>
      <c r="B466" s="365" t="s">
        <v>59</v>
      </c>
      <c r="C466" s="43"/>
      <c r="D466" s="65"/>
      <c r="E466" s="65"/>
      <c r="F466" s="65"/>
      <c r="G466" s="65"/>
      <c r="H466" s="43"/>
      <c r="I466" s="65"/>
      <c r="J466" s="65"/>
      <c r="K466" s="65"/>
      <c r="L466" s="65"/>
      <c r="M466" s="357"/>
      <c r="N466" s="364">
        <v>0</v>
      </c>
    </row>
    <row r="467" spans="1:14" x14ac:dyDescent="0.25">
      <c r="A467" s="348">
        <v>0</v>
      </c>
      <c r="B467" s="365" t="s">
        <v>60</v>
      </c>
      <c r="C467" s="43"/>
      <c r="D467" s="65"/>
      <c r="E467" s="65"/>
      <c r="F467" s="65"/>
      <c r="G467" s="65"/>
      <c r="H467" s="43"/>
      <c r="I467" s="65"/>
      <c r="J467" s="65"/>
      <c r="K467" s="65"/>
      <c r="L467" s="65"/>
      <c r="M467" s="357"/>
      <c r="N467" s="364">
        <v>0</v>
      </c>
    </row>
    <row r="468" spans="1:14" ht="78.75" x14ac:dyDescent="0.25">
      <c r="A468" s="348">
        <v>0</v>
      </c>
      <c r="B468" s="365" t="s">
        <v>61</v>
      </c>
      <c r="C468" s="55" t="s">
        <v>2167</v>
      </c>
      <c r="D468" s="57">
        <v>48</v>
      </c>
      <c r="E468" s="57" t="s">
        <v>2168</v>
      </c>
      <c r="F468" s="57" t="s">
        <v>2169</v>
      </c>
      <c r="G468" s="125">
        <v>44621</v>
      </c>
      <c r="H468" s="55" t="s">
        <v>2170</v>
      </c>
      <c r="I468" s="56">
        <v>30</v>
      </c>
      <c r="J468" s="57" t="s">
        <v>2171</v>
      </c>
      <c r="K468" s="57" t="s">
        <v>2172</v>
      </c>
      <c r="L468" s="57" t="s">
        <v>787</v>
      </c>
      <c r="M468" s="357"/>
      <c r="N468" s="364">
        <v>0</v>
      </c>
    </row>
    <row r="469" spans="1:14" x14ac:dyDescent="0.25">
      <c r="A469" s="348">
        <v>0</v>
      </c>
      <c r="B469" s="365" t="s">
        <v>62</v>
      </c>
      <c r="C469" s="43"/>
      <c r="D469" s="65"/>
      <c r="E469" s="65"/>
      <c r="F469" s="65"/>
      <c r="G469" s="65"/>
      <c r="H469" s="43"/>
      <c r="I469" s="65"/>
      <c r="J469" s="65"/>
      <c r="K469" s="65"/>
      <c r="L469" s="57"/>
      <c r="M469" s="357"/>
      <c r="N469" s="364">
        <v>0</v>
      </c>
    </row>
    <row r="470" spans="1:14" x14ac:dyDescent="0.25">
      <c r="A470" s="348">
        <v>0</v>
      </c>
      <c r="B470" s="365" t="s">
        <v>63</v>
      </c>
      <c r="C470" s="43"/>
      <c r="D470" s="65"/>
      <c r="E470" s="65"/>
      <c r="F470" s="65"/>
      <c r="G470" s="65"/>
      <c r="H470" s="43"/>
      <c r="I470" s="65"/>
      <c r="J470" s="65"/>
      <c r="K470" s="65"/>
      <c r="L470" s="65"/>
      <c r="M470" s="357"/>
      <c r="N470" s="364">
        <v>0</v>
      </c>
    </row>
    <row r="471" spans="1:14" x14ac:dyDescent="0.25">
      <c r="A471" s="349">
        <f>SUM(A464:A470)</f>
        <v>1915</v>
      </c>
      <c r="B471" s="365" t="s">
        <v>64</v>
      </c>
      <c r="C471" s="43"/>
      <c r="D471" s="65"/>
      <c r="E471" s="65"/>
      <c r="F471" s="65"/>
      <c r="G471" s="65"/>
      <c r="H471" s="43"/>
      <c r="I471" s="65"/>
      <c r="J471" s="65"/>
      <c r="K471" s="65"/>
      <c r="L471" s="65"/>
      <c r="M471" s="357"/>
      <c r="N471" s="366">
        <f>SUM(N463:N470)</f>
        <v>1958</v>
      </c>
    </row>
    <row r="472" spans="1:14" ht="63" x14ac:dyDescent="0.25">
      <c r="A472" s="347">
        <f>A463+1</f>
        <v>44636</v>
      </c>
      <c r="B472" s="361" t="s">
        <v>1851</v>
      </c>
      <c r="C472" s="55" t="s">
        <v>2173</v>
      </c>
      <c r="D472" s="84">
        <v>60</v>
      </c>
      <c r="E472" s="84" t="s">
        <v>204</v>
      </c>
      <c r="F472" s="84" t="s">
        <v>2174</v>
      </c>
      <c r="G472" s="136">
        <v>44631</v>
      </c>
      <c r="H472" s="43"/>
      <c r="I472" s="65"/>
      <c r="J472" s="65"/>
      <c r="K472" s="65"/>
      <c r="L472" s="65"/>
      <c r="M472" s="357"/>
      <c r="N472" s="364">
        <v>0</v>
      </c>
    </row>
    <row r="473" spans="1:14" x14ac:dyDescent="0.25">
      <c r="A473" s="348">
        <v>1041</v>
      </c>
      <c r="B473" s="365" t="s">
        <v>57</v>
      </c>
      <c r="C473" s="55" t="s">
        <v>2175</v>
      </c>
      <c r="D473" s="84"/>
      <c r="E473" s="84"/>
      <c r="F473" s="84"/>
      <c r="G473" s="309" t="s">
        <v>1574</v>
      </c>
      <c r="H473" s="43"/>
      <c r="I473" s="65"/>
      <c r="J473" s="65"/>
      <c r="K473" s="65"/>
      <c r="L473" s="65"/>
      <c r="M473" s="357"/>
      <c r="N473" s="364">
        <v>0</v>
      </c>
    </row>
    <row r="474" spans="1:14" x14ac:dyDescent="0.25">
      <c r="A474" s="348">
        <v>0</v>
      </c>
      <c r="B474" s="365" t="s">
        <v>58</v>
      </c>
      <c r="C474" s="43"/>
      <c r="D474" s="86"/>
      <c r="E474" s="86"/>
      <c r="F474" s="86"/>
      <c r="G474" s="86"/>
      <c r="H474" s="43"/>
      <c r="I474" s="65"/>
      <c r="J474" s="65"/>
      <c r="K474" s="65"/>
      <c r="L474" s="65"/>
      <c r="M474" s="357"/>
      <c r="N474" s="364">
        <v>0</v>
      </c>
    </row>
    <row r="475" spans="1:14" x14ac:dyDescent="0.25">
      <c r="A475" s="348">
        <v>0</v>
      </c>
      <c r="B475" s="365" t="s">
        <v>59</v>
      </c>
      <c r="C475" s="43"/>
      <c r="D475" s="86"/>
      <c r="E475" s="86"/>
      <c r="F475" s="86"/>
      <c r="G475" s="86"/>
      <c r="H475" s="43"/>
      <c r="I475" s="65"/>
      <c r="J475" s="65"/>
      <c r="K475" s="65"/>
      <c r="L475" s="65"/>
      <c r="M475" s="357"/>
      <c r="N475" s="364">
        <v>0</v>
      </c>
    </row>
    <row r="476" spans="1:14" ht="31.5" x14ac:dyDescent="0.25">
      <c r="A476" s="348">
        <v>0</v>
      </c>
      <c r="B476" s="365" t="s">
        <v>60</v>
      </c>
      <c r="C476" s="55" t="s">
        <v>2176</v>
      </c>
      <c r="D476" s="84">
        <v>48</v>
      </c>
      <c r="E476" s="84" t="s">
        <v>70</v>
      </c>
      <c r="F476" s="84" t="s">
        <v>2177</v>
      </c>
      <c r="G476" s="136">
        <v>44634</v>
      </c>
      <c r="H476" s="43"/>
      <c r="I476" s="65"/>
      <c r="J476" s="65"/>
      <c r="K476" s="65"/>
      <c r="L476" s="65"/>
      <c r="M476" s="357"/>
      <c r="N476" s="364">
        <v>0</v>
      </c>
    </row>
    <row r="477" spans="1:14" ht="31.5" x14ac:dyDescent="0.25">
      <c r="A477" s="348">
        <v>0</v>
      </c>
      <c r="B477" s="365" t="s">
        <v>61</v>
      </c>
      <c r="C477" s="55" t="s">
        <v>2178</v>
      </c>
      <c r="D477" s="84"/>
      <c r="E477" s="84"/>
      <c r="F477" s="84"/>
      <c r="G477" s="84"/>
      <c r="H477" s="43"/>
      <c r="I477" s="65"/>
      <c r="J477" s="65"/>
      <c r="K477" s="65"/>
      <c r="L477" s="65"/>
      <c r="M477" s="357"/>
      <c r="N477" s="364">
        <v>0</v>
      </c>
    </row>
    <row r="478" spans="1:14" x14ac:dyDescent="0.25">
      <c r="A478" s="348">
        <v>0</v>
      </c>
      <c r="B478" s="365" t="s">
        <v>62</v>
      </c>
      <c r="C478" s="43"/>
      <c r="D478" s="65"/>
      <c r="E478" s="65"/>
      <c r="F478" s="65"/>
      <c r="G478" s="65"/>
      <c r="H478" s="43"/>
      <c r="I478" s="65"/>
      <c r="J478" s="65"/>
      <c r="K478" s="65"/>
      <c r="L478" s="65"/>
      <c r="M478" s="357"/>
      <c r="N478" s="364">
        <v>0</v>
      </c>
    </row>
    <row r="479" spans="1:14" x14ac:dyDescent="0.25">
      <c r="A479" s="348">
        <v>0</v>
      </c>
      <c r="B479" s="365" t="s">
        <v>63</v>
      </c>
      <c r="C479" s="43"/>
      <c r="D479" s="65"/>
      <c r="E479" s="65"/>
      <c r="F479" s="65"/>
      <c r="G479" s="65"/>
      <c r="H479" s="43"/>
      <c r="I479" s="86"/>
      <c r="J479" s="86"/>
      <c r="K479" s="86"/>
      <c r="L479" s="86"/>
      <c r="M479" s="357"/>
      <c r="N479" s="364">
        <v>0</v>
      </c>
    </row>
    <row r="480" spans="1:14" x14ac:dyDescent="0.25">
      <c r="A480" s="349">
        <f>SUM(A473:A479)</f>
        <v>1041</v>
      </c>
      <c r="B480" s="365" t="s">
        <v>64</v>
      </c>
      <c r="C480" s="43"/>
      <c r="D480" s="65"/>
      <c r="E480" s="65"/>
      <c r="F480" s="65"/>
      <c r="G480" s="65"/>
      <c r="H480" s="43"/>
      <c r="I480" s="86"/>
      <c r="J480" s="86"/>
      <c r="K480" s="86"/>
      <c r="L480" s="86"/>
      <c r="M480" s="357"/>
      <c r="N480" s="366">
        <f>SUM(N472:N479)</f>
        <v>0</v>
      </c>
    </row>
    <row r="481" spans="1:14" ht="47.25" x14ac:dyDescent="0.25">
      <c r="A481" s="347">
        <f>A472+1</f>
        <v>44637</v>
      </c>
      <c r="B481" s="361" t="s">
        <v>1851</v>
      </c>
      <c r="C481" s="55" t="s">
        <v>2179</v>
      </c>
      <c r="D481" s="57">
        <v>48</v>
      </c>
      <c r="E481" s="57" t="s">
        <v>248</v>
      </c>
      <c r="F481" s="57" t="s">
        <v>2180</v>
      </c>
      <c r="G481" s="125">
        <v>44638</v>
      </c>
      <c r="H481" s="87"/>
      <c r="I481" s="187" t="s">
        <v>2126</v>
      </c>
      <c r="J481" s="188"/>
      <c r="K481" s="188"/>
      <c r="L481" s="188"/>
      <c r="M481" s="357"/>
      <c r="N481" s="364">
        <v>0</v>
      </c>
    </row>
    <row r="482" spans="1:14" x14ac:dyDescent="0.25">
      <c r="A482" s="348">
        <v>1300</v>
      </c>
      <c r="B482" s="365" t="s">
        <v>57</v>
      </c>
      <c r="C482" s="55" t="s">
        <v>2181</v>
      </c>
      <c r="D482" s="57"/>
      <c r="E482" s="57"/>
      <c r="F482" s="57"/>
      <c r="G482" s="57"/>
      <c r="H482" s="43"/>
      <c r="I482" s="187" t="s">
        <v>2127</v>
      </c>
      <c r="J482" s="188"/>
      <c r="K482" s="188"/>
      <c r="L482" s="188"/>
      <c r="M482" s="357"/>
      <c r="N482" s="364">
        <v>0</v>
      </c>
    </row>
    <row r="483" spans="1:14" x14ac:dyDescent="0.25">
      <c r="A483" s="348">
        <v>0</v>
      </c>
      <c r="B483" s="365" t="s">
        <v>58</v>
      </c>
      <c r="C483" s="43"/>
      <c r="D483" s="65"/>
      <c r="E483" s="65"/>
      <c r="F483" s="65"/>
      <c r="G483" s="65"/>
      <c r="H483" s="43"/>
      <c r="I483" s="188"/>
      <c r="J483" s="188"/>
      <c r="K483" s="188"/>
      <c r="L483" s="188"/>
      <c r="M483" s="357"/>
      <c r="N483" s="364">
        <v>0</v>
      </c>
    </row>
    <row r="484" spans="1:14" x14ac:dyDescent="0.25">
      <c r="A484" s="348">
        <v>0</v>
      </c>
      <c r="B484" s="365" t="s">
        <v>59</v>
      </c>
      <c r="C484" s="43"/>
      <c r="D484" s="65"/>
      <c r="E484" s="65"/>
      <c r="F484" s="65"/>
      <c r="G484" s="65"/>
      <c r="H484" s="43"/>
      <c r="I484" s="188"/>
      <c r="J484" s="188"/>
      <c r="K484" s="188"/>
      <c r="L484" s="188"/>
      <c r="M484" s="357"/>
      <c r="N484" s="364">
        <v>0</v>
      </c>
    </row>
    <row r="485" spans="1:14" x14ac:dyDescent="0.25">
      <c r="A485" s="348">
        <v>0</v>
      </c>
      <c r="B485" s="365" t="s">
        <v>60</v>
      </c>
      <c r="C485" s="43"/>
      <c r="D485" s="65"/>
      <c r="E485" s="65"/>
      <c r="F485" s="65"/>
      <c r="G485" s="65"/>
      <c r="H485" s="43"/>
      <c r="I485" s="188"/>
      <c r="J485" s="188"/>
      <c r="K485" s="188"/>
      <c r="L485" s="188"/>
      <c r="M485" s="357"/>
      <c r="N485" s="364">
        <v>0</v>
      </c>
    </row>
    <row r="486" spans="1:14" x14ac:dyDescent="0.25">
      <c r="A486" s="348">
        <v>0</v>
      </c>
      <c r="B486" s="365" t="s">
        <v>61</v>
      </c>
      <c r="C486" s="43"/>
      <c r="D486" s="65"/>
      <c r="E486" s="65"/>
      <c r="F486" s="65"/>
      <c r="G486" s="65"/>
      <c r="H486" s="43"/>
      <c r="I486" s="188"/>
      <c r="J486" s="188"/>
      <c r="K486" s="188"/>
      <c r="L486" s="188"/>
      <c r="M486" s="357"/>
      <c r="N486" s="364">
        <v>0</v>
      </c>
    </row>
    <row r="487" spans="1:14" x14ac:dyDescent="0.25">
      <c r="A487" s="348">
        <v>0</v>
      </c>
      <c r="B487" s="365" t="s">
        <v>62</v>
      </c>
      <c r="C487" s="43"/>
      <c r="D487" s="65"/>
      <c r="E487" s="65"/>
      <c r="F487" s="65"/>
      <c r="G487" s="65"/>
      <c r="H487" s="43"/>
      <c r="I487" s="188"/>
      <c r="J487" s="188"/>
      <c r="K487" s="188"/>
      <c r="L487" s="188"/>
      <c r="M487" s="357"/>
      <c r="N487" s="364">
        <v>0</v>
      </c>
    </row>
    <row r="488" spans="1:14" x14ac:dyDescent="0.25">
      <c r="A488" s="348">
        <v>0</v>
      </c>
      <c r="B488" s="365" t="s">
        <v>63</v>
      </c>
      <c r="C488" s="43"/>
      <c r="D488" s="65"/>
      <c r="E488" s="65"/>
      <c r="F488" s="65"/>
      <c r="G488" s="65"/>
      <c r="H488" s="43"/>
      <c r="I488" s="188"/>
      <c r="J488" s="188"/>
      <c r="K488" s="188"/>
      <c r="L488" s="188"/>
      <c r="M488" s="357"/>
      <c r="N488" s="364">
        <v>0</v>
      </c>
    </row>
    <row r="489" spans="1:14" x14ac:dyDescent="0.25">
      <c r="A489" s="349">
        <f>SUM(A482:A488)</f>
        <v>1300</v>
      </c>
      <c r="B489" s="365" t="s">
        <v>64</v>
      </c>
      <c r="C489" s="43"/>
      <c r="D489" s="65"/>
      <c r="E489" s="65"/>
      <c r="F489" s="65"/>
      <c r="G489" s="65"/>
      <c r="H489" s="43"/>
      <c r="I489" s="188"/>
      <c r="J489" s="188"/>
      <c r="K489" s="188"/>
      <c r="L489" s="188"/>
      <c r="M489" s="357"/>
      <c r="N489" s="366">
        <f>SUM(N481:N488)</f>
        <v>0</v>
      </c>
    </row>
    <row r="490" spans="1:14" x14ac:dyDescent="0.25">
      <c r="A490" s="347">
        <f>A481+1</f>
        <v>44638</v>
      </c>
      <c r="B490" s="361" t="s">
        <v>1851</v>
      </c>
      <c r="C490" s="87" t="s">
        <v>2182</v>
      </c>
      <c r="D490" s="65"/>
      <c r="E490" s="65"/>
      <c r="F490" s="65"/>
      <c r="G490" s="65"/>
      <c r="H490" s="43"/>
      <c r="I490" s="187" t="s">
        <v>2126</v>
      </c>
      <c r="J490" s="188"/>
      <c r="K490" s="188"/>
      <c r="L490" s="188"/>
      <c r="M490" s="357"/>
      <c r="N490" s="364">
        <v>0</v>
      </c>
    </row>
    <row r="491" spans="1:14" x14ac:dyDescent="0.25">
      <c r="A491" s="348">
        <v>1300</v>
      </c>
      <c r="B491" s="365" t="s">
        <v>57</v>
      </c>
      <c r="C491" s="43"/>
      <c r="D491" s="65"/>
      <c r="E491" s="65"/>
      <c r="F491" s="65"/>
      <c r="G491" s="65"/>
      <c r="H491" s="43"/>
      <c r="I491" s="187" t="s">
        <v>2127</v>
      </c>
      <c r="J491" s="188"/>
      <c r="K491" s="188"/>
      <c r="L491" s="188"/>
      <c r="M491" s="357"/>
      <c r="N491" s="364">
        <v>0</v>
      </c>
    </row>
    <row r="492" spans="1:14" x14ac:dyDescent="0.25">
      <c r="A492" s="348">
        <v>0</v>
      </c>
      <c r="B492" s="365" t="s">
        <v>58</v>
      </c>
      <c r="C492" s="43"/>
      <c r="D492" s="65"/>
      <c r="E492" s="65"/>
      <c r="F492" s="65"/>
      <c r="G492" s="65"/>
      <c r="H492" s="43"/>
      <c r="I492" s="188"/>
      <c r="J492" s="188"/>
      <c r="K492" s="188"/>
      <c r="L492" s="188"/>
      <c r="M492" s="357"/>
      <c r="N492" s="364">
        <v>0</v>
      </c>
    </row>
    <row r="493" spans="1:14" x14ac:dyDescent="0.25">
      <c r="A493" s="348">
        <v>0</v>
      </c>
      <c r="B493" s="365" t="s">
        <v>59</v>
      </c>
      <c r="C493" s="43"/>
      <c r="D493" s="65"/>
      <c r="E493" s="65"/>
      <c r="F493" s="65"/>
      <c r="G493" s="65"/>
      <c r="H493" s="43"/>
      <c r="I493" s="188"/>
      <c r="J493" s="188"/>
      <c r="K493" s="188"/>
      <c r="L493" s="188"/>
      <c r="M493" s="357"/>
      <c r="N493" s="364">
        <v>0</v>
      </c>
    </row>
    <row r="494" spans="1:14" ht="47.25" x14ac:dyDescent="0.25">
      <c r="A494" s="348">
        <v>0</v>
      </c>
      <c r="B494" s="365" t="s">
        <v>60</v>
      </c>
      <c r="C494" s="55" t="s">
        <v>2183</v>
      </c>
      <c r="D494" s="84">
        <v>60</v>
      </c>
      <c r="E494" s="84" t="s">
        <v>100</v>
      </c>
      <c r="F494" s="84" t="s">
        <v>2184</v>
      </c>
      <c r="G494" s="136">
        <v>44638</v>
      </c>
      <c r="H494" s="43"/>
      <c r="I494" s="188"/>
      <c r="J494" s="188"/>
      <c r="K494" s="188"/>
      <c r="L494" s="188"/>
      <c r="M494" s="357"/>
      <c r="N494" s="364">
        <v>0</v>
      </c>
    </row>
    <row r="495" spans="1:14" x14ac:dyDescent="0.25">
      <c r="A495" s="348">
        <v>0</v>
      </c>
      <c r="B495" s="365" t="s">
        <v>61</v>
      </c>
      <c r="C495" s="43"/>
      <c r="D495" s="86"/>
      <c r="E495" s="86"/>
      <c r="F495" s="86"/>
      <c r="G495" s="86"/>
      <c r="H495" s="43"/>
      <c r="I495" s="188"/>
      <c r="J495" s="188"/>
      <c r="K495" s="188"/>
      <c r="L495" s="188"/>
      <c r="M495" s="357"/>
      <c r="N495" s="364">
        <v>0</v>
      </c>
    </row>
    <row r="496" spans="1:14" x14ac:dyDescent="0.25">
      <c r="A496" s="348">
        <v>0</v>
      </c>
      <c r="B496" s="365" t="s">
        <v>62</v>
      </c>
      <c r="C496" s="43"/>
      <c r="D496" s="86"/>
      <c r="E496" s="86"/>
      <c r="F496" s="86"/>
      <c r="G496" s="86"/>
      <c r="H496" s="43"/>
      <c r="I496" s="188"/>
      <c r="J496" s="188"/>
      <c r="K496" s="188"/>
      <c r="L496" s="188"/>
      <c r="M496" s="357"/>
      <c r="N496" s="364">
        <v>0</v>
      </c>
    </row>
    <row r="497" spans="1:14" x14ac:dyDescent="0.25">
      <c r="A497" s="348">
        <v>0</v>
      </c>
      <c r="B497" s="365" t="s">
        <v>63</v>
      </c>
      <c r="C497" s="43"/>
      <c r="D497" s="86"/>
      <c r="E497" s="86"/>
      <c r="F497" s="86"/>
      <c r="G497" s="86"/>
      <c r="H497" s="43"/>
      <c r="I497" s="188"/>
      <c r="J497" s="188"/>
      <c r="K497" s="188"/>
      <c r="L497" s="188"/>
      <c r="M497" s="357"/>
      <c r="N497" s="364">
        <v>0</v>
      </c>
    </row>
    <row r="498" spans="1:14" x14ac:dyDescent="0.25">
      <c r="A498" s="349">
        <f>SUM(A491:A497)</f>
        <v>1300</v>
      </c>
      <c r="B498" s="365" t="s">
        <v>64</v>
      </c>
      <c r="C498" s="43"/>
      <c r="D498" s="86"/>
      <c r="E498" s="86"/>
      <c r="F498" s="86"/>
      <c r="G498" s="86"/>
      <c r="H498" s="43"/>
      <c r="I498" s="188"/>
      <c r="J498" s="188"/>
      <c r="K498" s="188"/>
      <c r="L498" s="188"/>
      <c r="M498" s="357"/>
      <c r="N498" s="366">
        <f>SUM(N490:N497)</f>
        <v>0</v>
      </c>
    </row>
    <row r="499" spans="1:14" x14ac:dyDescent="0.25">
      <c r="A499" s="347">
        <f>A490+3</f>
        <v>44641</v>
      </c>
      <c r="B499" s="361" t="s">
        <v>1851</v>
      </c>
      <c r="C499" s="43"/>
      <c r="D499" s="86"/>
      <c r="E499" s="86"/>
      <c r="F499" s="86"/>
      <c r="G499" s="86"/>
      <c r="H499" s="43"/>
      <c r="I499" s="86"/>
      <c r="J499" s="86"/>
      <c r="K499" s="86"/>
      <c r="L499" s="86"/>
      <c r="M499" s="357"/>
      <c r="N499" s="364">
        <v>0</v>
      </c>
    </row>
    <row r="500" spans="1:14" x14ac:dyDescent="0.25">
      <c r="A500" s="348">
        <v>2973</v>
      </c>
      <c r="B500" s="365" t="s">
        <v>57</v>
      </c>
      <c r="C500" s="43"/>
      <c r="D500" s="86"/>
      <c r="E500" s="86"/>
      <c r="F500" s="86"/>
      <c r="G500" s="86"/>
      <c r="H500" s="43"/>
      <c r="I500" s="86"/>
      <c r="J500" s="86"/>
      <c r="K500" s="86"/>
      <c r="L500" s="86"/>
      <c r="M500" s="357"/>
      <c r="N500" s="364">
        <v>0</v>
      </c>
    </row>
    <row r="501" spans="1:14" x14ac:dyDescent="0.25">
      <c r="A501" s="348">
        <v>0</v>
      </c>
      <c r="B501" s="365" t="s">
        <v>58</v>
      </c>
      <c r="C501" s="43"/>
      <c r="D501" s="86"/>
      <c r="E501" s="86"/>
      <c r="F501" s="86"/>
      <c r="G501" s="86"/>
      <c r="H501" s="43"/>
      <c r="I501" s="86"/>
      <c r="J501" s="86"/>
      <c r="K501" s="86"/>
      <c r="L501" s="86"/>
      <c r="M501" s="357"/>
      <c r="N501" s="364">
        <v>0</v>
      </c>
    </row>
    <row r="502" spans="1:14" x14ac:dyDescent="0.25">
      <c r="A502" s="348">
        <v>0</v>
      </c>
      <c r="B502" s="365" t="s">
        <v>59</v>
      </c>
      <c r="C502" s="43"/>
      <c r="D502" s="86"/>
      <c r="E502" s="86"/>
      <c r="F502" s="86"/>
      <c r="G502" s="86"/>
      <c r="H502" s="43"/>
      <c r="I502" s="86"/>
      <c r="J502" s="86"/>
      <c r="K502" s="86"/>
      <c r="L502" s="86"/>
      <c r="M502" s="357"/>
      <c r="N502" s="364">
        <v>0</v>
      </c>
    </row>
    <row r="503" spans="1:14" x14ac:dyDescent="0.25">
      <c r="A503" s="348">
        <v>0</v>
      </c>
      <c r="B503" s="365" t="s">
        <v>60</v>
      </c>
      <c r="C503" s="43"/>
      <c r="D503" s="86"/>
      <c r="E503" s="86"/>
      <c r="F503" s="86"/>
      <c r="G503" s="86"/>
      <c r="H503" s="43"/>
      <c r="I503" s="86"/>
      <c r="J503" s="86"/>
      <c r="K503" s="86"/>
      <c r="L503" s="86"/>
      <c r="M503" s="357"/>
      <c r="N503" s="364">
        <v>0</v>
      </c>
    </row>
    <row r="504" spans="1:14" x14ac:dyDescent="0.25">
      <c r="A504" s="348">
        <v>0</v>
      </c>
      <c r="B504" s="365" t="s">
        <v>61</v>
      </c>
      <c r="C504" s="43"/>
      <c r="D504" s="86"/>
      <c r="E504" s="86"/>
      <c r="F504" s="86"/>
      <c r="G504" s="86"/>
      <c r="H504" s="43"/>
      <c r="I504" s="86"/>
      <c r="J504" s="86"/>
      <c r="K504" s="86"/>
      <c r="L504" s="86"/>
      <c r="M504" s="357"/>
      <c r="N504" s="364">
        <v>0</v>
      </c>
    </row>
    <row r="505" spans="1:14" x14ac:dyDescent="0.25">
      <c r="A505" s="348">
        <v>0</v>
      </c>
      <c r="B505" s="365" t="s">
        <v>62</v>
      </c>
      <c r="C505" s="43"/>
      <c r="D505" s="86"/>
      <c r="E505" s="86"/>
      <c r="F505" s="86"/>
      <c r="G505" s="86"/>
      <c r="H505" s="43"/>
      <c r="I505" s="86"/>
      <c r="J505" s="86"/>
      <c r="K505" s="86"/>
      <c r="L505" s="86"/>
      <c r="M505" s="357"/>
      <c r="N505" s="364">
        <v>0</v>
      </c>
    </row>
    <row r="506" spans="1:14" x14ac:dyDescent="0.25">
      <c r="A506" s="348">
        <v>0</v>
      </c>
      <c r="B506" s="365" t="s">
        <v>63</v>
      </c>
      <c r="C506" s="43"/>
      <c r="D506" s="86"/>
      <c r="E506" s="86"/>
      <c r="F506" s="86"/>
      <c r="G506" s="86"/>
      <c r="H506" s="43"/>
      <c r="I506" s="86"/>
      <c r="J506" s="86"/>
      <c r="K506" s="86"/>
      <c r="L506" s="86"/>
      <c r="M506" s="357"/>
      <c r="N506" s="364">
        <v>0</v>
      </c>
    </row>
    <row r="507" spans="1:14" x14ac:dyDescent="0.25">
      <c r="A507" s="349">
        <f>SUM(A500:A506)</f>
        <v>2973</v>
      </c>
      <c r="B507" s="365" t="s">
        <v>64</v>
      </c>
      <c r="C507" s="43"/>
      <c r="D507" s="86"/>
      <c r="E507" s="86"/>
      <c r="F507" s="86"/>
      <c r="G507" s="86"/>
      <c r="H507" s="43"/>
      <c r="I507" s="86"/>
      <c r="J507" s="86"/>
      <c r="K507" s="86"/>
      <c r="L507" s="86"/>
      <c r="M507" s="357"/>
      <c r="N507" s="366">
        <f>SUM(N499:N506)</f>
        <v>0</v>
      </c>
    </row>
    <row r="508" spans="1:14" ht="94.5" x14ac:dyDescent="0.25">
      <c r="A508" s="347">
        <f>A499+1</f>
        <v>44642</v>
      </c>
      <c r="B508" s="361" t="s">
        <v>1851</v>
      </c>
      <c r="C508" s="55" t="s">
        <v>2185</v>
      </c>
      <c r="D508" s="57">
        <v>49.125</v>
      </c>
      <c r="E508" s="57" t="s">
        <v>1145</v>
      </c>
      <c r="F508" s="57" t="s">
        <v>2186</v>
      </c>
      <c r="G508" s="125">
        <v>44641</v>
      </c>
      <c r="H508" s="55" t="s">
        <v>2187</v>
      </c>
      <c r="I508" s="84">
        <v>60</v>
      </c>
      <c r="J508" s="84" t="s">
        <v>151</v>
      </c>
      <c r="K508" s="84" t="s">
        <v>2188</v>
      </c>
      <c r="L508" s="136">
        <v>44662</v>
      </c>
      <c r="M508" s="357"/>
      <c r="N508" s="364">
        <v>0</v>
      </c>
    </row>
    <row r="509" spans="1:14" ht="31.5" x14ac:dyDescent="0.25">
      <c r="A509" s="348">
        <v>2700</v>
      </c>
      <c r="B509" s="365" t="s">
        <v>57</v>
      </c>
      <c r="C509" s="55" t="s">
        <v>2189</v>
      </c>
      <c r="D509" s="57"/>
      <c r="E509" s="57"/>
      <c r="F509" s="57"/>
      <c r="G509" s="57" t="s">
        <v>921</v>
      </c>
      <c r="H509" s="43"/>
      <c r="I509" s="86"/>
      <c r="J509" s="86"/>
      <c r="K509" s="86"/>
      <c r="L509" s="86"/>
      <c r="M509" s="357"/>
      <c r="N509" s="364">
        <v>0</v>
      </c>
    </row>
    <row r="510" spans="1:14" x14ac:dyDescent="0.25">
      <c r="A510" s="348">
        <v>0</v>
      </c>
      <c r="B510" s="365" t="s">
        <v>58</v>
      </c>
      <c r="C510" s="43"/>
      <c r="D510" s="65"/>
      <c r="E510" s="65"/>
      <c r="F510" s="65"/>
      <c r="G510" s="65"/>
      <c r="H510" s="43"/>
      <c r="I510" s="86"/>
      <c r="J510" s="86"/>
      <c r="K510" s="86"/>
      <c r="L510" s="86"/>
      <c r="M510" s="357"/>
      <c r="N510" s="364">
        <v>0</v>
      </c>
    </row>
    <row r="511" spans="1:14" x14ac:dyDescent="0.25">
      <c r="A511" s="348">
        <v>0</v>
      </c>
      <c r="B511" s="365" t="s">
        <v>59</v>
      </c>
      <c r="C511" s="43"/>
      <c r="D511" s="65"/>
      <c r="E511" s="65"/>
      <c r="F511" s="65"/>
      <c r="G511" s="65"/>
      <c r="H511" s="43"/>
      <c r="I511" s="86"/>
      <c r="J511" s="86"/>
      <c r="K511" s="86"/>
      <c r="L511" s="86"/>
      <c r="M511" s="357"/>
      <c r="N511" s="364">
        <v>0</v>
      </c>
    </row>
    <row r="512" spans="1:14" x14ac:dyDescent="0.25">
      <c r="A512" s="348">
        <v>0</v>
      </c>
      <c r="B512" s="365" t="s">
        <v>60</v>
      </c>
      <c r="C512" s="43"/>
      <c r="D512" s="65"/>
      <c r="E512" s="65"/>
      <c r="F512" s="65"/>
      <c r="G512" s="65"/>
      <c r="H512" s="43"/>
      <c r="I512" s="86"/>
      <c r="J512" s="86"/>
      <c r="K512" s="86"/>
      <c r="L512" s="86"/>
      <c r="M512" s="357"/>
      <c r="N512" s="364">
        <v>0</v>
      </c>
    </row>
    <row r="513" spans="1:14" ht="47.25" x14ac:dyDescent="0.25">
      <c r="A513" s="348">
        <v>0</v>
      </c>
      <c r="B513" s="365" t="s">
        <v>61</v>
      </c>
      <c r="C513" s="378">
        <v>51337</v>
      </c>
      <c r="D513" s="57">
        <v>52.5</v>
      </c>
      <c r="E513" s="57" t="s">
        <v>1789</v>
      </c>
      <c r="F513" s="57"/>
      <c r="G513" s="65"/>
      <c r="H513" s="43"/>
      <c r="I513" s="86"/>
      <c r="J513" s="86"/>
      <c r="K513" s="86"/>
      <c r="L513" s="86"/>
      <c r="M513" s="357"/>
      <c r="N513" s="364">
        <v>0</v>
      </c>
    </row>
    <row r="514" spans="1:14" x14ac:dyDescent="0.25">
      <c r="A514" s="348">
        <v>0</v>
      </c>
      <c r="B514" s="365" t="s">
        <v>62</v>
      </c>
      <c r="C514" s="43"/>
      <c r="D514" s="65"/>
      <c r="E514" s="65"/>
      <c r="F514" s="65"/>
      <c r="G514" s="65"/>
      <c r="H514" s="43"/>
      <c r="I514" s="86"/>
      <c r="J514" s="86"/>
      <c r="K514" s="86"/>
      <c r="L514" s="86"/>
      <c r="M514" s="357"/>
      <c r="N514" s="364">
        <v>0</v>
      </c>
    </row>
    <row r="515" spans="1:14" x14ac:dyDescent="0.25">
      <c r="A515" s="348">
        <v>0</v>
      </c>
      <c r="B515" s="365" t="s">
        <v>63</v>
      </c>
      <c r="C515" s="43"/>
      <c r="D515" s="65"/>
      <c r="E515" s="65"/>
      <c r="F515" s="65"/>
      <c r="G515" s="65"/>
      <c r="H515" s="43"/>
      <c r="I515" s="86"/>
      <c r="J515" s="86"/>
      <c r="K515" s="86"/>
      <c r="L515" s="86"/>
      <c r="M515" s="357"/>
      <c r="N515" s="364">
        <v>0</v>
      </c>
    </row>
    <row r="516" spans="1:14" x14ac:dyDescent="0.25">
      <c r="A516" s="349">
        <f>SUM(A509:A515)</f>
        <v>2700</v>
      </c>
      <c r="B516" s="365" t="s">
        <v>64</v>
      </c>
      <c r="C516" s="43"/>
      <c r="D516" s="65"/>
      <c r="E516" s="65"/>
      <c r="F516" s="65"/>
      <c r="G516" s="65"/>
      <c r="H516" s="43"/>
      <c r="I516" s="86"/>
      <c r="J516" s="86"/>
      <c r="K516" s="86"/>
      <c r="L516" s="86"/>
      <c r="M516" s="357"/>
      <c r="N516" s="366">
        <f>SUM(N508:N515)</f>
        <v>0</v>
      </c>
    </row>
    <row r="517" spans="1:14" x14ac:dyDescent="0.25">
      <c r="A517" s="347">
        <f>A508+1</f>
        <v>44643</v>
      </c>
      <c r="B517" s="361" t="s">
        <v>1851</v>
      </c>
      <c r="C517" s="43"/>
      <c r="D517" s="65"/>
      <c r="E517" s="65"/>
      <c r="F517" s="65"/>
      <c r="G517" s="65"/>
      <c r="H517" s="43"/>
      <c r="I517" s="187" t="s">
        <v>2126</v>
      </c>
      <c r="J517" s="188"/>
      <c r="K517" s="188"/>
      <c r="L517" s="188"/>
      <c r="M517" s="357"/>
      <c r="N517" s="364">
        <v>0</v>
      </c>
    </row>
    <row r="518" spans="1:14" x14ac:dyDescent="0.25">
      <c r="A518" s="348">
        <v>1604</v>
      </c>
      <c r="B518" s="365" t="s">
        <v>57</v>
      </c>
      <c r="C518" s="43"/>
      <c r="D518" s="65"/>
      <c r="E518" s="65"/>
      <c r="F518" s="65"/>
      <c r="G518" s="65"/>
      <c r="H518" s="43"/>
      <c r="I518" s="187" t="s">
        <v>2127</v>
      </c>
      <c r="J518" s="188"/>
      <c r="K518" s="188"/>
      <c r="L518" s="188"/>
      <c r="M518" s="357"/>
      <c r="N518" s="364">
        <v>0</v>
      </c>
    </row>
    <row r="519" spans="1:14" x14ac:dyDescent="0.25">
      <c r="A519" s="348">
        <v>0</v>
      </c>
      <c r="B519" s="365" t="s">
        <v>58</v>
      </c>
      <c r="C519" s="43"/>
      <c r="D519" s="65"/>
      <c r="E519" s="65"/>
      <c r="F519" s="65"/>
      <c r="G519" s="65"/>
      <c r="H519" s="43"/>
      <c r="I519" s="188"/>
      <c r="J519" s="188"/>
      <c r="K519" s="188"/>
      <c r="L519" s="188"/>
      <c r="M519" s="357"/>
      <c r="N519" s="364">
        <v>0</v>
      </c>
    </row>
    <row r="520" spans="1:14" x14ac:dyDescent="0.25">
      <c r="A520" s="348">
        <v>0</v>
      </c>
      <c r="B520" s="365" t="s">
        <v>59</v>
      </c>
      <c r="C520" s="43"/>
      <c r="D520" s="65"/>
      <c r="E520" s="65"/>
      <c r="F520" s="65"/>
      <c r="G520" s="65"/>
      <c r="H520" s="43"/>
      <c r="I520" s="188"/>
      <c r="J520" s="188"/>
      <c r="K520" s="188"/>
      <c r="L520" s="188"/>
      <c r="M520" s="357"/>
      <c r="N520" s="364">
        <v>0</v>
      </c>
    </row>
    <row r="521" spans="1:14" ht="47.25" x14ac:dyDescent="0.25">
      <c r="A521" s="348">
        <v>0</v>
      </c>
      <c r="B521" s="365" t="s">
        <v>60</v>
      </c>
      <c r="C521" s="55" t="s">
        <v>2190</v>
      </c>
      <c r="D521" s="65"/>
      <c r="E521" s="65"/>
      <c r="F521" s="65"/>
      <c r="G521" s="65"/>
      <c r="H521" s="43"/>
      <c r="I521" s="188"/>
      <c r="J521" s="188"/>
      <c r="K521" s="188"/>
      <c r="L521" s="188"/>
      <c r="M521" s="357"/>
      <c r="N521" s="364">
        <v>0</v>
      </c>
    </row>
    <row r="522" spans="1:14" x14ac:dyDescent="0.25">
      <c r="A522" s="348">
        <v>0</v>
      </c>
      <c r="B522" s="365" t="s">
        <v>61</v>
      </c>
      <c r="C522" s="43"/>
      <c r="D522" s="65"/>
      <c r="E522" s="65"/>
      <c r="F522" s="65"/>
      <c r="G522" s="65"/>
      <c r="H522" s="43"/>
      <c r="I522" s="188"/>
      <c r="J522" s="188"/>
      <c r="K522" s="188"/>
      <c r="L522" s="188"/>
      <c r="M522" s="357"/>
      <c r="N522" s="364">
        <v>0</v>
      </c>
    </row>
    <row r="523" spans="1:14" x14ac:dyDescent="0.25">
      <c r="A523" s="348">
        <v>0</v>
      </c>
      <c r="B523" s="365" t="s">
        <v>62</v>
      </c>
      <c r="C523" s="43"/>
      <c r="D523" s="65"/>
      <c r="E523" s="65"/>
      <c r="F523" s="65"/>
      <c r="G523" s="65"/>
      <c r="H523" s="43"/>
      <c r="I523" s="188"/>
      <c r="J523" s="188"/>
      <c r="K523" s="188"/>
      <c r="L523" s="188"/>
      <c r="M523" s="357"/>
      <c r="N523" s="364">
        <v>0</v>
      </c>
    </row>
    <row r="524" spans="1:14" x14ac:dyDescent="0.25">
      <c r="A524" s="348">
        <v>0</v>
      </c>
      <c r="B524" s="365" t="s">
        <v>63</v>
      </c>
      <c r="C524" s="43"/>
      <c r="D524" s="65"/>
      <c r="E524" s="65"/>
      <c r="F524" s="65"/>
      <c r="G524" s="65"/>
      <c r="H524" s="43"/>
      <c r="I524" s="188"/>
      <c r="J524" s="188"/>
      <c r="K524" s="188"/>
      <c r="L524" s="188"/>
      <c r="M524" s="357"/>
      <c r="N524" s="364">
        <v>0</v>
      </c>
    </row>
    <row r="525" spans="1:14" x14ac:dyDescent="0.25">
      <c r="A525" s="349">
        <f>SUM(A518:A524)</f>
        <v>1604</v>
      </c>
      <c r="B525" s="365" t="s">
        <v>64</v>
      </c>
      <c r="C525" s="43"/>
      <c r="D525" s="65"/>
      <c r="E525" s="65"/>
      <c r="F525" s="65"/>
      <c r="G525" s="65"/>
      <c r="H525" s="43"/>
      <c r="I525" s="188"/>
      <c r="J525" s="188"/>
      <c r="K525" s="188"/>
      <c r="L525" s="188"/>
      <c r="M525" s="357"/>
      <c r="N525" s="366">
        <f>SUM(N517:N524)</f>
        <v>0</v>
      </c>
    </row>
    <row r="526" spans="1:14" ht="94.5" x14ac:dyDescent="0.25">
      <c r="A526" s="347">
        <f>A517+1</f>
        <v>44644</v>
      </c>
      <c r="B526" s="361" t="s">
        <v>1851</v>
      </c>
      <c r="C526" s="55" t="s">
        <v>2191</v>
      </c>
      <c r="D526" s="84">
        <v>36</v>
      </c>
      <c r="E526" s="84" t="s">
        <v>1085</v>
      </c>
      <c r="F526" s="84" t="s">
        <v>2192</v>
      </c>
      <c r="G526" s="136">
        <v>44645</v>
      </c>
      <c r="H526" s="43"/>
      <c r="I526" s="187" t="s">
        <v>2126</v>
      </c>
      <c r="J526" s="188"/>
      <c r="K526" s="188"/>
      <c r="L526" s="188"/>
      <c r="M526" s="357"/>
      <c r="N526" s="364">
        <v>0</v>
      </c>
    </row>
    <row r="527" spans="1:14" x14ac:dyDescent="0.25">
      <c r="A527" s="348">
        <v>0</v>
      </c>
      <c r="B527" s="365" t="s">
        <v>57</v>
      </c>
      <c r="C527" s="87" t="s">
        <v>2193</v>
      </c>
      <c r="D527" s="86"/>
      <c r="E527" s="86"/>
      <c r="F527" s="86"/>
      <c r="G527" s="86"/>
      <c r="H527" s="43"/>
      <c r="I527" s="187" t="s">
        <v>2127</v>
      </c>
      <c r="J527" s="188"/>
      <c r="K527" s="188"/>
      <c r="L527" s="188"/>
      <c r="M527" s="357"/>
      <c r="N527" s="364">
        <v>0</v>
      </c>
    </row>
    <row r="528" spans="1:14" x14ac:dyDescent="0.25">
      <c r="A528" s="348">
        <v>0</v>
      </c>
      <c r="B528" s="365" t="s">
        <v>58</v>
      </c>
      <c r="C528" s="43"/>
      <c r="D528" s="86"/>
      <c r="E528" s="86"/>
      <c r="F528" s="86"/>
      <c r="G528" s="86"/>
      <c r="H528" s="43"/>
      <c r="I528" s="188"/>
      <c r="J528" s="188"/>
      <c r="K528" s="188"/>
      <c r="L528" s="188"/>
      <c r="M528" s="357"/>
      <c r="N528" s="364">
        <v>0</v>
      </c>
    </row>
    <row r="529" spans="1:14" x14ac:dyDescent="0.25">
      <c r="A529" s="348">
        <v>0</v>
      </c>
      <c r="B529" s="365" t="s">
        <v>59</v>
      </c>
      <c r="C529" s="43"/>
      <c r="D529" s="86"/>
      <c r="E529" s="86"/>
      <c r="F529" s="86"/>
      <c r="G529" s="86"/>
      <c r="H529" s="43"/>
      <c r="I529" s="188"/>
      <c r="J529" s="188"/>
      <c r="K529" s="188"/>
      <c r="L529" s="188"/>
      <c r="M529" s="357"/>
      <c r="N529" s="364">
        <v>0</v>
      </c>
    </row>
    <row r="530" spans="1:14" x14ac:dyDescent="0.25">
      <c r="A530" s="348">
        <v>0</v>
      </c>
      <c r="B530" s="365" t="s">
        <v>60</v>
      </c>
      <c r="C530" s="43"/>
      <c r="D530" s="86"/>
      <c r="E530" s="86"/>
      <c r="F530" s="86"/>
      <c r="G530" s="86"/>
      <c r="H530" s="43"/>
      <c r="I530" s="188"/>
      <c r="J530" s="188"/>
      <c r="K530" s="188"/>
      <c r="L530" s="188"/>
      <c r="M530" s="357"/>
      <c r="N530" s="364">
        <v>0</v>
      </c>
    </row>
    <row r="531" spans="1:14" x14ac:dyDescent="0.25">
      <c r="A531" s="348">
        <v>0</v>
      </c>
      <c r="B531" s="365" t="s">
        <v>61</v>
      </c>
      <c r="C531" s="43"/>
      <c r="D531" s="86"/>
      <c r="E531" s="86"/>
      <c r="F531" s="86"/>
      <c r="G531" s="86"/>
      <c r="H531" s="43"/>
      <c r="I531" s="188"/>
      <c r="J531" s="188"/>
      <c r="K531" s="188"/>
      <c r="L531" s="188"/>
      <c r="M531" s="357"/>
      <c r="N531" s="364">
        <v>0</v>
      </c>
    </row>
    <row r="532" spans="1:14" x14ac:dyDescent="0.25">
      <c r="A532" s="348">
        <v>0</v>
      </c>
      <c r="B532" s="365" t="s">
        <v>62</v>
      </c>
      <c r="C532" s="43"/>
      <c r="D532" s="86"/>
      <c r="E532" s="86"/>
      <c r="F532" s="86"/>
      <c r="G532" s="86"/>
      <c r="H532" s="43"/>
      <c r="I532" s="188"/>
      <c r="J532" s="188"/>
      <c r="K532" s="188"/>
      <c r="L532" s="188"/>
      <c r="M532" s="357"/>
      <c r="N532" s="364">
        <v>0</v>
      </c>
    </row>
    <row r="533" spans="1:14" x14ac:dyDescent="0.25">
      <c r="A533" s="348">
        <v>0</v>
      </c>
      <c r="B533" s="365" t="s">
        <v>63</v>
      </c>
      <c r="C533" s="43"/>
      <c r="D533" s="86"/>
      <c r="E533" s="86"/>
      <c r="F533" s="86"/>
      <c r="G533" s="86"/>
      <c r="H533" s="43"/>
      <c r="I533" s="188"/>
      <c r="J533" s="188"/>
      <c r="K533" s="188"/>
      <c r="L533" s="188"/>
      <c r="M533" s="357"/>
      <c r="N533" s="364">
        <v>0</v>
      </c>
    </row>
    <row r="534" spans="1:14" x14ac:dyDescent="0.25">
      <c r="A534" s="349">
        <f>SUM(A527:A533)</f>
        <v>0</v>
      </c>
      <c r="B534" s="365" t="s">
        <v>64</v>
      </c>
      <c r="C534" s="43"/>
      <c r="D534" s="86"/>
      <c r="E534" s="86"/>
      <c r="F534" s="86"/>
      <c r="G534" s="86"/>
      <c r="H534" s="43"/>
      <c r="I534" s="188"/>
      <c r="J534" s="188"/>
      <c r="K534" s="188"/>
      <c r="L534" s="188"/>
      <c r="M534" s="357"/>
      <c r="N534" s="366">
        <f>SUM(N526:N533)</f>
        <v>0</v>
      </c>
    </row>
    <row r="535" spans="1:14" ht="63" x14ac:dyDescent="0.25">
      <c r="A535" s="347">
        <f>A526+1</f>
        <v>44645</v>
      </c>
      <c r="B535" s="361" t="s">
        <v>1851</v>
      </c>
      <c r="C535" s="55" t="s">
        <v>2194</v>
      </c>
      <c r="D535" s="57">
        <v>30</v>
      </c>
      <c r="E535" s="57" t="s">
        <v>2195</v>
      </c>
      <c r="F535" s="57" t="s">
        <v>703</v>
      </c>
      <c r="G535" s="57" t="s">
        <v>1010</v>
      </c>
      <c r="H535" s="43"/>
      <c r="I535" s="187" t="s">
        <v>2126</v>
      </c>
      <c r="J535" s="188"/>
      <c r="K535" s="188"/>
      <c r="L535" s="188"/>
      <c r="M535" s="357"/>
      <c r="N535" s="364">
        <v>0</v>
      </c>
    </row>
    <row r="536" spans="1:14" ht="31.5" x14ac:dyDescent="0.25">
      <c r="A536" s="348">
        <v>0</v>
      </c>
      <c r="B536" s="365" t="s">
        <v>57</v>
      </c>
      <c r="C536" s="55" t="s">
        <v>2196</v>
      </c>
      <c r="D536" s="65"/>
      <c r="E536" s="65"/>
      <c r="F536" s="65"/>
      <c r="G536" s="65"/>
      <c r="H536" s="43"/>
      <c r="I536" s="187" t="s">
        <v>2127</v>
      </c>
      <c r="J536" s="188"/>
      <c r="K536" s="188"/>
      <c r="L536" s="188"/>
      <c r="M536" s="357"/>
      <c r="N536" s="364">
        <v>0</v>
      </c>
    </row>
    <row r="537" spans="1:14" x14ac:dyDescent="0.25">
      <c r="A537" s="348">
        <v>0</v>
      </c>
      <c r="B537" s="365" t="s">
        <v>58</v>
      </c>
      <c r="C537" s="43"/>
      <c r="D537" s="65"/>
      <c r="E537" s="65"/>
      <c r="F537" s="65"/>
      <c r="G537" s="65"/>
      <c r="H537" s="43"/>
      <c r="I537" s="188"/>
      <c r="J537" s="188"/>
      <c r="K537" s="188"/>
      <c r="L537" s="188"/>
      <c r="M537" s="357"/>
      <c r="N537" s="364">
        <v>0</v>
      </c>
    </row>
    <row r="538" spans="1:14" x14ac:dyDescent="0.25">
      <c r="A538" s="348">
        <v>0</v>
      </c>
      <c r="B538" s="365" t="s">
        <v>59</v>
      </c>
      <c r="C538" s="43"/>
      <c r="D538" s="65"/>
      <c r="E538" s="65"/>
      <c r="F538" s="65"/>
      <c r="G538" s="65"/>
      <c r="H538" s="43"/>
      <c r="I538" s="188"/>
      <c r="J538" s="188"/>
      <c r="K538" s="188"/>
      <c r="L538" s="188"/>
      <c r="M538" s="357"/>
      <c r="N538" s="364">
        <v>0</v>
      </c>
    </row>
    <row r="539" spans="1:14" x14ac:dyDescent="0.25">
      <c r="A539" s="348">
        <v>0</v>
      </c>
      <c r="B539" s="365" t="s">
        <v>60</v>
      </c>
      <c r="C539" s="43"/>
      <c r="D539" s="65"/>
      <c r="E539" s="65"/>
      <c r="F539" s="65"/>
      <c r="G539" s="65"/>
      <c r="H539" s="43"/>
      <c r="I539" s="188"/>
      <c r="J539" s="188"/>
      <c r="K539" s="188"/>
      <c r="L539" s="188"/>
      <c r="M539" s="357"/>
      <c r="N539" s="364">
        <v>0</v>
      </c>
    </row>
    <row r="540" spans="1:14" x14ac:dyDescent="0.25">
      <c r="A540" s="348">
        <v>0</v>
      </c>
      <c r="B540" s="365" t="s">
        <v>61</v>
      </c>
      <c r="C540" s="43"/>
      <c r="D540" s="65"/>
      <c r="E540" s="65"/>
      <c r="F540" s="65"/>
      <c r="G540" s="65"/>
      <c r="H540" s="43"/>
      <c r="I540" s="188"/>
      <c r="J540" s="188"/>
      <c r="K540" s="188"/>
      <c r="L540" s="188"/>
      <c r="M540" s="357"/>
      <c r="N540" s="364">
        <v>0</v>
      </c>
    </row>
    <row r="541" spans="1:14" x14ac:dyDescent="0.25">
      <c r="A541" s="348">
        <v>0</v>
      </c>
      <c r="B541" s="365" t="s">
        <v>62</v>
      </c>
      <c r="C541" s="43"/>
      <c r="D541" s="65"/>
      <c r="E541" s="65"/>
      <c r="F541" s="65"/>
      <c r="G541" s="65"/>
      <c r="H541" s="43"/>
      <c r="I541" s="188"/>
      <c r="J541" s="188"/>
      <c r="K541" s="188"/>
      <c r="L541" s="188"/>
      <c r="M541" s="357"/>
      <c r="N541" s="364">
        <v>0</v>
      </c>
    </row>
    <row r="542" spans="1:14" x14ac:dyDescent="0.25">
      <c r="A542" s="348">
        <v>0</v>
      </c>
      <c r="B542" s="365" t="s">
        <v>63</v>
      </c>
      <c r="C542" s="43"/>
      <c r="D542" s="65"/>
      <c r="E542" s="65"/>
      <c r="F542" s="65"/>
      <c r="G542" s="65"/>
      <c r="H542" s="43"/>
      <c r="I542" s="188"/>
      <c r="J542" s="188"/>
      <c r="K542" s="188"/>
      <c r="L542" s="188"/>
      <c r="M542" s="357"/>
      <c r="N542" s="364">
        <v>0</v>
      </c>
    </row>
    <row r="543" spans="1:14" x14ac:dyDescent="0.25">
      <c r="A543" s="349">
        <f>SUM(A536:A542)</f>
        <v>0</v>
      </c>
      <c r="B543" s="365" t="s">
        <v>64</v>
      </c>
      <c r="C543" s="43"/>
      <c r="D543" s="65"/>
      <c r="E543" s="65"/>
      <c r="F543" s="65"/>
      <c r="G543" s="65"/>
      <c r="H543" s="43"/>
      <c r="I543" s="188"/>
      <c r="J543" s="188"/>
      <c r="K543" s="188"/>
      <c r="L543" s="188"/>
      <c r="M543" s="357"/>
      <c r="N543" s="366">
        <f>SUM(N535:N542)</f>
        <v>0</v>
      </c>
    </row>
    <row r="544" spans="1:14" x14ac:dyDescent="0.25">
      <c r="A544" s="347">
        <f>A535+3</f>
        <v>44648</v>
      </c>
      <c r="B544" s="361" t="s">
        <v>1851</v>
      </c>
      <c r="C544" s="43"/>
      <c r="D544" s="65" t="s">
        <v>2037</v>
      </c>
      <c r="E544" s="65"/>
      <c r="F544" s="65"/>
      <c r="G544" s="65"/>
      <c r="H544" s="43"/>
      <c r="I544" s="187" t="s">
        <v>2126</v>
      </c>
      <c r="J544" s="188"/>
      <c r="K544" s="188"/>
      <c r="L544" s="188"/>
      <c r="M544" s="357"/>
      <c r="N544" s="364">
        <v>0</v>
      </c>
    </row>
    <row r="545" spans="1:14" x14ac:dyDescent="0.25">
      <c r="A545" s="348">
        <v>0</v>
      </c>
      <c r="B545" s="365" t="s">
        <v>57</v>
      </c>
      <c r="C545" s="43"/>
      <c r="D545" s="65" t="s">
        <v>2197</v>
      </c>
      <c r="E545" s="65"/>
      <c r="F545" s="65"/>
      <c r="G545" s="65"/>
      <c r="H545" s="43"/>
      <c r="I545" s="187" t="s">
        <v>2127</v>
      </c>
      <c r="J545" s="188"/>
      <c r="K545" s="188"/>
      <c r="L545" s="188"/>
      <c r="M545" s="357"/>
      <c r="N545" s="364">
        <v>0</v>
      </c>
    </row>
    <row r="546" spans="1:14" x14ac:dyDescent="0.25">
      <c r="A546" s="348">
        <v>0</v>
      </c>
      <c r="B546" s="365" t="s">
        <v>58</v>
      </c>
      <c r="C546" s="43"/>
      <c r="D546" s="65"/>
      <c r="E546" s="65"/>
      <c r="F546" s="65"/>
      <c r="G546" s="65"/>
      <c r="H546" s="43"/>
      <c r="I546" s="188"/>
      <c r="J546" s="188"/>
      <c r="K546" s="188"/>
      <c r="L546" s="188"/>
      <c r="M546" s="357"/>
      <c r="N546" s="364">
        <v>0</v>
      </c>
    </row>
    <row r="547" spans="1:14" x14ac:dyDescent="0.25">
      <c r="A547" s="348">
        <v>0</v>
      </c>
      <c r="B547" s="365" t="s">
        <v>59</v>
      </c>
      <c r="C547" s="43"/>
      <c r="D547" s="65"/>
      <c r="E547" s="65"/>
      <c r="F547" s="65"/>
      <c r="G547" s="65"/>
      <c r="H547" s="43"/>
      <c r="I547" s="188"/>
      <c r="J547" s="188"/>
      <c r="K547" s="188"/>
      <c r="L547" s="188"/>
      <c r="M547" s="357"/>
      <c r="N547" s="364">
        <v>0</v>
      </c>
    </row>
    <row r="548" spans="1:14" x14ac:dyDescent="0.25">
      <c r="A548" s="348">
        <v>0</v>
      </c>
      <c r="B548" s="365" t="s">
        <v>60</v>
      </c>
      <c r="C548" s="43"/>
      <c r="D548" s="65"/>
      <c r="E548" s="65"/>
      <c r="F548" s="65"/>
      <c r="G548" s="65"/>
      <c r="H548" s="43"/>
      <c r="I548" s="188"/>
      <c r="J548" s="188"/>
      <c r="K548" s="188"/>
      <c r="L548" s="188"/>
      <c r="M548" s="357"/>
      <c r="N548" s="364">
        <v>0</v>
      </c>
    </row>
    <row r="549" spans="1:14" x14ac:dyDescent="0.25">
      <c r="A549" s="348">
        <v>0</v>
      </c>
      <c r="B549" s="365" t="s">
        <v>61</v>
      </c>
      <c r="C549" s="43"/>
      <c r="D549" s="65"/>
      <c r="E549" s="65"/>
      <c r="F549" s="65"/>
      <c r="G549" s="65"/>
      <c r="H549" s="43"/>
      <c r="I549" s="188"/>
      <c r="J549" s="188"/>
      <c r="K549" s="188"/>
      <c r="L549" s="188"/>
      <c r="M549" s="357"/>
      <c r="N549" s="364">
        <v>0</v>
      </c>
    </row>
    <row r="550" spans="1:14" x14ac:dyDescent="0.25">
      <c r="A550" s="348">
        <v>0</v>
      </c>
      <c r="B550" s="365" t="s">
        <v>62</v>
      </c>
      <c r="C550" s="43"/>
      <c r="D550" s="65"/>
      <c r="E550" s="65"/>
      <c r="F550" s="65"/>
      <c r="G550" s="65"/>
      <c r="H550" s="43"/>
      <c r="I550" s="188"/>
      <c r="J550" s="188"/>
      <c r="K550" s="188"/>
      <c r="L550" s="188"/>
      <c r="M550" s="357"/>
      <c r="N550" s="364">
        <v>0</v>
      </c>
    </row>
    <row r="551" spans="1:14" x14ac:dyDescent="0.25">
      <c r="A551" s="348">
        <v>0</v>
      </c>
      <c r="B551" s="365" t="s">
        <v>63</v>
      </c>
      <c r="C551" s="43"/>
      <c r="D551" s="65"/>
      <c r="E551" s="65"/>
      <c r="F551" s="65"/>
      <c r="G551" s="65"/>
      <c r="H551" s="43"/>
      <c r="I551" s="188"/>
      <c r="J551" s="188"/>
      <c r="K551" s="188"/>
      <c r="L551" s="188"/>
      <c r="M551" s="357"/>
      <c r="N551" s="364">
        <v>0</v>
      </c>
    </row>
    <row r="552" spans="1:14" x14ac:dyDescent="0.25">
      <c r="A552" s="349">
        <f>SUM(A545:A551)</f>
        <v>0</v>
      </c>
      <c r="B552" s="365" t="s">
        <v>64</v>
      </c>
      <c r="C552" s="43"/>
      <c r="D552" s="65"/>
      <c r="E552" s="65"/>
      <c r="F552" s="65"/>
      <c r="G552" s="65"/>
      <c r="H552" s="43"/>
      <c r="I552" s="188"/>
      <c r="J552" s="188"/>
      <c r="K552" s="188"/>
      <c r="L552" s="188"/>
      <c r="M552" s="357"/>
      <c r="N552" s="366">
        <f>SUM(N544:N551)</f>
        <v>0</v>
      </c>
    </row>
    <row r="553" spans="1:14" x14ac:dyDescent="0.25">
      <c r="A553" s="347">
        <f>A544+1</f>
        <v>44649</v>
      </c>
      <c r="B553" s="361" t="s">
        <v>1851</v>
      </c>
      <c r="C553" s="87" t="s">
        <v>2198</v>
      </c>
      <c r="D553" s="65"/>
      <c r="E553" s="65"/>
      <c r="F553" s="65"/>
      <c r="G553" s="65"/>
      <c r="H553" s="43"/>
      <c r="I553" s="187" t="s">
        <v>2126</v>
      </c>
      <c r="J553" s="188"/>
      <c r="K553" s="188"/>
      <c r="L553" s="188"/>
      <c r="M553" s="357"/>
      <c r="N553" s="364">
        <v>0</v>
      </c>
    </row>
    <row r="554" spans="1:14" x14ac:dyDescent="0.25">
      <c r="A554" s="348">
        <v>0</v>
      </c>
      <c r="B554" s="365" t="s">
        <v>57</v>
      </c>
      <c r="C554" s="43"/>
      <c r="D554" s="65"/>
      <c r="E554" s="65"/>
      <c r="F554" s="65"/>
      <c r="G554" s="65"/>
      <c r="H554" s="43"/>
      <c r="I554" s="187" t="s">
        <v>2127</v>
      </c>
      <c r="J554" s="188"/>
      <c r="K554" s="188"/>
      <c r="L554" s="188"/>
      <c r="M554" s="357"/>
      <c r="N554" s="364">
        <v>0</v>
      </c>
    </row>
    <row r="555" spans="1:14" x14ac:dyDescent="0.25">
      <c r="A555" s="348">
        <v>0</v>
      </c>
      <c r="B555" s="365" t="s">
        <v>58</v>
      </c>
      <c r="C555" s="43"/>
      <c r="D555" s="65"/>
      <c r="E555" s="65"/>
      <c r="F555" s="65"/>
      <c r="G555" s="65"/>
      <c r="H555" s="43"/>
      <c r="I555" s="188"/>
      <c r="J555" s="188"/>
      <c r="K555" s="188"/>
      <c r="L555" s="188"/>
      <c r="M555" s="357"/>
      <c r="N555" s="364">
        <v>0</v>
      </c>
    </row>
    <row r="556" spans="1:14" x14ac:dyDescent="0.25">
      <c r="A556" s="348">
        <v>0</v>
      </c>
      <c r="B556" s="365" t="s">
        <v>59</v>
      </c>
      <c r="C556" s="43"/>
      <c r="D556" s="65"/>
      <c r="E556" s="65"/>
      <c r="F556" s="65"/>
      <c r="G556" s="65"/>
      <c r="H556" s="43"/>
      <c r="I556" s="188"/>
      <c r="J556" s="188"/>
      <c r="K556" s="188"/>
      <c r="L556" s="188"/>
      <c r="M556" s="357"/>
      <c r="N556" s="364">
        <v>0</v>
      </c>
    </row>
    <row r="557" spans="1:14" ht="78.75" x14ac:dyDescent="0.25">
      <c r="A557" s="348">
        <v>0</v>
      </c>
      <c r="B557" s="365" t="s">
        <v>60</v>
      </c>
      <c r="C557" s="55" t="s">
        <v>2199</v>
      </c>
      <c r="D557" s="57">
        <v>36</v>
      </c>
      <c r="E557" s="57" t="s">
        <v>215</v>
      </c>
      <c r="F557" s="57" t="s">
        <v>2200</v>
      </c>
      <c r="G557" s="125">
        <v>44642</v>
      </c>
      <c r="H557" s="43"/>
      <c r="I557" s="188"/>
      <c r="J557" s="188"/>
      <c r="K557" s="188"/>
      <c r="L557" s="188"/>
      <c r="M557" s="357"/>
      <c r="N557" s="364">
        <v>0</v>
      </c>
    </row>
    <row r="558" spans="1:14" ht="47.25" x14ac:dyDescent="0.25">
      <c r="A558" s="348">
        <v>0</v>
      </c>
      <c r="B558" s="365" t="s">
        <v>61</v>
      </c>
      <c r="C558" s="43"/>
      <c r="D558" s="65" t="s">
        <v>2201</v>
      </c>
      <c r="E558" s="65"/>
      <c r="F558" s="65"/>
      <c r="G558" s="57" t="s">
        <v>2202</v>
      </c>
      <c r="H558" s="43"/>
      <c r="I558" s="188"/>
      <c r="J558" s="188"/>
      <c r="K558" s="188"/>
      <c r="L558" s="188"/>
      <c r="M558" s="357"/>
      <c r="N558" s="364">
        <v>0</v>
      </c>
    </row>
    <row r="559" spans="1:14" x14ac:dyDescent="0.25">
      <c r="A559" s="348">
        <v>0</v>
      </c>
      <c r="B559" s="365" t="s">
        <v>62</v>
      </c>
      <c r="C559" s="43"/>
      <c r="D559" s="65" t="s">
        <v>2203</v>
      </c>
      <c r="E559" s="65"/>
      <c r="F559" s="65"/>
      <c r="G559" s="65"/>
      <c r="H559" s="43"/>
      <c r="I559" s="188"/>
      <c r="J559" s="188"/>
      <c r="K559" s="188"/>
      <c r="L559" s="188"/>
      <c r="M559" s="357"/>
      <c r="N559" s="364">
        <v>0</v>
      </c>
    </row>
    <row r="560" spans="1:14" x14ac:dyDescent="0.25">
      <c r="A560" s="348">
        <v>0</v>
      </c>
      <c r="B560" s="365" t="s">
        <v>63</v>
      </c>
      <c r="C560" s="43"/>
      <c r="D560" s="65"/>
      <c r="E560" s="65"/>
      <c r="F560" s="65"/>
      <c r="G560" s="65"/>
      <c r="H560" s="43"/>
      <c r="I560" s="188"/>
      <c r="J560" s="188"/>
      <c r="K560" s="188"/>
      <c r="L560" s="188"/>
      <c r="M560" s="357"/>
      <c r="N560" s="364">
        <v>0</v>
      </c>
    </row>
    <row r="561" spans="1:14" x14ac:dyDescent="0.25">
      <c r="A561" s="349">
        <f>SUM(A554:A560)</f>
        <v>0</v>
      </c>
      <c r="B561" s="365" t="s">
        <v>64</v>
      </c>
      <c r="C561" s="43"/>
      <c r="D561" s="65"/>
      <c r="E561" s="65"/>
      <c r="F561" s="65"/>
      <c r="G561" s="65"/>
      <c r="H561" s="43"/>
      <c r="I561" s="188"/>
      <c r="J561" s="188"/>
      <c r="K561" s="188"/>
      <c r="L561" s="188"/>
      <c r="M561" s="357"/>
      <c r="N561" s="366">
        <f>SUM(N553:N560)</f>
        <v>0</v>
      </c>
    </row>
    <row r="562" spans="1:14" x14ac:dyDescent="0.25">
      <c r="A562" s="347">
        <f>A553+1</f>
        <v>44650</v>
      </c>
      <c r="B562" s="361" t="s">
        <v>1851</v>
      </c>
      <c r="C562" s="43"/>
      <c r="D562" s="201"/>
      <c r="E562" s="201"/>
      <c r="F562" s="201"/>
      <c r="G562" s="201"/>
      <c r="H562" s="43"/>
      <c r="I562" s="187" t="s">
        <v>2126</v>
      </c>
      <c r="J562" s="188"/>
      <c r="K562" s="188"/>
      <c r="L562" s="188"/>
      <c r="M562" s="357"/>
      <c r="N562" s="364">
        <v>0</v>
      </c>
    </row>
    <row r="563" spans="1:14" x14ac:dyDescent="0.25">
      <c r="A563" s="348">
        <v>1000</v>
      </c>
      <c r="B563" s="365" t="s">
        <v>57</v>
      </c>
      <c r="C563" s="43"/>
      <c r="D563" s="201"/>
      <c r="E563" s="201"/>
      <c r="F563" s="201"/>
      <c r="G563" s="201"/>
      <c r="H563" s="43"/>
      <c r="I563" s="187" t="s">
        <v>2127</v>
      </c>
      <c r="J563" s="188"/>
      <c r="K563" s="188"/>
      <c r="L563" s="188"/>
      <c r="M563" s="357"/>
      <c r="N563" s="364">
        <v>0</v>
      </c>
    </row>
    <row r="564" spans="1:14" x14ac:dyDescent="0.25">
      <c r="A564" s="348">
        <v>0</v>
      </c>
      <c r="B564" s="365" t="s">
        <v>58</v>
      </c>
      <c r="C564" s="43"/>
      <c r="D564" s="201"/>
      <c r="E564" s="201"/>
      <c r="F564" s="201"/>
      <c r="G564" s="201"/>
      <c r="H564" s="43"/>
      <c r="I564" s="188"/>
      <c r="J564" s="188"/>
      <c r="K564" s="188"/>
      <c r="L564" s="188"/>
      <c r="M564" s="357"/>
      <c r="N564" s="364">
        <v>0</v>
      </c>
    </row>
    <row r="565" spans="1:14" x14ac:dyDescent="0.25">
      <c r="A565" s="348">
        <v>0</v>
      </c>
      <c r="B565" s="365" t="s">
        <v>59</v>
      </c>
      <c r="C565" s="43"/>
      <c r="D565" s="201"/>
      <c r="E565" s="201"/>
      <c r="F565" s="201"/>
      <c r="G565" s="201"/>
      <c r="H565" s="43"/>
      <c r="I565" s="188"/>
      <c r="J565" s="188"/>
      <c r="K565" s="188"/>
      <c r="L565" s="188"/>
      <c r="M565" s="357"/>
      <c r="N565" s="364">
        <v>0</v>
      </c>
    </row>
    <row r="566" spans="1:14" x14ac:dyDescent="0.25">
      <c r="A566" s="348">
        <v>0</v>
      </c>
      <c r="B566" s="365" t="s">
        <v>60</v>
      </c>
      <c r="C566" s="43"/>
      <c r="D566" s="201"/>
      <c r="E566" s="201"/>
      <c r="F566" s="201"/>
      <c r="G566" s="201"/>
      <c r="H566" s="43"/>
      <c r="I566" s="188"/>
      <c r="J566" s="188"/>
      <c r="K566" s="188"/>
      <c r="L566" s="188"/>
      <c r="M566" s="357"/>
      <c r="N566" s="364">
        <v>0</v>
      </c>
    </row>
    <row r="567" spans="1:14" ht="47.25" x14ac:dyDescent="0.25">
      <c r="A567" s="348">
        <v>173</v>
      </c>
      <c r="B567" s="365" t="s">
        <v>61</v>
      </c>
      <c r="C567" s="55" t="s">
        <v>2204</v>
      </c>
      <c r="D567" s="167">
        <v>36</v>
      </c>
      <c r="E567" s="167" t="s">
        <v>2205</v>
      </c>
      <c r="F567" s="167" t="s">
        <v>2206</v>
      </c>
      <c r="G567" s="197">
        <v>44648</v>
      </c>
      <c r="H567" s="43"/>
      <c r="I567" s="188"/>
      <c r="J567" s="188"/>
      <c r="K567" s="188"/>
      <c r="L567" s="188"/>
      <c r="M567" s="357"/>
      <c r="N567" s="364">
        <v>0</v>
      </c>
    </row>
    <row r="568" spans="1:14" ht="63" x14ac:dyDescent="0.25">
      <c r="A568" s="348">
        <v>0</v>
      </c>
      <c r="B568" s="365" t="s">
        <v>62</v>
      </c>
      <c r="C568" s="55" t="s">
        <v>2207</v>
      </c>
      <c r="D568" s="338" t="s">
        <v>1004</v>
      </c>
      <c r="E568" s="331"/>
      <c r="F568" s="331"/>
      <c r="G568" s="331"/>
      <c r="H568" s="43"/>
      <c r="I568" s="188"/>
      <c r="J568" s="188"/>
      <c r="K568" s="188"/>
      <c r="L568" s="188"/>
      <c r="M568" s="357"/>
      <c r="N568" s="364">
        <v>0</v>
      </c>
    </row>
    <row r="569" spans="1:14" x14ac:dyDescent="0.25">
      <c r="A569" s="348">
        <v>0</v>
      </c>
      <c r="B569" s="365" t="s">
        <v>63</v>
      </c>
      <c r="C569" s="43"/>
      <c r="D569" s="201"/>
      <c r="E569" s="201"/>
      <c r="F569" s="201"/>
      <c r="G569" s="201"/>
      <c r="H569" s="43"/>
      <c r="I569" s="188"/>
      <c r="J569" s="188"/>
      <c r="K569" s="188"/>
      <c r="L569" s="188"/>
      <c r="M569" s="357"/>
      <c r="N569" s="364">
        <v>0</v>
      </c>
    </row>
    <row r="570" spans="1:14" x14ac:dyDescent="0.25">
      <c r="A570" s="349">
        <f>SUM(A563:A569)</f>
        <v>1173</v>
      </c>
      <c r="B570" s="365" t="s">
        <v>64</v>
      </c>
      <c r="C570" s="43"/>
      <c r="D570" s="201"/>
      <c r="E570" s="201"/>
      <c r="F570" s="201"/>
      <c r="G570" s="201"/>
      <c r="H570" s="43"/>
      <c r="I570" s="188"/>
      <c r="J570" s="188"/>
      <c r="K570" s="188"/>
      <c r="L570" s="188"/>
      <c r="M570" s="357"/>
      <c r="N570" s="366">
        <f>SUM(N562:N569)</f>
        <v>0</v>
      </c>
    </row>
    <row r="571" spans="1:14" ht="78.75" x14ac:dyDescent="0.25">
      <c r="A571" s="347">
        <f>A562+1</f>
        <v>44651</v>
      </c>
      <c r="B571" s="361" t="s">
        <v>1851</v>
      </c>
      <c r="C571" s="55" t="s">
        <v>2208</v>
      </c>
      <c r="D571" s="167">
        <v>48</v>
      </c>
      <c r="E571" s="167" t="s">
        <v>91</v>
      </c>
      <c r="F571" s="167" t="s">
        <v>2209</v>
      </c>
      <c r="G571" s="197">
        <v>44655</v>
      </c>
      <c r="H571" s="43"/>
      <c r="I571" s="188"/>
      <c r="J571" s="188"/>
      <c r="K571" s="188"/>
      <c r="L571" s="188"/>
      <c r="M571" s="357"/>
      <c r="N571" s="364">
        <v>0</v>
      </c>
    </row>
    <row r="572" spans="1:14" ht="47.25" x14ac:dyDescent="0.25">
      <c r="A572" s="348">
        <v>0</v>
      </c>
      <c r="B572" s="365" t="s">
        <v>57</v>
      </c>
      <c r="C572" s="55" t="s">
        <v>2210</v>
      </c>
      <c r="D572" s="331" t="s">
        <v>2211</v>
      </c>
      <c r="E572" s="331"/>
      <c r="F572" s="331"/>
      <c r="G572" s="331"/>
      <c r="H572" s="43"/>
      <c r="I572" s="188"/>
      <c r="J572" s="188"/>
      <c r="K572" s="188"/>
      <c r="L572" s="188"/>
      <c r="M572" s="357"/>
      <c r="N572" s="364">
        <v>0</v>
      </c>
    </row>
    <row r="573" spans="1:14" x14ac:dyDescent="0.25">
      <c r="A573" s="348">
        <v>0</v>
      </c>
      <c r="B573" s="365" t="s">
        <v>58</v>
      </c>
      <c r="C573" s="43"/>
      <c r="D573" s="201"/>
      <c r="E573" s="201"/>
      <c r="F573" s="201"/>
      <c r="G573" s="201"/>
      <c r="H573" s="43"/>
      <c r="I573" s="188"/>
      <c r="J573" s="188"/>
      <c r="K573" s="188"/>
      <c r="L573" s="188"/>
      <c r="M573" s="357"/>
      <c r="N573" s="364">
        <v>0</v>
      </c>
    </row>
    <row r="574" spans="1:14" x14ac:dyDescent="0.25">
      <c r="A574" s="348">
        <v>0</v>
      </c>
      <c r="B574" s="365" t="s">
        <v>59</v>
      </c>
      <c r="C574" s="43"/>
      <c r="D574" s="201"/>
      <c r="E574" s="201"/>
      <c r="F574" s="201"/>
      <c r="G574" s="201"/>
      <c r="H574" s="43"/>
      <c r="I574" s="188"/>
      <c r="J574" s="188"/>
      <c r="K574" s="188"/>
      <c r="L574" s="188"/>
      <c r="M574" s="357"/>
      <c r="N574" s="364">
        <v>0</v>
      </c>
    </row>
    <row r="575" spans="1:14" x14ac:dyDescent="0.25">
      <c r="A575" s="348">
        <v>0</v>
      </c>
      <c r="B575" s="365" t="s">
        <v>60</v>
      </c>
      <c r="C575" s="43"/>
      <c r="D575" s="201"/>
      <c r="E575" s="201"/>
      <c r="F575" s="201"/>
      <c r="G575" s="201"/>
      <c r="H575" s="43"/>
      <c r="I575" s="188"/>
      <c r="J575" s="188"/>
      <c r="K575" s="188"/>
      <c r="L575" s="188"/>
      <c r="M575" s="357"/>
      <c r="N575" s="364">
        <v>0</v>
      </c>
    </row>
    <row r="576" spans="1:14" x14ac:dyDescent="0.25">
      <c r="A576" s="348">
        <v>0</v>
      </c>
      <c r="B576" s="365" t="s">
        <v>61</v>
      </c>
      <c r="C576" s="43"/>
      <c r="D576" s="201"/>
      <c r="E576" s="201"/>
      <c r="F576" s="201"/>
      <c r="G576" s="201"/>
      <c r="H576" s="43"/>
      <c r="I576" s="188"/>
      <c r="J576" s="188"/>
      <c r="K576" s="188"/>
      <c r="L576" s="188"/>
      <c r="M576" s="357"/>
      <c r="N576" s="364">
        <v>0</v>
      </c>
    </row>
    <row r="577" spans="1:14" x14ac:dyDescent="0.25">
      <c r="A577" s="348">
        <v>0</v>
      </c>
      <c r="B577" s="365" t="s">
        <v>62</v>
      </c>
      <c r="C577" s="43"/>
      <c r="D577" s="193" t="s">
        <v>2212</v>
      </c>
      <c r="E577" s="193"/>
      <c r="F577" s="193"/>
      <c r="G577" s="193"/>
      <c r="H577" s="43"/>
      <c r="I577" s="188"/>
      <c r="J577" s="188"/>
      <c r="K577" s="188"/>
      <c r="L577" s="188"/>
      <c r="M577" s="357"/>
      <c r="N577" s="364">
        <v>0</v>
      </c>
    </row>
    <row r="578" spans="1:14" x14ac:dyDescent="0.25">
      <c r="A578" s="348">
        <v>0</v>
      </c>
      <c r="B578" s="365" t="s">
        <v>63</v>
      </c>
      <c r="C578" s="43"/>
      <c r="D578" s="193"/>
      <c r="E578" s="193"/>
      <c r="F578" s="193"/>
      <c r="G578" s="193"/>
      <c r="H578" s="43"/>
      <c r="I578" s="188"/>
      <c r="J578" s="188"/>
      <c r="K578" s="188"/>
      <c r="L578" s="188"/>
      <c r="M578" s="357"/>
      <c r="N578" s="364">
        <v>0</v>
      </c>
    </row>
    <row r="579" spans="1:14" x14ac:dyDescent="0.25">
      <c r="A579" s="349">
        <f>SUM(A572:A578)</f>
        <v>0</v>
      </c>
      <c r="B579" s="365" t="s">
        <v>64</v>
      </c>
      <c r="C579" s="43"/>
      <c r="D579" s="193"/>
      <c r="E579" s="193"/>
      <c r="F579" s="193"/>
      <c r="G579" s="193"/>
      <c r="H579" s="43"/>
      <c r="I579" s="188"/>
      <c r="J579" s="188"/>
      <c r="K579" s="188"/>
      <c r="L579" s="188"/>
      <c r="M579" s="357"/>
      <c r="N579" s="366">
        <f>SUM(N571:N578)</f>
        <v>0</v>
      </c>
    </row>
    <row r="580" spans="1:14" x14ac:dyDescent="0.25">
      <c r="A580" s="347">
        <f>A571+1</f>
        <v>44652</v>
      </c>
      <c r="B580" s="361" t="s">
        <v>1851</v>
      </c>
      <c r="C580" s="43"/>
      <c r="D580" s="193" t="s">
        <v>2212</v>
      </c>
      <c r="E580" s="194"/>
      <c r="F580" s="194"/>
      <c r="G580" s="194"/>
      <c r="H580" s="43"/>
      <c r="I580" s="187" t="s">
        <v>2126</v>
      </c>
      <c r="J580" s="188"/>
      <c r="K580" s="188"/>
      <c r="L580" s="188"/>
      <c r="M580" s="357"/>
      <c r="N580" s="364">
        <v>0</v>
      </c>
    </row>
    <row r="581" spans="1:14" x14ac:dyDescent="0.25">
      <c r="A581" s="348">
        <v>0</v>
      </c>
      <c r="B581" s="365" t="s">
        <v>57</v>
      </c>
      <c r="C581" s="43"/>
      <c r="D581" s="193"/>
      <c r="E581" s="195"/>
      <c r="F581" s="194"/>
      <c r="G581" s="194"/>
      <c r="H581" s="43"/>
      <c r="I581" s="187" t="s">
        <v>2127</v>
      </c>
      <c r="J581" s="188"/>
      <c r="K581" s="188"/>
      <c r="L581" s="188"/>
      <c r="M581" s="357"/>
      <c r="N581" s="364">
        <v>0</v>
      </c>
    </row>
    <row r="582" spans="1:14" x14ac:dyDescent="0.25">
      <c r="A582" s="348">
        <v>0</v>
      </c>
      <c r="B582" s="365" t="s">
        <v>58</v>
      </c>
      <c r="C582" s="43"/>
      <c r="D582" s="193"/>
      <c r="E582" s="193"/>
      <c r="F582" s="193"/>
      <c r="G582" s="193"/>
      <c r="H582" s="43"/>
      <c r="I582" s="188"/>
      <c r="J582" s="188"/>
      <c r="K582" s="188"/>
      <c r="L582" s="188"/>
      <c r="M582" s="357"/>
      <c r="N582" s="364">
        <v>0</v>
      </c>
    </row>
    <row r="583" spans="1:14" x14ac:dyDescent="0.25">
      <c r="A583" s="348">
        <v>0</v>
      </c>
      <c r="B583" s="365" t="s">
        <v>59</v>
      </c>
      <c r="C583" s="43"/>
      <c r="D583" s="193" t="s">
        <v>2212</v>
      </c>
      <c r="E583" s="193"/>
      <c r="F583" s="193"/>
      <c r="G583" s="193"/>
      <c r="H583" s="43"/>
      <c r="I583" s="188"/>
      <c r="J583" s="188"/>
      <c r="K583" s="188"/>
      <c r="L583" s="188"/>
      <c r="M583" s="357"/>
      <c r="N583" s="364">
        <v>0</v>
      </c>
    </row>
    <row r="584" spans="1:14" x14ac:dyDescent="0.25">
      <c r="A584" s="348">
        <v>0</v>
      </c>
      <c r="B584" s="365" t="s">
        <v>60</v>
      </c>
      <c r="C584" s="43"/>
      <c r="D584" s="193"/>
      <c r="E584" s="193"/>
      <c r="F584" s="193"/>
      <c r="G584" s="193"/>
      <c r="H584" s="43"/>
      <c r="I584" s="188"/>
      <c r="J584" s="188"/>
      <c r="K584" s="188"/>
      <c r="L584" s="188"/>
      <c r="M584" s="357"/>
      <c r="N584" s="364">
        <v>0</v>
      </c>
    </row>
    <row r="585" spans="1:14" x14ac:dyDescent="0.25">
      <c r="A585" s="348">
        <v>0</v>
      </c>
      <c r="B585" s="365" t="s">
        <v>61</v>
      </c>
      <c r="C585" s="43"/>
      <c r="D585" s="193"/>
      <c r="E585" s="193"/>
      <c r="F585" s="193"/>
      <c r="G585" s="193"/>
      <c r="H585" s="43"/>
      <c r="I585" s="188"/>
      <c r="J585" s="188"/>
      <c r="K585" s="188"/>
      <c r="L585" s="188"/>
      <c r="M585" s="357"/>
      <c r="N585" s="364">
        <v>0</v>
      </c>
    </row>
    <row r="586" spans="1:14" x14ac:dyDescent="0.25">
      <c r="A586" s="348">
        <v>0</v>
      </c>
      <c r="B586" s="365" t="s">
        <v>62</v>
      </c>
      <c r="C586" s="43"/>
      <c r="D586" s="193" t="s">
        <v>2212</v>
      </c>
      <c r="E586" s="193"/>
      <c r="F586" s="193"/>
      <c r="G586" s="193"/>
      <c r="H586" s="43"/>
      <c r="I586" s="188"/>
      <c r="J586" s="188"/>
      <c r="K586" s="188"/>
      <c r="L586" s="188"/>
      <c r="M586" s="357"/>
      <c r="N586" s="364">
        <v>0</v>
      </c>
    </row>
    <row r="587" spans="1:14" x14ac:dyDescent="0.25">
      <c r="A587" s="348">
        <v>0</v>
      </c>
      <c r="B587" s="365" t="s">
        <v>63</v>
      </c>
      <c r="C587" s="43"/>
      <c r="D587" s="193"/>
      <c r="E587" s="193"/>
      <c r="F587" s="193"/>
      <c r="G587" s="193"/>
      <c r="H587" s="43"/>
      <c r="I587" s="188"/>
      <c r="J587" s="188"/>
      <c r="K587" s="188"/>
      <c r="L587" s="188"/>
      <c r="M587" s="357"/>
      <c r="N587" s="364">
        <v>0</v>
      </c>
    </row>
    <row r="588" spans="1:14" x14ac:dyDescent="0.25">
      <c r="A588" s="349">
        <f>SUM(A581:A587)</f>
        <v>0</v>
      </c>
      <c r="B588" s="365" t="s">
        <v>64</v>
      </c>
      <c r="C588" s="43"/>
      <c r="D588" s="193"/>
      <c r="E588" s="193"/>
      <c r="F588" s="193"/>
      <c r="G588" s="193"/>
      <c r="H588" s="43"/>
      <c r="I588" s="188"/>
      <c r="J588" s="188"/>
      <c r="K588" s="188"/>
      <c r="L588" s="188"/>
      <c r="M588" s="357"/>
      <c r="N588" s="366">
        <f>SUM(N580:N587)</f>
        <v>0</v>
      </c>
    </row>
    <row r="589" spans="1:14" x14ac:dyDescent="0.25">
      <c r="A589" s="347">
        <f>A580+3</f>
        <v>44655</v>
      </c>
      <c r="B589" s="361" t="s">
        <v>1851</v>
      </c>
      <c r="C589" s="43"/>
      <c r="D589" s="193" t="s">
        <v>2212</v>
      </c>
      <c r="E589" s="194"/>
      <c r="F589" s="194"/>
      <c r="G589" s="194"/>
      <c r="H589" s="43"/>
      <c r="I589" s="187" t="s">
        <v>2126</v>
      </c>
      <c r="J589" s="188"/>
      <c r="K589" s="188"/>
      <c r="L589" s="188"/>
      <c r="M589" s="357"/>
      <c r="N589" s="364">
        <v>0</v>
      </c>
    </row>
    <row r="590" spans="1:14" x14ac:dyDescent="0.25">
      <c r="A590" s="348">
        <v>0</v>
      </c>
      <c r="B590" s="365" t="s">
        <v>57</v>
      </c>
      <c r="C590" s="43"/>
      <c r="D590" s="193"/>
      <c r="E590" s="195"/>
      <c r="F590" s="194"/>
      <c r="G590" s="194"/>
      <c r="H590" s="43"/>
      <c r="I590" s="187" t="s">
        <v>2127</v>
      </c>
      <c r="J590" s="188"/>
      <c r="K590" s="188"/>
      <c r="L590" s="188"/>
      <c r="M590" s="357"/>
      <c r="N590" s="364">
        <v>0</v>
      </c>
    </row>
    <row r="591" spans="1:14" x14ac:dyDescent="0.25">
      <c r="A591" s="348">
        <v>0</v>
      </c>
      <c r="B591" s="365" t="s">
        <v>58</v>
      </c>
      <c r="C591" s="43"/>
      <c r="D591" s="193"/>
      <c r="E591" s="193"/>
      <c r="F591" s="193"/>
      <c r="G591" s="193"/>
      <c r="H591" s="43"/>
      <c r="I591" s="188"/>
      <c r="J591" s="188"/>
      <c r="K591" s="188"/>
      <c r="L591" s="188"/>
      <c r="M591" s="357"/>
      <c r="N591" s="364">
        <v>0</v>
      </c>
    </row>
    <row r="592" spans="1:14" x14ac:dyDescent="0.25">
      <c r="A592" s="348">
        <v>0</v>
      </c>
      <c r="B592" s="365" t="s">
        <v>59</v>
      </c>
      <c r="C592" s="43"/>
      <c r="D592" s="193" t="s">
        <v>2212</v>
      </c>
      <c r="E592" s="193"/>
      <c r="F592" s="193"/>
      <c r="G592" s="193"/>
      <c r="H592" s="43"/>
      <c r="I592" s="188"/>
      <c r="J592" s="188"/>
      <c r="K592" s="188"/>
      <c r="L592" s="188"/>
      <c r="M592" s="357"/>
      <c r="N592" s="364">
        <v>0</v>
      </c>
    </row>
    <row r="593" spans="1:14" x14ac:dyDescent="0.25">
      <c r="A593" s="348">
        <v>0</v>
      </c>
      <c r="B593" s="365" t="s">
        <v>60</v>
      </c>
      <c r="C593" s="43"/>
      <c r="D593" s="193"/>
      <c r="E593" s="193"/>
      <c r="F593" s="193"/>
      <c r="G593" s="193"/>
      <c r="H593" s="43"/>
      <c r="I593" s="188"/>
      <c r="J593" s="188"/>
      <c r="K593" s="188"/>
      <c r="L593" s="188"/>
      <c r="M593" s="357"/>
      <c r="N593" s="364">
        <v>0</v>
      </c>
    </row>
    <row r="594" spans="1:14" x14ac:dyDescent="0.25">
      <c r="A594" s="348">
        <v>0</v>
      </c>
      <c r="B594" s="365" t="s">
        <v>61</v>
      </c>
      <c r="C594" s="43"/>
      <c r="D594" s="193"/>
      <c r="E594" s="193"/>
      <c r="F594" s="193"/>
      <c r="G594" s="193"/>
      <c r="H594" s="43"/>
      <c r="I594" s="188"/>
      <c r="J594" s="188"/>
      <c r="K594" s="188"/>
      <c r="L594" s="188"/>
      <c r="M594" s="357"/>
      <c r="N594" s="364">
        <v>0</v>
      </c>
    </row>
    <row r="595" spans="1:14" x14ac:dyDescent="0.25">
      <c r="A595" s="348">
        <v>0</v>
      </c>
      <c r="B595" s="365" t="s">
        <v>62</v>
      </c>
      <c r="C595" s="43"/>
      <c r="D595" s="193" t="s">
        <v>2212</v>
      </c>
      <c r="E595" s="193"/>
      <c r="F595" s="193"/>
      <c r="G595" s="193"/>
      <c r="H595" s="43"/>
      <c r="I595" s="188"/>
      <c r="J595" s="188"/>
      <c r="K595" s="188"/>
      <c r="L595" s="188"/>
      <c r="M595" s="357"/>
      <c r="N595" s="364">
        <v>0</v>
      </c>
    </row>
    <row r="596" spans="1:14" x14ac:dyDescent="0.25">
      <c r="A596" s="348">
        <v>0</v>
      </c>
      <c r="B596" s="365" t="s">
        <v>63</v>
      </c>
      <c r="C596" s="43"/>
      <c r="D596" s="193"/>
      <c r="E596" s="193"/>
      <c r="F596" s="193"/>
      <c r="G596" s="193"/>
      <c r="H596" s="43"/>
      <c r="I596" s="188"/>
      <c r="J596" s="188"/>
      <c r="K596" s="188"/>
      <c r="L596" s="188"/>
      <c r="M596" s="357"/>
      <c r="N596" s="364">
        <v>0</v>
      </c>
    </row>
    <row r="597" spans="1:14" x14ac:dyDescent="0.25">
      <c r="A597" s="349">
        <f>SUM(A590:A596)</f>
        <v>0</v>
      </c>
      <c r="B597" s="365" t="s">
        <v>64</v>
      </c>
      <c r="C597" s="43"/>
      <c r="D597" s="193"/>
      <c r="E597" s="193"/>
      <c r="F597" s="193"/>
      <c r="G597" s="193"/>
      <c r="H597" s="43"/>
      <c r="I597" s="188"/>
      <c r="J597" s="188"/>
      <c r="K597" s="188"/>
      <c r="L597" s="188"/>
      <c r="M597" s="357"/>
      <c r="N597" s="366">
        <f>SUM(N589:N596)</f>
        <v>0</v>
      </c>
    </row>
    <row r="598" spans="1:14" x14ac:dyDescent="0.25">
      <c r="A598" s="347">
        <f>A589+1</f>
        <v>44656</v>
      </c>
      <c r="B598" s="361" t="s">
        <v>1851</v>
      </c>
      <c r="C598" s="43"/>
      <c r="D598" s="193" t="s">
        <v>2212</v>
      </c>
      <c r="E598" s="194"/>
      <c r="F598" s="194"/>
      <c r="G598" s="194"/>
      <c r="H598" s="43"/>
      <c r="I598" s="187" t="s">
        <v>2126</v>
      </c>
      <c r="J598" s="188"/>
      <c r="K598" s="188"/>
      <c r="L598" s="188"/>
      <c r="M598" s="357"/>
      <c r="N598" s="364">
        <v>0</v>
      </c>
    </row>
    <row r="599" spans="1:14" x14ac:dyDescent="0.25">
      <c r="A599" s="348">
        <v>0</v>
      </c>
      <c r="B599" s="365" t="s">
        <v>57</v>
      </c>
      <c r="C599" s="43"/>
      <c r="D599" s="193"/>
      <c r="E599" s="195"/>
      <c r="F599" s="194"/>
      <c r="G599" s="194"/>
      <c r="H599" s="43"/>
      <c r="I599" s="187" t="s">
        <v>2127</v>
      </c>
      <c r="J599" s="188"/>
      <c r="K599" s="188"/>
      <c r="L599" s="188"/>
      <c r="M599" s="357"/>
      <c r="N599" s="364">
        <v>0</v>
      </c>
    </row>
    <row r="600" spans="1:14" x14ac:dyDescent="0.25">
      <c r="A600" s="348">
        <v>0</v>
      </c>
      <c r="B600" s="365" t="s">
        <v>58</v>
      </c>
      <c r="C600" s="43"/>
      <c r="D600" s="193"/>
      <c r="E600" s="193"/>
      <c r="F600" s="193"/>
      <c r="G600" s="193"/>
      <c r="H600" s="43"/>
      <c r="I600" s="188"/>
      <c r="J600" s="188"/>
      <c r="K600" s="188"/>
      <c r="L600" s="188"/>
      <c r="M600" s="357"/>
      <c r="N600" s="364">
        <v>0</v>
      </c>
    </row>
    <row r="601" spans="1:14" x14ac:dyDescent="0.25">
      <c r="A601" s="348">
        <v>0</v>
      </c>
      <c r="B601" s="365" t="s">
        <v>59</v>
      </c>
      <c r="C601" s="43"/>
      <c r="D601" s="193" t="s">
        <v>2212</v>
      </c>
      <c r="E601" s="193"/>
      <c r="F601" s="193"/>
      <c r="G601" s="193"/>
      <c r="H601" s="43"/>
      <c r="I601" s="188"/>
      <c r="J601" s="188"/>
      <c r="K601" s="188"/>
      <c r="L601" s="188"/>
      <c r="M601" s="357"/>
      <c r="N601" s="364">
        <v>0</v>
      </c>
    </row>
    <row r="602" spans="1:14" x14ac:dyDescent="0.25">
      <c r="A602" s="348">
        <v>0</v>
      </c>
      <c r="B602" s="365" t="s">
        <v>60</v>
      </c>
      <c r="C602" s="43"/>
      <c r="D602" s="193"/>
      <c r="E602" s="193"/>
      <c r="F602" s="193"/>
      <c r="G602" s="193"/>
      <c r="H602" s="43"/>
      <c r="I602" s="188"/>
      <c r="J602" s="188"/>
      <c r="K602" s="188"/>
      <c r="L602" s="188"/>
      <c r="M602" s="357"/>
      <c r="N602" s="364">
        <v>0</v>
      </c>
    </row>
    <row r="603" spans="1:14" x14ac:dyDescent="0.25">
      <c r="A603" s="348">
        <v>0</v>
      </c>
      <c r="B603" s="365" t="s">
        <v>61</v>
      </c>
      <c r="C603" s="43"/>
      <c r="D603" s="193"/>
      <c r="E603" s="193"/>
      <c r="F603" s="193"/>
      <c r="G603" s="193"/>
      <c r="H603" s="43"/>
      <c r="I603" s="188"/>
      <c r="J603" s="188"/>
      <c r="K603" s="188"/>
      <c r="L603" s="188"/>
      <c r="M603" s="357"/>
      <c r="N603" s="364">
        <v>0</v>
      </c>
    </row>
    <row r="604" spans="1:14" x14ac:dyDescent="0.25">
      <c r="A604" s="348">
        <v>0</v>
      </c>
      <c r="B604" s="365" t="s">
        <v>62</v>
      </c>
      <c r="C604" s="43"/>
      <c r="D604" s="193" t="s">
        <v>2212</v>
      </c>
      <c r="E604" s="193"/>
      <c r="F604" s="193"/>
      <c r="G604" s="193"/>
      <c r="H604" s="43"/>
      <c r="I604" s="188"/>
      <c r="J604" s="188"/>
      <c r="K604" s="188"/>
      <c r="L604" s="188"/>
      <c r="M604" s="357"/>
      <c r="N604" s="364">
        <v>0</v>
      </c>
    </row>
    <row r="605" spans="1:14" x14ac:dyDescent="0.25">
      <c r="A605" s="348">
        <v>0</v>
      </c>
      <c r="B605" s="365" t="s">
        <v>63</v>
      </c>
      <c r="C605" s="43"/>
      <c r="D605" s="193"/>
      <c r="E605" s="193"/>
      <c r="F605" s="193"/>
      <c r="G605" s="193"/>
      <c r="H605" s="43"/>
      <c r="I605" s="188"/>
      <c r="J605" s="188"/>
      <c r="K605" s="188"/>
      <c r="L605" s="188"/>
      <c r="M605" s="357"/>
      <c r="N605" s="364">
        <v>0</v>
      </c>
    </row>
    <row r="606" spans="1:14" x14ac:dyDescent="0.25">
      <c r="A606" s="349">
        <f>SUM(A599:A605)</f>
        <v>0</v>
      </c>
      <c r="B606" s="365" t="s">
        <v>64</v>
      </c>
      <c r="C606" s="43"/>
      <c r="D606" s="193"/>
      <c r="E606" s="193"/>
      <c r="F606" s="193"/>
      <c r="G606" s="193"/>
      <c r="H606" s="43"/>
      <c r="I606" s="188"/>
      <c r="J606" s="188"/>
      <c r="K606" s="188"/>
      <c r="L606" s="188"/>
      <c r="M606" s="357"/>
      <c r="N606" s="366">
        <f>SUM(N598:N605)</f>
        <v>0</v>
      </c>
    </row>
    <row r="607" spans="1:14" ht="47.25" x14ac:dyDescent="0.25">
      <c r="A607" s="347">
        <f>A598+1</f>
        <v>44657</v>
      </c>
      <c r="B607" s="361" t="s">
        <v>1851</v>
      </c>
      <c r="C607" s="55" t="s">
        <v>2213</v>
      </c>
      <c r="D607" s="167">
        <v>36</v>
      </c>
      <c r="E607" s="167" t="s">
        <v>2214</v>
      </c>
      <c r="F607" s="167" t="s">
        <v>2215</v>
      </c>
      <c r="G607" s="197">
        <v>44658</v>
      </c>
      <c r="H607" s="43"/>
      <c r="I607" s="187" t="s">
        <v>2126</v>
      </c>
      <c r="J607" s="188"/>
      <c r="K607" s="188"/>
      <c r="L607" s="188"/>
      <c r="M607" s="357"/>
      <c r="N607" s="364">
        <v>0</v>
      </c>
    </row>
    <row r="608" spans="1:14" ht="31.5" x14ac:dyDescent="0.25">
      <c r="A608" s="348">
        <v>3510</v>
      </c>
      <c r="B608" s="365" t="s">
        <v>57</v>
      </c>
      <c r="C608" s="55" t="s">
        <v>2216</v>
      </c>
      <c r="D608" s="331"/>
      <c r="E608" s="331"/>
      <c r="F608" s="331"/>
      <c r="G608" s="331"/>
      <c r="H608" s="43"/>
      <c r="I608" s="187" t="s">
        <v>2127</v>
      </c>
      <c r="J608" s="188"/>
      <c r="K608" s="188"/>
      <c r="L608" s="188"/>
      <c r="M608" s="357"/>
      <c r="N608" s="364">
        <v>0</v>
      </c>
    </row>
    <row r="609" spans="1:14" x14ac:dyDescent="0.25">
      <c r="A609" s="348">
        <v>0</v>
      </c>
      <c r="B609" s="365" t="s">
        <v>58</v>
      </c>
      <c r="C609" s="43"/>
      <c r="D609" s="201"/>
      <c r="E609" s="201"/>
      <c r="F609" s="201"/>
      <c r="G609" s="201"/>
      <c r="H609" s="43"/>
      <c r="I609" s="188"/>
      <c r="J609" s="188"/>
      <c r="K609" s="188"/>
      <c r="L609" s="188"/>
      <c r="M609" s="357"/>
      <c r="N609" s="364">
        <v>0</v>
      </c>
    </row>
    <row r="610" spans="1:14" x14ac:dyDescent="0.25">
      <c r="A610" s="348">
        <v>0</v>
      </c>
      <c r="B610" s="365" t="s">
        <v>59</v>
      </c>
      <c r="C610" s="43"/>
      <c r="D610" s="201"/>
      <c r="E610" s="201"/>
      <c r="F610" s="201"/>
      <c r="G610" s="201"/>
      <c r="H610" s="43"/>
      <c r="I610" s="188"/>
      <c r="J610" s="188"/>
      <c r="K610" s="188"/>
      <c r="L610" s="188"/>
      <c r="M610" s="357"/>
      <c r="N610" s="364">
        <v>0</v>
      </c>
    </row>
    <row r="611" spans="1:14" x14ac:dyDescent="0.25">
      <c r="A611" s="348">
        <v>0</v>
      </c>
      <c r="B611" s="365" t="s">
        <v>60</v>
      </c>
      <c r="C611" s="43"/>
      <c r="D611" s="201"/>
      <c r="E611" s="201"/>
      <c r="F611" s="201"/>
      <c r="G611" s="201"/>
      <c r="H611" s="43"/>
      <c r="I611" s="188"/>
      <c r="J611" s="188"/>
      <c r="K611" s="188"/>
      <c r="L611" s="188"/>
      <c r="M611" s="357"/>
      <c r="N611" s="364">
        <v>0</v>
      </c>
    </row>
    <row r="612" spans="1:14" x14ac:dyDescent="0.25">
      <c r="A612" s="348">
        <v>0</v>
      </c>
      <c r="B612" s="365" t="s">
        <v>61</v>
      </c>
      <c r="C612" s="43"/>
      <c r="D612" s="201"/>
      <c r="E612" s="201"/>
      <c r="F612" s="201"/>
      <c r="G612" s="201"/>
      <c r="H612" s="43"/>
      <c r="I612" s="188"/>
      <c r="J612" s="188"/>
      <c r="K612" s="188"/>
      <c r="L612" s="188"/>
      <c r="M612" s="357"/>
      <c r="N612" s="364">
        <v>0</v>
      </c>
    </row>
    <row r="613" spans="1:14" x14ac:dyDescent="0.25">
      <c r="A613" s="348">
        <v>0</v>
      </c>
      <c r="B613" s="365" t="s">
        <v>62</v>
      </c>
      <c r="C613" s="43"/>
      <c r="D613" s="201"/>
      <c r="E613" s="201"/>
      <c r="F613" s="201"/>
      <c r="G613" s="201"/>
      <c r="H613" s="43"/>
      <c r="I613" s="188"/>
      <c r="J613" s="188"/>
      <c r="K613" s="188"/>
      <c r="L613" s="188"/>
      <c r="M613" s="357"/>
      <c r="N613" s="364">
        <v>0</v>
      </c>
    </row>
    <row r="614" spans="1:14" x14ac:dyDescent="0.25">
      <c r="A614" s="348">
        <v>0</v>
      </c>
      <c r="B614" s="365" t="s">
        <v>63</v>
      </c>
      <c r="C614" s="43"/>
      <c r="D614" s="201"/>
      <c r="E614" s="201"/>
      <c r="F614" s="201"/>
      <c r="G614" s="201"/>
      <c r="H614" s="43"/>
      <c r="I614" s="188"/>
      <c r="J614" s="188"/>
      <c r="K614" s="188"/>
      <c r="L614" s="188"/>
      <c r="M614" s="357"/>
      <c r="N614" s="364">
        <v>0</v>
      </c>
    </row>
    <row r="615" spans="1:14" x14ac:dyDescent="0.25">
      <c r="A615" s="349">
        <f>SUM(A608:A614)</f>
        <v>3510</v>
      </c>
      <c r="B615" s="365" t="s">
        <v>64</v>
      </c>
      <c r="C615" s="43"/>
      <c r="D615" s="201"/>
      <c r="E615" s="201"/>
      <c r="F615" s="201"/>
      <c r="G615" s="201"/>
      <c r="H615" s="43"/>
      <c r="I615" s="188"/>
      <c r="J615" s="188"/>
      <c r="K615" s="188"/>
      <c r="L615" s="188"/>
      <c r="M615" s="357"/>
      <c r="N615" s="366">
        <f>SUM(N607:N614)</f>
        <v>0</v>
      </c>
    </row>
    <row r="616" spans="1:14" ht="63" x14ac:dyDescent="0.25">
      <c r="A616" s="347">
        <f>A607+1</f>
        <v>44658</v>
      </c>
      <c r="B616" s="361" t="s">
        <v>1851</v>
      </c>
      <c r="C616" s="204" t="s">
        <v>2217</v>
      </c>
      <c r="D616" s="342">
        <v>36</v>
      </c>
      <c r="E616" s="342" t="s">
        <v>2195</v>
      </c>
      <c r="F616" s="342" t="s">
        <v>2218</v>
      </c>
      <c r="G616" s="342" t="s">
        <v>1015</v>
      </c>
      <c r="H616" s="43"/>
      <c r="I616" s="187" t="s">
        <v>2126</v>
      </c>
      <c r="J616" s="188"/>
      <c r="K616" s="188"/>
      <c r="L616" s="188"/>
      <c r="M616" s="357"/>
      <c r="N616" s="364">
        <v>0</v>
      </c>
    </row>
    <row r="617" spans="1:14" ht="47.25" x14ac:dyDescent="0.25">
      <c r="A617" s="348">
        <v>0</v>
      </c>
      <c r="B617" s="365" t="s">
        <v>57</v>
      </c>
      <c r="C617" s="43"/>
      <c r="D617" s="201"/>
      <c r="E617" s="201"/>
      <c r="F617" s="201"/>
      <c r="G617" s="344" t="s">
        <v>2219</v>
      </c>
      <c r="H617" s="43"/>
      <c r="I617" s="187" t="s">
        <v>2127</v>
      </c>
      <c r="J617" s="188"/>
      <c r="K617" s="188"/>
      <c r="L617" s="188"/>
      <c r="M617" s="357"/>
      <c r="N617" s="364">
        <v>0</v>
      </c>
    </row>
    <row r="618" spans="1:14" x14ac:dyDescent="0.25">
      <c r="A618" s="348">
        <v>0</v>
      </c>
      <c r="B618" s="365" t="s">
        <v>58</v>
      </c>
      <c r="C618" s="43"/>
      <c r="D618" s="201"/>
      <c r="E618" s="201"/>
      <c r="F618" s="201"/>
      <c r="G618" s="201"/>
      <c r="H618" s="43"/>
      <c r="I618" s="188"/>
      <c r="J618" s="188"/>
      <c r="K618" s="188"/>
      <c r="L618" s="188"/>
      <c r="M618" s="357"/>
      <c r="N618" s="364">
        <v>0</v>
      </c>
    </row>
    <row r="619" spans="1:14" x14ac:dyDescent="0.25">
      <c r="A619" s="348">
        <v>0</v>
      </c>
      <c r="B619" s="365" t="s">
        <v>59</v>
      </c>
      <c r="C619" s="43"/>
      <c r="D619" s="201"/>
      <c r="E619" s="201"/>
      <c r="F619" s="201"/>
      <c r="G619" s="201"/>
      <c r="H619" s="43"/>
      <c r="I619" s="188"/>
      <c r="J619" s="188"/>
      <c r="K619" s="188"/>
      <c r="L619" s="188"/>
      <c r="M619" s="357"/>
      <c r="N619" s="364">
        <v>0</v>
      </c>
    </row>
    <row r="620" spans="1:14" ht="63" x14ac:dyDescent="0.25">
      <c r="A620" s="348">
        <v>0</v>
      </c>
      <c r="B620" s="365" t="s">
        <v>60</v>
      </c>
      <c r="C620" s="176" t="s">
        <v>2220</v>
      </c>
      <c r="D620" s="199">
        <v>36</v>
      </c>
      <c r="E620" s="200" t="s">
        <v>2221</v>
      </c>
      <c r="F620" s="200" t="s">
        <v>703</v>
      </c>
      <c r="G620" s="200" t="s">
        <v>1015</v>
      </c>
      <c r="H620" s="43"/>
      <c r="I620" s="188"/>
      <c r="J620" s="188"/>
      <c r="K620" s="188"/>
      <c r="L620" s="188"/>
      <c r="M620" s="357"/>
      <c r="N620" s="364">
        <v>0</v>
      </c>
    </row>
    <row r="621" spans="1:14" ht="47.25" x14ac:dyDescent="0.25">
      <c r="A621" s="348">
        <v>0</v>
      </c>
      <c r="B621" s="365" t="s">
        <v>61</v>
      </c>
      <c r="C621" s="43"/>
      <c r="D621" s="201"/>
      <c r="E621" s="201"/>
      <c r="F621" s="201"/>
      <c r="G621" s="202" t="s">
        <v>2222</v>
      </c>
      <c r="H621" s="43"/>
      <c r="I621" s="188"/>
      <c r="J621" s="188"/>
      <c r="K621" s="188"/>
      <c r="L621" s="188"/>
      <c r="M621" s="357"/>
      <c r="N621" s="364">
        <v>0</v>
      </c>
    </row>
    <row r="622" spans="1:14" x14ac:dyDescent="0.25">
      <c r="A622" s="348">
        <v>0</v>
      </c>
      <c r="B622" s="365" t="s">
        <v>62</v>
      </c>
      <c r="C622" s="43"/>
      <c r="D622" s="201"/>
      <c r="E622" s="201"/>
      <c r="F622" s="201"/>
      <c r="G622" s="201"/>
      <c r="H622" s="43"/>
      <c r="I622" s="188"/>
      <c r="J622" s="188"/>
      <c r="K622" s="188"/>
      <c r="L622" s="188"/>
      <c r="M622" s="357"/>
      <c r="N622" s="364">
        <v>0</v>
      </c>
    </row>
    <row r="623" spans="1:14" x14ac:dyDescent="0.25">
      <c r="A623" s="348">
        <v>0</v>
      </c>
      <c r="B623" s="365" t="s">
        <v>63</v>
      </c>
      <c r="C623" s="43"/>
      <c r="D623" s="201"/>
      <c r="E623" s="201"/>
      <c r="F623" s="201"/>
      <c r="G623" s="201"/>
      <c r="H623" s="43"/>
      <c r="I623" s="188"/>
      <c r="J623" s="188"/>
      <c r="K623" s="188"/>
      <c r="L623" s="188"/>
      <c r="M623" s="357"/>
      <c r="N623" s="364">
        <v>0</v>
      </c>
    </row>
    <row r="624" spans="1:14" x14ac:dyDescent="0.25">
      <c r="A624" s="349">
        <f>SUM(A617:A623)</f>
        <v>0</v>
      </c>
      <c r="B624" s="365" t="s">
        <v>64</v>
      </c>
      <c r="C624" s="43"/>
      <c r="H624" s="43"/>
      <c r="I624" s="188"/>
      <c r="J624" s="188"/>
      <c r="K624" s="188"/>
      <c r="L624" s="188"/>
      <c r="M624" s="357"/>
      <c r="N624" s="366">
        <f>SUM(N616:N623)</f>
        <v>0</v>
      </c>
    </row>
    <row r="625" spans="1:14" ht="63" x14ac:dyDescent="0.25">
      <c r="A625" s="347">
        <f>A616+1</f>
        <v>44659</v>
      </c>
      <c r="B625" s="361" t="s">
        <v>1851</v>
      </c>
      <c r="C625" s="204" t="s">
        <v>2223</v>
      </c>
      <c r="D625" s="342">
        <v>36</v>
      </c>
      <c r="E625" s="342" t="s">
        <v>2224</v>
      </c>
      <c r="F625" s="342" t="s">
        <v>2225</v>
      </c>
      <c r="G625" s="342" t="s">
        <v>2226</v>
      </c>
      <c r="H625" s="43"/>
      <c r="I625" s="187" t="s">
        <v>2126</v>
      </c>
      <c r="J625" s="188"/>
      <c r="K625" s="188"/>
      <c r="L625" s="188"/>
      <c r="M625" s="357"/>
      <c r="N625" s="364">
        <v>0</v>
      </c>
    </row>
    <row r="626" spans="1:14" ht="47.25" x14ac:dyDescent="0.25">
      <c r="A626" s="348">
        <v>0</v>
      </c>
      <c r="B626" s="365" t="s">
        <v>57</v>
      </c>
      <c r="C626" s="43"/>
      <c r="D626" s="201"/>
      <c r="E626" s="201"/>
      <c r="F626" s="201"/>
      <c r="G626" s="344" t="s">
        <v>2227</v>
      </c>
      <c r="H626" s="43"/>
      <c r="I626" s="187" t="s">
        <v>2127</v>
      </c>
      <c r="J626" s="188"/>
      <c r="K626" s="188"/>
      <c r="L626" s="188"/>
      <c r="M626" s="357"/>
      <c r="N626" s="364">
        <v>0</v>
      </c>
    </row>
    <row r="627" spans="1:14" x14ac:dyDescent="0.25">
      <c r="A627" s="348">
        <v>0</v>
      </c>
      <c r="B627" s="365" t="s">
        <v>58</v>
      </c>
      <c r="C627" s="43"/>
      <c r="D627" s="201"/>
      <c r="E627" s="201"/>
      <c r="F627" s="201"/>
      <c r="G627" s="201"/>
      <c r="H627" s="43"/>
      <c r="I627" s="188"/>
      <c r="J627" s="188"/>
      <c r="K627" s="188"/>
      <c r="L627" s="188"/>
      <c r="M627" s="357"/>
      <c r="N627" s="364">
        <v>0</v>
      </c>
    </row>
    <row r="628" spans="1:14" x14ac:dyDescent="0.25">
      <c r="A628" s="348">
        <v>0</v>
      </c>
      <c r="B628" s="365" t="s">
        <v>59</v>
      </c>
      <c r="C628" s="43"/>
      <c r="D628" s="201"/>
      <c r="E628" s="201"/>
      <c r="F628" s="201"/>
      <c r="G628" s="201"/>
      <c r="H628" s="43"/>
      <c r="I628" s="188"/>
      <c r="J628" s="188"/>
      <c r="K628" s="188"/>
      <c r="L628" s="188"/>
      <c r="M628" s="357"/>
      <c r="N628" s="364">
        <v>0</v>
      </c>
    </row>
    <row r="629" spans="1:14" x14ac:dyDescent="0.25">
      <c r="A629" s="348">
        <v>0</v>
      </c>
      <c r="B629" s="365" t="s">
        <v>60</v>
      </c>
      <c r="C629" s="43"/>
      <c r="D629" s="201"/>
      <c r="E629" s="201"/>
      <c r="F629" s="201"/>
      <c r="G629" s="201"/>
      <c r="H629" s="43"/>
      <c r="I629" s="188"/>
      <c r="J629" s="188"/>
      <c r="K629" s="188"/>
      <c r="L629" s="188"/>
      <c r="M629" s="357"/>
      <c r="N629" s="364">
        <v>0</v>
      </c>
    </row>
    <row r="630" spans="1:14" x14ac:dyDescent="0.25">
      <c r="A630" s="348">
        <v>0</v>
      </c>
      <c r="B630" s="365" t="s">
        <v>61</v>
      </c>
      <c r="C630" s="43"/>
      <c r="D630" s="201"/>
      <c r="E630" s="201"/>
      <c r="F630" s="201"/>
      <c r="G630" s="201"/>
      <c r="H630" s="43"/>
      <c r="I630" s="188"/>
      <c r="J630" s="188"/>
      <c r="K630" s="188"/>
      <c r="L630" s="188"/>
      <c r="M630" s="357"/>
      <c r="N630" s="364">
        <v>0</v>
      </c>
    </row>
    <row r="631" spans="1:14" x14ac:dyDescent="0.25">
      <c r="A631" s="348">
        <v>0</v>
      </c>
      <c r="B631" s="365" t="s">
        <v>62</v>
      </c>
      <c r="C631" s="43"/>
      <c r="D631" s="201"/>
      <c r="E631" s="201"/>
      <c r="F631" s="201"/>
      <c r="G631" s="201"/>
      <c r="H631" s="43"/>
      <c r="I631" s="188"/>
      <c r="J631" s="188"/>
      <c r="K631" s="188"/>
      <c r="L631" s="188"/>
      <c r="M631" s="357"/>
      <c r="N631" s="364">
        <v>0</v>
      </c>
    </row>
    <row r="632" spans="1:14" x14ac:dyDescent="0.25">
      <c r="A632" s="348">
        <v>0</v>
      </c>
      <c r="B632" s="365" t="s">
        <v>63</v>
      </c>
      <c r="C632" s="43"/>
      <c r="D632" s="201"/>
      <c r="E632" s="201"/>
      <c r="F632" s="201"/>
      <c r="G632" s="201"/>
      <c r="H632" s="43"/>
      <c r="I632" s="188"/>
      <c r="J632" s="188"/>
      <c r="K632" s="188"/>
      <c r="L632" s="188"/>
      <c r="M632" s="357"/>
      <c r="N632" s="364">
        <v>0</v>
      </c>
    </row>
    <row r="633" spans="1:14" x14ac:dyDescent="0.25">
      <c r="A633" s="349">
        <f>SUM(A626:A632)</f>
        <v>0</v>
      </c>
      <c r="B633" s="365" t="s">
        <v>64</v>
      </c>
      <c r="C633" s="43"/>
      <c r="H633" s="43"/>
      <c r="I633" s="188"/>
      <c r="J633" s="188"/>
      <c r="K633" s="188"/>
      <c r="L633" s="188"/>
      <c r="M633" s="357"/>
      <c r="N633" s="366">
        <f>SUM(N625:N632)</f>
        <v>0</v>
      </c>
    </row>
    <row r="634" spans="1:14" ht="63" x14ac:dyDescent="0.25">
      <c r="A634" s="347">
        <f>A625+3</f>
        <v>44662</v>
      </c>
      <c r="B634" s="361" t="s">
        <v>1851</v>
      </c>
      <c r="C634" s="204" t="s">
        <v>2228</v>
      </c>
      <c r="D634" s="342">
        <v>36</v>
      </c>
      <c r="E634" s="342" t="s">
        <v>2229</v>
      </c>
      <c r="F634" s="342" t="s">
        <v>2230</v>
      </c>
      <c r="G634" s="342" t="s">
        <v>2231</v>
      </c>
      <c r="H634" s="43"/>
      <c r="M634" s="357"/>
      <c r="N634" s="364">
        <v>0</v>
      </c>
    </row>
    <row r="635" spans="1:14" ht="47.25" x14ac:dyDescent="0.25">
      <c r="A635" s="348">
        <v>0</v>
      </c>
      <c r="B635" s="365" t="s">
        <v>57</v>
      </c>
      <c r="C635" s="43"/>
      <c r="D635" s="201"/>
      <c r="E635" s="201"/>
      <c r="F635" s="201"/>
      <c r="G635" s="344" t="s">
        <v>2232</v>
      </c>
      <c r="H635" s="43"/>
      <c r="M635" s="357"/>
      <c r="N635" s="364">
        <v>0</v>
      </c>
    </row>
    <row r="636" spans="1:14" x14ac:dyDescent="0.25">
      <c r="A636" s="348">
        <v>0</v>
      </c>
      <c r="B636" s="365" t="s">
        <v>58</v>
      </c>
      <c r="C636" s="43"/>
      <c r="D636" s="201"/>
      <c r="E636" s="201"/>
      <c r="F636" s="201"/>
      <c r="G636" s="201"/>
      <c r="H636" s="43"/>
      <c r="M636" s="357"/>
      <c r="N636" s="364">
        <v>0</v>
      </c>
    </row>
    <row r="637" spans="1:14" ht="78.75" x14ac:dyDescent="0.25">
      <c r="A637" s="348">
        <v>0</v>
      </c>
      <c r="B637" s="365" t="s">
        <v>59</v>
      </c>
      <c r="C637" s="204" t="s">
        <v>2233</v>
      </c>
      <c r="D637" s="342">
        <v>36</v>
      </c>
      <c r="E637" s="342" t="s">
        <v>2234</v>
      </c>
      <c r="F637" s="342" t="s">
        <v>2235</v>
      </c>
      <c r="G637" s="342" t="s">
        <v>1015</v>
      </c>
      <c r="H637" s="43"/>
      <c r="M637" s="357"/>
      <c r="N637" s="364">
        <v>0</v>
      </c>
    </row>
    <row r="638" spans="1:14" ht="47.25" x14ac:dyDescent="0.25">
      <c r="A638" s="348">
        <v>0</v>
      </c>
      <c r="B638" s="365" t="s">
        <v>60</v>
      </c>
      <c r="C638" s="43"/>
      <c r="D638" s="201"/>
      <c r="E638" s="201"/>
      <c r="F638" s="201"/>
      <c r="G638" s="344" t="s">
        <v>2236</v>
      </c>
      <c r="H638" s="43"/>
      <c r="M638" s="357"/>
      <c r="N638" s="364">
        <v>0</v>
      </c>
    </row>
    <row r="639" spans="1:14" x14ac:dyDescent="0.25">
      <c r="A639" s="348">
        <v>0</v>
      </c>
      <c r="B639" s="365" t="s">
        <v>61</v>
      </c>
      <c r="C639" s="43"/>
      <c r="D639" s="201"/>
      <c r="E639" s="201"/>
      <c r="F639" s="201"/>
      <c r="G639" s="201"/>
      <c r="H639" s="43"/>
      <c r="M639" s="357"/>
      <c r="N639" s="364">
        <v>0</v>
      </c>
    </row>
    <row r="640" spans="1:14" x14ac:dyDescent="0.25">
      <c r="A640" s="348">
        <v>0</v>
      </c>
      <c r="B640" s="365" t="s">
        <v>62</v>
      </c>
      <c r="C640" s="43"/>
      <c r="D640" s="201"/>
      <c r="E640" s="201"/>
      <c r="F640" s="201"/>
      <c r="G640" s="201"/>
      <c r="H640" s="43"/>
      <c r="M640" s="357"/>
      <c r="N640" s="364">
        <v>0</v>
      </c>
    </row>
    <row r="641" spans="1:14" x14ac:dyDescent="0.25">
      <c r="A641" s="348">
        <v>0</v>
      </c>
      <c r="B641" s="365" t="s">
        <v>63</v>
      </c>
      <c r="C641" s="43"/>
      <c r="H641" s="43"/>
      <c r="M641" s="357"/>
      <c r="N641" s="364">
        <v>0</v>
      </c>
    </row>
    <row r="642" spans="1:14" x14ac:dyDescent="0.25">
      <c r="A642" s="349">
        <f>SUM(A635:A641)</f>
        <v>0</v>
      </c>
      <c r="B642" s="365" t="s">
        <v>64</v>
      </c>
      <c r="C642" s="43"/>
      <c r="H642" s="43"/>
      <c r="M642" s="357"/>
      <c r="N642" s="366">
        <f>SUM(N634:N641)</f>
        <v>0</v>
      </c>
    </row>
    <row r="643" spans="1:14" x14ac:dyDescent="0.25">
      <c r="A643" s="347">
        <f>A634+1</f>
        <v>44663</v>
      </c>
      <c r="B643" s="361" t="s">
        <v>1851</v>
      </c>
      <c r="C643" s="43"/>
      <c r="H643" s="43"/>
      <c r="M643" s="357"/>
      <c r="N643" s="364">
        <v>0</v>
      </c>
    </row>
    <row r="644" spans="1:14" x14ac:dyDescent="0.25">
      <c r="A644" s="348">
        <v>0</v>
      </c>
      <c r="B644" s="365" t="s">
        <v>57</v>
      </c>
      <c r="C644" s="43"/>
      <c r="H644" s="43"/>
      <c r="M644" s="357"/>
      <c r="N644" s="364">
        <v>0</v>
      </c>
    </row>
    <row r="645" spans="1:14" x14ac:dyDescent="0.25">
      <c r="A645" s="348">
        <v>0</v>
      </c>
      <c r="B645" s="365" t="s">
        <v>58</v>
      </c>
      <c r="C645" s="43"/>
      <c r="H645" s="43"/>
      <c r="M645" s="357"/>
      <c r="N645" s="364">
        <v>0</v>
      </c>
    </row>
    <row r="646" spans="1:14" x14ac:dyDescent="0.25">
      <c r="A646" s="348">
        <v>0</v>
      </c>
      <c r="B646" s="365" t="s">
        <v>59</v>
      </c>
      <c r="C646" s="43"/>
      <c r="H646" s="43"/>
      <c r="M646" s="357"/>
      <c r="N646" s="364">
        <v>0</v>
      </c>
    </row>
    <row r="647" spans="1:14" x14ac:dyDescent="0.25">
      <c r="A647" s="348">
        <v>0</v>
      </c>
      <c r="B647" s="365" t="s">
        <v>60</v>
      </c>
      <c r="C647" s="43"/>
      <c r="H647" s="43"/>
      <c r="M647" s="357"/>
      <c r="N647" s="364">
        <v>0</v>
      </c>
    </row>
    <row r="648" spans="1:14" x14ac:dyDescent="0.25">
      <c r="A648" s="348">
        <v>0</v>
      </c>
      <c r="B648" s="365" t="s">
        <v>61</v>
      </c>
      <c r="C648" s="43"/>
      <c r="H648" s="43"/>
      <c r="M648" s="357"/>
      <c r="N648" s="364">
        <v>0</v>
      </c>
    </row>
    <row r="649" spans="1:14" x14ac:dyDescent="0.25">
      <c r="A649" s="348">
        <v>0</v>
      </c>
      <c r="B649" s="365" t="s">
        <v>62</v>
      </c>
      <c r="C649" s="43"/>
      <c r="H649" s="43"/>
      <c r="M649" s="357"/>
      <c r="N649" s="364">
        <v>0</v>
      </c>
    </row>
    <row r="650" spans="1:14" x14ac:dyDescent="0.25">
      <c r="A650" s="348">
        <v>0</v>
      </c>
      <c r="B650" s="365" t="s">
        <v>63</v>
      </c>
      <c r="C650" s="43"/>
      <c r="H650" s="43"/>
      <c r="M650" s="357"/>
      <c r="N650" s="364">
        <v>0</v>
      </c>
    </row>
    <row r="651" spans="1:14" x14ac:dyDescent="0.25">
      <c r="A651" s="349">
        <f>SUM(A644:A650)</f>
        <v>0</v>
      </c>
      <c r="B651" s="365" t="s">
        <v>64</v>
      </c>
      <c r="C651" s="43"/>
      <c r="H651" s="43"/>
      <c r="M651" s="357"/>
      <c r="N651" s="366">
        <f>SUM(N643:N650)</f>
        <v>0</v>
      </c>
    </row>
    <row r="652" spans="1:14" x14ac:dyDescent="0.25">
      <c r="A652" s="347">
        <f>A643+1</f>
        <v>44664</v>
      </c>
      <c r="B652" s="361" t="s">
        <v>1851</v>
      </c>
      <c r="C652" s="43"/>
      <c r="H652" s="43"/>
      <c r="M652" s="357"/>
      <c r="N652" s="364">
        <v>0</v>
      </c>
    </row>
    <row r="653" spans="1:14" x14ac:dyDescent="0.25">
      <c r="A653" s="348">
        <v>0</v>
      </c>
      <c r="B653" s="365" t="s">
        <v>57</v>
      </c>
      <c r="C653" s="43"/>
      <c r="H653" s="43"/>
      <c r="M653" s="357"/>
      <c r="N653" s="364">
        <v>0</v>
      </c>
    </row>
    <row r="654" spans="1:14" x14ac:dyDescent="0.25">
      <c r="A654" s="348">
        <v>0</v>
      </c>
      <c r="B654" s="365" t="s">
        <v>58</v>
      </c>
      <c r="C654" s="43"/>
      <c r="H654" s="43"/>
      <c r="M654" s="357"/>
      <c r="N654" s="364">
        <v>0</v>
      </c>
    </row>
    <row r="655" spans="1:14" x14ac:dyDescent="0.25">
      <c r="A655" s="348">
        <v>0</v>
      </c>
      <c r="B655" s="365" t="s">
        <v>59</v>
      </c>
      <c r="C655" s="43"/>
      <c r="H655" s="43"/>
      <c r="M655" s="357"/>
      <c r="N655" s="364">
        <v>0</v>
      </c>
    </row>
    <row r="656" spans="1:14" x14ac:dyDescent="0.25">
      <c r="A656" s="348">
        <v>0</v>
      </c>
      <c r="B656" s="365" t="s">
        <v>60</v>
      </c>
      <c r="C656" s="43"/>
      <c r="H656" s="43"/>
      <c r="M656" s="357"/>
      <c r="N656" s="364">
        <v>0</v>
      </c>
    </row>
    <row r="657" spans="1:14" x14ac:dyDescent="0.25">
      <c r="A657" s="348">
        <v>0</v>
      </c>
      <c r="B657" s="365" t="s">
        <v>61</v>
      </c>
      <c r="C657" s="43"/>
      <c r="H657" s="43"/>
      <c r="M657" s="357"/>
      <c r="N657" s="364">
        <v>0</v>
      </c>
    </row>
    <row r="658" spans="1:14" x14ac:dyDescent="0.25">
      <c r="A658" s="348">
        <v>0</v>
      </c>
      <c r="B658" s="365" t="s">
        <v>62</v>
      </c>
      <c r="C658" s="43"/>
      <c r="H658" s="43"/>
      <c r="M658" s="357"/>
      <c r="N658" s="364">
        <v>0</v>
      </c>
    </row>
    <row r="659" spans="1:14" x14ac:dyDescent="0.25">
      <c r="A659" s="348">
        <v>0</v>
      </c>
      <c r="B659" s="365" t="s">
        <v>63</v>
      </c>
      <c r="C659" s="43"/>
      <c r="H659" s="43"/>
      <c r="M659" s="357"/>
      <c r="N659" s="364">
        <v>0</v>
      </c>
    </row>
    <row r="660" spans="1:14" x14ac:dyDescent="0.25">
      <c r="A660" s="349">
        <f>SUM(A653:A659)</f>
        <v>0</v>
      </c>
      <c r="B660" s="365" t="s">
        <v>64</v>
      </c>
      <c r="C660" s="43"/>
      <c r="H660" s="43"/>
      <c r="M660" s="357"/>
      <c r="N660" s="366">
        <f>SUM(N652:N659)</f>
        <v>0</v>
      </c>
    </row>
    <row r="661" spans="1:14" x14ac:dyDescent="0.25">
      <c r="A661" s="347">
        <f>A652+1</f>
        <v>44665</v>
      </c>
      <c r="B661" s="361" t="s">
        <v>1851</v>
      </c>
      <c r="C661" s="43"/>
      <c r="H661" s="43"/>
      <c r="M661" s="357"/>
      <c r="N661" s="364">
        <v>0</v>
      </c>
    </row>
    <row r="662" spans="1:14" x14ac:dyDescent="0.25">
      <c r="A662" s="348">
        <v>0</v>
      </c>
      <c r="B662" s="365" t="s">
        <v>57</v>
      </c>
      <c r="C662" s="43"/>
      <c r="H662" s="43"/>
      <c r="M662" s="357"/>
      <c r="N662" s="364">
        <v>0</v>
      </c>
    </row>
    <row r="663" spans="1:14" x14ac:dyDescent="0.25">
      <c r="A663" s="348">
        <v>0</v>
      </c>
      <c r="B663" s="365" t="s">
        <v>58</v>
      </c>
      <c r="C663" s="43"/>
      <c r="H663" s="43"/>
      <c r="M663" s="357"/>
      <c r="N663" s="364">
        <v>0</v>
      </c>
    </row>
    <row r="664" spans="1:14" x14ac:dyDescent="0.25">
      <c r="A664" s="348">
        <v>0</v>
      </c>
      <c r="B664" s="365" t="s">
        <v>59</v>
      </c>
      <c r="C664" s="43"/>
      <c r="H664" s="43"/>
      <c r="M664" s="357"/>
      <c r="N664" s="364">
        <v>0</v>
      </c>
    </row>
    <row r="665" spans="1:14" x14ac:dyDescent="0.25">
      <c r="A665" s="348">
        <v>0</v>
      </c>
      <c r="B665" s="365" t="s">
        <v>60</v>
      </c>
      <c r="C665" s="43"/>
      <c r="H665" s="43"/>
      <c r="M665" s="357"/>
      <c r="N665" s="364">
        <v>0</v>
      </c>
    </row>
    <row r="666" spans="1:14" x14ac:dyDescent="0.25">
      <c r="A666" s="348">
        <v>0</v>
      </c>
      <c r="B666" s="365" t="s">
        <v>61</v>
      </c>
      <c r="C666" s="43"/>
      <c r="H666" s="43"/>
      <c r="M666" s="357"/>
      <c r="N666" s="364">
        <v>0</v>
      </c>
    </row>
    <row r="667" spans="1:14" x14ac:dyDescent="0.25">
      <c r="A667" s="348">
        <v>0</v>
      </c>
      <c r="B667" s="365" t="s">
        <v>62</v>
      </c>
      <c r="C667" s="43"/>
      <c r="H667" s="43"/>
      <c r="M667" s="357"/>
      <c r="N667" s="364">
        <v>0</v>
      </c>
    </row>
    <row r="668" spans="1:14" x14ac:dyDescent="0.25">
      <c r="A668" s="348">
        <v>0</v>
      </c>
      <c r="B668" s="365" t="s">
        <v>63</v>
      </c>
      <c r="C668" s="43"/>
      <c r="H668" s="43"/>
      <c r="M668" s="357"/>
      <c r="N668" s="364">
        <v>0</v>
      </c>
    </row>
    <row r="669" spans="1:14" x14ac:dyDescent="0.25">
      <c r="A669" s="349">
        <f>SUM(A662:A668)</f>
        <v>0</v>
      </c>
      <c r="B669" s="365" t="s">
        <v>64</v>
      </c>
      <c r="C669" s="43"/>
      <c r="H669" s="43"/>
      <c r="M669" s="357"/>
      <c r="N669" s="366">
        <f>SUM(N661:N668)</f>
        <v>0</v>
      </c>
    </row>
    <row r="670" spans="1:14" x14ac:dyDescent="0.25">
      <c r="A670" s="347">
        <f>A661+1</f>
        <v>44666</v>
      </c>
      <c r="B670" s="361" t="s">
        <v>1851</v>
      </c>
      <c r="C670" s="43"/>
      <c r="H670" s="43"/>
      <c r="M670" s="357"/>
      <c r="N670" s="364">
        <v>0</v>
      </c>
    </row>
    <row r="671" spans="1:14" x14ac:dyDescent="0.25">
      <c r="A671" s="348">
        <v>0</v>
      </c>
      <c r="B671" s="365" t="s">
        <v>57</v>
      </c>
      <c r="C671" s="43"/>
      <c r="H671" s="43"/>
      <c r="M671" s="357"/>
      <c r="N671" s="364">
        <v>0</v>
      </c>
    </row>
    <row r="672" spans="1:14" x14ac:dyDescent="0.25">
      <c r="A672" s="348">
        <v>0</v>
      </c>
      <c r="B672" s="365" t="s">
        <v>58</v>
      </c>
      <c r="C672" s="43"/>
      <c r="H672" s="43"/>
      <c r="M672" s="357"/>
      <c r="N672" s="364">
        <v>0</v>
      </c>
    </row>
    <row r="673" spans="1:14" x14ac:dyDescent="0.25">
      <c r="A673" s="348">
        <v>0</v>
      </c>
      <c r="B673" s="365" t="s">
        <v>59</v>
      </c>
      <c r="C673" s="43"/>
      <c r="H673" s="43"/>
      <c r="M673" s="357"/>
      <c r="N673" s="364">
        <v>0</v>
      </c>
    </row>
    <row r="674" spans="1:14" x14ac:dyDescent="0.25">
      <c r="A674" s="348">
        <v>0</v>
      </c>
      <c r="B674" s="365" t="s">
        <v>60</v>
      </c>
      <c r="C674" s="43"/>
      <c r="H674" s="43"/>
      <c r="M674" s="357"/>
      <c r="N674" s="364">
        <v>0</v>
      </c>
    </row>
    <row r="675" spans="1:14" x14ac:dyDescent="0.25">
      <c r="A675" s="348">
        <v>0</v>
      </c>
      <c r="B675" s="365" t="s">
        <v>61</v>
      </c>
      <c r="C675" s="43"/>
      <c r="H675" s="43"/>
      <c r="M675" s="357"/>
      <c r="N675" s="364">
        <v>0</v>
      </c>
    </row>
    <row r="676" spans="1:14" x14ac:dyDescent="0.25">
      <c r="A676" s="348">
        <v>0</v>
      </c>
      <c r="B676" s="365" t="s">
        <v>62</v>
      </c>
      <c r="C676" s="43"/>
      <c r="H676" s="43"/>
      <c r="M676" s="357"/>
      <c r="N676" s="364">
        <v>0</v>
      </c>
    </row>
    <row r="677" spans="1:14" x14ac:dyDescent="0.25">
      <c r="A677" s="348">
        <v>0</v>
      </c>
      <c r="B677" s="365" t="s">
        <v>63</v>
      </c>
      <c r="C677" s="43"/>
      <c r="H677" s="43"/>
      <c r="M677" s="357"/>
      <c r="N677" s="364">
        <v>0</v>
      </c>
    </row>
    <row r="678" spans="1:14" x14ac:dyDescent="0.25">
      <c r="A678" s="349">
        <f>SUM(A671:A677)</f>
        <v>0</v>
      </c>
      <c r="B678" s="365" t="s">
        <v>64</v>
      </c>
      <c r="C678" s="43"/>
      <c r="H678" s="43"/>
      <c r="M678" s="357"/>
      <c r="N678" s="366">
        <f>SUM(N670:N677)</f>
        <v>0</v>
      </c>
    </row>
  </sheetData>
  <autoFilter ref="J197:J200" xr:uid="{00000000-0009-0000-0000-000003000000}"/>
  <mergeCells count="4">
    <mergeCell ref="E3:F3"/>
    <mergeCell ref="J3:K3"/>
    <mergeCell ref="P3:R3"/>
    <mergeCell ref="T3:X3"/>
  </mergeCells>
  <printOptions horizontalCentered="1" gridLines="1"/>
  <pageMargins left="0.7" right="0.7" top="0.75" bottom="0.75" header="0" footer="0"/>
  <pageSetup pageOrder="overThenDown" orientation="landscape" cellComments="atEnd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61"/>
  <sheetViews>
    <sheetView workbookViewId="0">
      <pane ySplit="1" topLeftCell="A5" activePane="bottomLeft" state="frozen"/>
      <selection pane="bottomLeft" sqref="A1:A1048576"/>
    </sheetView>
  </sheetViews>
  <sheetFormatPr defaultColWidth="12.5703125" defaultRowHeight="15.75" customHeight="1" x14ac:dyDescent="0.2"/>
  <cols>
    <col min="1" max="1" width="13.85546875" style="398" bestFit="1" customWidth="1"/>
    <col min="2" max="2" width="13.5703125" style="386" customWidth="1"/>
    <col min="3" max="6" width="12.5703125" style="386"/>
    <col min="7" max="7" width="14.5703125" style="386" customWidth="1"/>
    <col min="8" max="8" width="6.140625" style="386" customWidth="1"/>
    <col min="9" max="16384" width="12.5703125" style="386"/>
  </cols>
  <sheetData>
    <row r="1" spans="1:16" ht="15.75" customHeight="1" x14ac:dyDescent="0.25">
      <c r="A1" s="396" t="s">
        <v>2237</v>
      </c>
      <c r="B1" s="379" t="s">
        <v>2238</v>
      </c>
      <c r="C1" s="380" t="s">
        <v>2</v>
      </c>
      <c r="D1" s="380" t="s">
        <v>2239</v>
      </c>
      <c r="E1" s="380" t="s">
        <v>2240</v>
      </c>
      <c r="F1" s="381" t="s">
        <v>2241</v>
      </c>
      <c r="G1" s="382" t="s">
        <v>2242</v>
      </c>
      <c r="H1" s="383"/>
      <c r="I1" s="384" t="s">
        <v>2243</v>
      </c>
      <c r="J1" s="379" t="s">
        <v>2244</v>
      </c>
      <c r="K1" s="382" t="s">
        <v>2</v>
      </c>
      <c r="L1" s="380" t="s">
        <v>2239</v>
      </c>
      <c r="M1" s="382" t="s">
        <v>2245</v>
      </c>
      <c r="N1" s="380" t="s">
        <v>2246</v>
      </c>
      <c r="O1" s="380" t="s">
        <v>2247</v>
      </c>
      <c r="P1" s="385"/>
    </row>
    <row r="2" spans="1:16" ht="15.75" customHeight="1" x14ac:dyDescent="0.25">
      <c r="A2" s="396">
        <v>44662</v>
      </c>
      <c r="B2" s="387" t="s">
        <v>2248</v>
      </c>
      <c r="C2" s="388">
        <v>60</v>
      </c>
      <c r="D2" s="389" t="s">
        <v>25</v>
      </c>
      <c r="E2" s="389" t="s">
        <v>2249</v>
      </c>
      <c r="F2" s="389" t="s">
        <v>2250</v>
      </c>
      <c r="G2" s="389" t="s">
        <v>1825</v>
      </c>
      <c r="H2" s="383"/>
    </row>
    <row r="3" spans="1:16" ht="15.75" customHeight="1" x14ac:dyDescent="0.25">
      <c r="A3" s="396">
        <v>44663</v>
      </c>
      <c r="B3" s="387" t="s">
        <v>2251</v>
      </c>
      <c r="C3" s="389">
        <v>36</v>
      </c>
      <c r="D3" s="389" t="s">
        <v>2252</v>
      </c>
      <c r="E3" s="389" t="s">
        <v>2046</v>
      </c>
      <c r="F3" s="389" t="s">
        <v>2253</v>
      </c>
      <c r="G3" s="390" t="s">
        <v>2254</v>
      </c>
      <c r="H3" s="383"/>
    </row>
    <row r="4" spans="1:16" ht="15.75" customHeight="1" x14ac:dyDescent="0.25">
      <c r="A4" s="396">
        <v>44663</v>
      </c>
      <c r="B4" s="387" t="s">
        <v>2255</v>
      </c>
      <c r="C4" s="388">
        <v>60</v>
      </c>
      <c r="D4" s="389" t="s">
        <v>151</v>
      </c>
      <c r="E4" s="389" t="s">
        <v>2256</v>
      </c>
      <c r="F4" s="389" t="s">
        <v>2257</v>
      </c>
      <c r="G4" s="389" t="s">
        <v>2258</v>
      </c>
      <c r="H4" s="383"/>
    </row>
    <row r="5" spans="1:16" ht="15.75" customHeight="1" x14ac:dyDescent="0.25">
      <c r="A5" s="396">
        <v>44663</v>
      </c>
      <c r="B5" s="387" t="s">
        <v>2259</v>
      </c>
      <c r="C5" s="388">
        <v>72</v>
      </c>
      <c r="D5" s="389" t="s">
        <v>85</v>
      </c>
      <c r="E5" s="389" t="s">
        <v>2260</v>
      </c>
      <c r="F5" s="389" t="s">
        <v>2253</v>
      </c>
      <c r="G5" s="389"/>
      <c r="H5" s="383"/>
    </row>
    <row r="6" spans="1:16" ht="15.75" customHeight="1" x14ac:dyDescent="0.25">
      <c r="A6" s="396">
        <v>44665</v>
      </c>
      <c r="B6" s="387" t="s">
        <v>2261</v>
      </c>
      <c r="C6" s="388">
        <v>36</v>
      </c>
      <c r="D6" s="389" t="s">
        <v>2262</v>
      </c>
      <c r="E6" s="389" t="s">
        <v>2263</v>
      </c>
      <c r="F6" s="389" t="s">
        <v>2264</v>
      </c>
      <c r="G6" s="389" t="s">
        <v>2265</v>
      </c>
      <c r="H6" s="383"/>
    </row>
    <row r="7" spans="1:16" ht="15.75" customHeight="1" x14ac:dyDescent="0.25">
      <c r="A7" s="396">
        <v>44665</v>
      </c>
      <c r="B7" s="387" t="s">
        <v>2266</v>
      </c>
      <c r="C7" s="388">
        <v>36</v>
      </c>
      <c r="D7" s="389" t="s">
        <v>2267</v>
      </c>
      <c r="E7" s="389" t="s">
        <v>703</v>
      </c>
      <c r="F7" s="389" t="s">
        <v>2264</v>
      </c>
      <c r="G7" s="389" t="s">
        <v>2268</v>
      </c>
      <c r="H7" s="383"/>
    </row>
    <row r="8" spans="1:16" ht="15.75" customHeight="1" x14ac:dyDescent="0.25">
      <c r="A8" s="396">
        <v>44665</v>
      </c>
      <c r="B8" s="387" t="s">
        <v>2269</v>
      </c>
      <c r="C8" s="388">
        <v>36</v>
      </c>
      <c r="D8" s="389" t="s">
        <v>2270</v>
      </c>
      <c r="E8" s="389" t="s">
        <v>2046</v>
      </c>
      <c r="F8" s="389" t="s">
        <v>2264</v>
      </c>
      <c r="G8" s="389" t="s">
        <v>2271</v>
      </c>
      <c r="H8" s="383"/>
    </row>
    <row r="9" spans="1:16" ht="15.75" customHeight="1" x14ac:dyDescent="0.25">
      <c r="A9" s="396">
        <v>44666</v>
      </c>
      <c r="B9" s="387" t="s">
        <v>2272</v>
      </c>
      <c r="C9" s="389">
        <v>48</v>
      </c>
      <c r="D9" s="389" t="s">
        <v>85</v>
      </c>
      <c r="E9" s="389" t="s">
        <v>974</v>
      </c>
      <c r="F9" s="389" t="s">
        <v>2273</v>
      </c>
      <c r="G9" s="389"/>
      <c r="H9" s="383"/>
    </row>
    <row r="10" spans="1:16" ht="15.75" customHeight="1" x14ac:dyDescent="0.25">
      <c r="A10" s="396">
        <v>44666</v>
      </c>
      <c r="B10" s="387" t="s">
        <v>2274</v>
      </c>
      <c r="C10" s="389">
        <v>36</v>
      </c>
      <c r="D10" s="389" t="s">
        <v>2275</v>
      </c>
      <c r="E10" s="389" t="s">
        <v>703</v>
      </c>
      <c r="F10" s="389" t="s">
        <v>2276</v>
      </c>
      <c r="G10" s="389" t="s">
        <v>2277</v>
      </c>
      <c r="H10" s="383"/>
    </row>
    <row r="11" spans="1:16" ht="15.75" customHeight="1" x14ac:dyDescent="0.25">
      <c r="A11" s="396">
        <v>44666</v>
      </c>
      <c r="B11" s="387" t="s">
        <v>2278</v>
      </c>
      <c r="C11" s="388">
        <v>36</v>
      </c>
      <c r="D11" s="389" t="s">
        <v>2279</v>
      </c>
      <c r="E11" s="389" t="s">
        <v>2280</v>
      </c>
      <c r="F11" s="391">
        <v>44666</v>
      </c>
      <c r="G11" s="389"/>
      <c r="H11" s="383"/>
    </row>
    <row r="12" spans="1:16" ht="15.75" customHeight="1" x14ac:dyDescent="0.25">
      <c r="A12" s="396">
        <v>44666</v>
      </c>
      <c r="B12" s="392"/>
      <c r="C12" s="393" t="s">
        <v>2281</v>
      </c>
      <c r="D12" s="393"/>
      <c r="E12" s="393"/>
      <c r="F12" s="390"/>
      <c r="G12" s="389"/>
      <c r="H12" s="383"/>
    </row>
    <row r="13" spans="1:16" ht="15.75" customHeight="1" x14ac:dyDescent="0.25">
      <c r="A13" s="396">
        <v>44669</v>
      </c>
      <c r="B13" s="387" t="s">
        <v>2282</v>
      </c>
      <c r="C13" s="388">
        <v>30</v>
      </c>
      <c r="D13" s="389" t="s">
        <v>2283</v>
      </c>
      <c r="E13" s="389" t="s">
        <v>2284</v>
      </c>
      <c r="F13" s="389" t="s">
        <v>2285</v>
      </c>
      <c r="G13" s="389" t="s">
        <v>2286</v>
      </c>
      <c r="H13" s="383"/>
    </row>
    <row r="14" spans="1:16" ht="15.75" customHeight="1" x14ac:dyDescent="0.25">
      <c r="A14" s="396">
        <v>44669</v>
      </c>
      <c r="B14" s="387" t="s">
        <v>2287</v>
      </c>
      <c r="C14" s="388">
        <v>30</v>
      </c>
      <c r="D14" s="389" t="s">
        <v>2288</v>
      </c>
      <c r="E14" s="389" t="s">
        <v>2289</v>
      </c>
      <c r="F14" s="389" t="s">
        <v>2290</v>
      </c>
      <c r="G14" s="389" t="s">
        <v>2291</v>
      </c>
      <c r="H14" s="383"/>
    </row>
    <row r="15" spans="1:16" ht="15.75" customHeight="1" x14ac:dyDescent="0.25">
      <c r="A15" s="396">
        <v>44669</v>
      </c>
      <c r="B15" s="387" t="s">
        <v>2292</v>
      </c>
      <c r="C15" s="388">
        <v>52</v>
      </c>
      <c r="D15" s="389" t="s">
        <v>25</v>
      </c>
      <c r="E15" s="389" t="s">
        <v>1548</v>
      </c>
      <c r="F15" s="389" t="s">
        <v>2293</v>
      </c>
      <c r="G15" s="389" t="s">
        <v>2294</v>
      </c>
      <c r="H15" s="383"/>
    </row>
    <row r="16" spans="1:16" ht="15.75" customHeight="1" x14ac:dyDescent="0.25">
      <c r="A16" s="396">
        <v>44669</v>
      </c>
      <c r="B16" s="387" t="s">
        <v>2295</v>
      </c>
      <c r="C16" s="388">
        <v>58</v>
      </c>
      <c r="D16" s="389" t="s">
        <v>1202</v>
      </c>
      <c r="E16" s="389" t="s">
        <v>2296</v>
      </c>
      <c r="F16" s="389" t="s">
        <v>2297</v>
      </c>
      <c r="G16" s="389" t="s">
        <v>2298</v>
      </c>
      <c r="H16" s="383"/>
    </row>
    <row r="17" spans="1:8" ht="15.75" customHeight="1" x14ac:dyDescent="0.25">
      <c r="A17" s="396">
        <v>44670</v>
      </c>
      <c r="B17" s="387" t="s">
        <v>2299</v>
      </c>
      <c r="C17" s="389">
        <v>36</v>
      </c>
      <c r="D17" s="389" t="s">
        <v>2300</v>
      </c>
      <c r="E17" s="389" t="s">
        <v>2301</v>
      </c>
      <c r="F17" s="389" t="s">
        <v>2302</v>
      </c>
      <c r="G17" s="389" t="s">
        <v>2303</v>
      </c>
      <c r="H17" s="383"/>
    </row>
    <row r="18" spans="1:8" ht="15.75" customHeight="1" x14ac:dyDescent="0.25">
      <c r="A18" s="396">
        <v>44670</v>
      </c>
      <c r="B18" s="387" t="s">
        <v>2304</v>
      </c>
      <c r="C18" s="389">
        <v>72</v>
      </c>
      <c r="D18" s="389" t="s">
        <v>85</v>
      </c>
      <c r="E18" s="389" t="s">
        <v>2260</v>
      </c>
      <c r="F18" s="389" t="s">
        <v>2302</v>
      </c>
      <c r="G18" s="389"/>
      <c r="H18" s="383"/>
    </row>
    <row r="19" spans="1:8" ht="15.75" customHeight="1" x14ac:dyDescent="0.25">
      <c r="A19" s="396">
        <v>44671</v>
      </c>
      <c r="B19" s="387" t="s">
        <v>2305</v>
      </c>
      <c r="C19" s="389">
        <v>36</v>
      </c>
      <c r="D19" s="389" t="s">
        <v>1965</v>
      </c>
      <c r="E19" s="389" t="s">
        <v>2306</v>
      </c>
      <c r="F19" s="389" t="s">
        <v>2307</v>
      </c>
      <c r="G19" s="389" t="s">
        <v>2308</v>
      </c>
      <c r="H19" s="383"/>
    </row>
    <row r="20" spans="1:8" ht="15.75" customHeight="1" x14ac:dyDescent="0.25">
      <c r="A20" s="396">
        <v>44673</v>
      </c>
      <c r="B20" s="387" t="s">
        <v>2309</v>
      </c>
      <c r="C20" s="389">
        <v>36</v>
      </c>
      <c r="D20" s="389" t="s">
        <v>2310</v>
      </c>
      <c r="E20" s="389" t="s">
        <v>2311</v>
      </c>
      <c r="F20" s="389" t="s">
        <v>2312</v>
      </c>
      <c r="G20" s="389" t="s">
        <v>2313</v>
      </c>
      <c r="H20" s="383"/>
    </row>
    <row r="21" spans="1:8" ht="15.75" customHeight="1" x14ac:dyDescent="0.25">
      <c r="A21" s="396">
        <v>44673</v>
      </c>
      <c r="B21" s="387" t="s">
        <v>2314</v>
      </c>
      <c r="C21" s="389">
        <v>30</v>
      </c>
      <c r="D21" s="389" t="s">
        <v>673</v>
      </c>
      <c r="E21" s="389" t="s">
        <v>2315</v>
      </c>
      <c r="F21" s="389" t="s">
        <v>2316</v>
      </c>
      <c r="G21" s="389" t="s">
        <v>2317</v>
      </c>
      <c r="H21" s="383"/>
    </row>
    <row r="22" spans="1:8" ht="15.75" customHeight="1" x14ac:dyDescent="0.25">
      <c r="A22" s="396">
        <v>44677</v>
      </c>
      <c r="B22" s="387" t="s">
        <v>2318</v>
      </c>
      <c r="C22" s="388">
        <v>72</v>
      </c>
      <c r="D22" s="389" t="s">
        <v>85</v>
      </c>
      <c r="E22" s="389" t="s">
        <v>2260</v>
      </c>
      <c r="F22" s="389" t="s">
        <v>2319</v>
      </c>
      <c r="G22" s="389"/>
      <c r="H22" s="383"/>
    </row>
    <row r="23" spans="1:8" ht="15.75" customHeight="1" x14ac:dyDescent="0.25">
      <c r="A23" s="396">
        <v>44678</v>
      </c>
      <c r="B23" s="387" t="s">
        <v>2320</v>
      </c>
      <c r="C23" s="394">
        <v>56</v>
      </c>
      <c r="D23" s="394" t="s">
        <v>1761</v>
      </c>
      <c r="E23" s="394" t="s">
        <v>905</v>
      </c>
      <c r="F23" s="395" t="s">
        <v>2321</v>
      </c>
      <c r="G23" s="390" t="s">
        <v>2322</v>
      </c>
      <c r="H23" s="383"/>
    </row>
    <row r="24" spans="1:8" ht="15.75" customHeight="1" x14ac:dyDescent="0.25">
      <c r="A24" s="396">
        <v>44678</v>
      </c>
      <c r="B24" s="387" t="s">
        <v>2323</v>
      </c>
      <c r="C24" s="394">
        <v>60</v>
      </c>
      <c r="D24" s="394" t="s">
        <v>2324</v>
      </c>
      <c r="E24" s="394" t="s">
        <v>1493</v>
      </c>
      <c r="F24" s="395" t="s">
        <v>2321</v>
      </c>
      <c r="G24" s="390" t="s">
        <v>2322</v>
      </c>
      <c r="H24" s="383"/>
    </row>
    <row r="25" spans="1:8" ht="15.75" customHeight="1" x14ac:dyDescent="0.25">
      <c r="A25" s="396">
        <v>44683</v>
      </c>
      <c r="B25" s="387" t="s">
        <v>2325</v>
      </c>
      <c r="C25" s="388">
        <v>48</v>
      </c>
      <c r="D25" s="389" t="s">
        <v>1637</v>
      </c>
      <c r="E25" s="389" t="s">
        <v>2326</v>
      </c>
      <c r="F25" s="389" t="s">
        <v>2327</v>
      </c>
      <c r="G25" s="389" t="s">
        <v>2328</v>
      </c>
      <c r="H25" s="383"/>
    </row>
    <row r="26" spans="1:8" ht="15.75" customHeight="1" x14ac:dyDescent="0.25">
      <c r="A26" s="396">
        <v>44672</v>
      </c>
      <c r="B26" s="387" t="s">
        <v>2329</v>
      </c>
      <c r="C26" s="388">
        <v>48</v>
      </c>
      <c r="D26" s="389" t="s">
        <v>18</v>
      </c>
      <c r="E26" s="389" t="s">
        <v>1458</v>
      </c>
      <c r="F26" s="389" t="s">
        <v>2330</v>
      </c>
      <c r="G26" s="389" t="s">
        <v>2331</v>
      </c>
      <c r="H26" s="383"/>
    </row>
    <row r="27" spans="1:8" ht="15.75" customHeight="1" x14ac:dyDescent="0.25">
      <c r="A27" s="396">
        <v>44684</v>
      </c>
      <c r="B27" s="387" t="s">
        <v>2332</v>
      </c>
      <c r="C27" s="388">
        <v>72</v>
      </c>
      <c r="D27" s="389" t="s">
        <v>85</v>
      </c>
      <c r="E27" s="389" t="s">
        <v>2260</v>
      </c>
      <c r="F27" s="389" t="s">
        <v>2333</v>
      </c>
      <c r="G27" s="389"/>
      <c r="H27" s="383"/>
    </row>
    <row r="28" spans="1:8" ht="15.75" customHeight="1" x14ac:dyDescent="0.25">
      <c r="A28" s="396">
        <v>44685</v>
      </c>
      <c r="B28" s="387" t="s">
        <v>2334</v>
      </c>
      <c r="C28" s="388">
        <v>60</v>
      </c>
      <c r="D28" s="389" t="s">
        <v>1660</v>
      </c>
      <c r="E28" s="389" t="s">
        <v>2335</v>
      </c>
      <c r="F28" s="389" t="s">
        <v>2336</v>
      </c>
      <c r="G28" s="389" t="s">
        <v>2337</v>
      </c>
      <c r="H28" s="383"/>
    </row>
    <row r="29" spans="1:8" ht="15.75" customHeight="1" x14ac:dyDescent="0.25">
      <c r="A29" s="396">
        <v>44690</v>
      </c>
      <c r="B29" s="387" t="s">
        <v>2338</v>
      </c>
      <c r="C29" s="388">
        <v>30</v>
      </c>
      <c r="D29" s="389" t="s">
        <v>2339</v>
      </c>
      <c r="E29" s="389" t="s">
        <v>2340</v>
      </c>
      <c r="F29" s="389" t="s">
        <v>2341</v>
      </c>
      <c r="G29" s="389" t="s">
        <v>2342</v>
      </c>
      <c r="H29" s="383"/>
    </row>
    <row r="30" spans="1:8" ht="15.75" customHeight="1" x14ac:dyDescent="0.25">
      <c r="A30" s="396">
        <v>44690</v>
      </c>
      <c r="B30" s="387" t="s">
        <v>2343</v>
      </c>
      <c r="C30" s="388">
        <v>36</v>
      </c>
      <c r="D30" s="389" t="s">
        <v>2339</v>
      </c>
      <c r="E30" s="389" t="s">
        <v>945</v>
      </c>
      <c r="F30" s="389" t="s">
        <v>2341</v>
      </c>
      <c r="G30" s="389" t="s">
        <v>2342</v>
      </c>
      <c r="H30" s="383"/>
    </row>
    <row r="31" spans="1:8" ht="15.75" customHeight="1" x14ac:dyDescent="0.25">
      <c r="A31" s="396">
        <v>44691</v>
      </c>
      <c r="B31" s="387" t="s">
        <v>2344</v>
      </c>
      <c r="C31" s="388">
        <v>72</v>
      </c>
      <c r="D31" s="389" t="s">
        <v>85</v>
      </c>
      <c r="E31" s="389" t="s">
        <v>2260</v>
      </c>
      <c r="F31" s="389" t="s">
        <v>2345</v>
      </c>
      <c r="G31" s="389"/>
      <c r="H31" s="383"/>
    </row>
    <row r="32" spans="1:8" ht="15.75" customHeight="1" x14ac:dyDescent="0.25">
      <c r="A32" s="396">
        <v>44700</v>
      </c>
      <c r="B32" s="387" t="s">
        <v>2346</v>
      </c>
      <c r="C32" s="388">
        <v>52</v>
      </c>
      <c r="D32" s="389" t="s">
        <v>25</v>
      </c>
      <c r="E32" s="389" t="s">
        <v>2347</v>
      </c>
      <c r="F32" s="389" t="s">
        <v>2348</v>
      </c>
      <c r="G32" s="389" t="s">
        <v>2349</v>
      </c>
      <c r="H32" s="383"/>
    </row>
    <row r="33" spans="1:8" ht="15.75" customHeight="1" x14ac:dyDescent="0.25">
      <c r="A33" s="396">
        <v>44700</v>
      </c>
      <c r="B33" s="387" t="s">
        <v>2350</v>
      </c>
      <c r="C33" s="388">
        <v>52</v>
      </c>
      <c r="D33" s="389" t="s">
        <v>25</v>
      </c>
      <c r="E33" s="389" t="s">
        <v>2347</v>
      </c>
      <c r="F33" s="389" t="s">
        <v>2348</v>
      </c>
      <c r="G33" s="389" t="s">
        <v>2351</v>
      </c>
      <c r="H33" s="383"/>
    </row>
    <row r="34" spans="1:8" ht="15.75" customHeight="1" x14ac:dyDescent="0.25">
      <c r="A34" s="396">
        <v>44701</v>
      </c>
      <c r="B34" s="387" t="s">
        <v>2352</v>
      </c>
      <c r="C34" s="388">
        <v>30</v>
      </c>
      <c r="D34" s="389" t="s">
        <v>2353</v>
      </c>
      <c r="E34" s="389" t="s">
        <v>2354</v>
      </c>
      <c r="F34" s="389" t="s">
        <v>2355</v>
      </c>
      <c r="G34" s="389" t="s">
        <v>2356</v>
      </c>
      <c r="H34" s="383"/>
    </row>
    <row r="35" spans="1:8" ht="15.75" customHeight="1" x14ac:dyDescent="0.25">
      <c r="A35" s="396">
        <v>44703</v>
      </c>
      <c r="B35" s="387" t="s">
        <v>2357</v>
      </c>
      <c r="C35" s="388">
        <v>60</v>
      </c>
      <c r="D35" s="389" t="s">
        <v>204</v>
      </c>
      <c r="E35" s="389" t="s">
        <v>2358</v>
      </c>
      <c r="F35" s="389" t="s">
        <v>2359</v>
      </c>
      <c r="G35" s="389"/>
      <c r="H35" s="383"/>
    </row>
    <row r="36" spans="1:8" ht="15.75" customHeight="1" x14ac:dyDescent="0.25">
      <c r="A36" s="396">
        <v>44704</v>
      </c>
      <c r="B36" s="387" t="s">
        <v>2360</v>
      </c>
      <c r="C36" s="388">
        <v>36</v>
      </c>
      <c r="D36" s="389" t="s">
        <v>2361</v>
      </c>
      <c r="E36" s="389" t="s">
        <v>2046</v>
      </c>
      <c r="F36" s="389" t="s">
        <v>2362</v>
      </c>
      <c r="G36" s="389" t="s">
        <v>2363</v>
      </c>
      <c r="H36" s="383"/>
    </row>
    <row r="37" spans="1:8" ht="63" x14ac:dyDescent="0.25">
      <c r="A37" s="396">
        <v>44707</v>
      </c>
      <c r="B37" s="387" t="s">
        <v>2364</v>
      </c>
      <c r="C37" s="388">
        <v>34</v>
      </c>
      <c r="D37" s="389" t="s">
        <v>2365</v>
      </c>
      <c r="E37" s="389" t="s">
        <v>2366</v>
      </c>
      <c r="F37" s="389" t="s">
        <v>2367</v>
      </c>
      <c r="G37" s="389" t="s">
        <v>2368</v>
      </c>
      <c r="H37" s="383"/>
    </row>
    <row r="38" spans="1:8" ht="47.25" x14ac:dyDescent="0.25">
      <c r="A38" s="396">
        <v>44713</v>
      </c>
      <c r="B38" s="387" t="s">
        <v>2369</v>
      </c>
      <c r="C38" s="388">
        <v>52</v>
      </c>
      <c r="D38" s="389" t="s">
        <v>25</v>
      </c>
      <c r="E38" s="389" t="s">
        <v>1548</v>
      </c>
      <c r="F38" s="389" t="s">
        <v>2370</v>
      </c>
      <c r="G38" s="389" t="s">
        <v>2371</v>
      </c>
      <c r="H38" s="383"/>
    </row>
    <row r="39" spans="1:8" ht="63" x14ac:dyDescent="0.25">
      <c r="A39" s="396">
        <v>44714</v>
      </c>
      <c r="B39" s="387" t="s">
        <v>2372</v>
      </c>
      <c r="C39" s="388">
        <v>60</v>
      </c>
      <c r="D39" s="389" t="s">
        <v>1660</v>
      </c>
      <c r="E39" s="389" t="s">
        <v>2335</v>
      </c>
      <c r="F39" s="389" t="s">
        <v>2373</v>
      </c>
      <c r="G39" s="389" t="s">
        <v>2374</v>
      </c>
      <c r="H39" s="383"/>
    </row>
    <row r="40" spans="1:8" ht="47.25" x14ac:dyDescent="0.25">
      <c r="A40" s="396">
        <v>44718</v>
      </c>
      <c r="B40" s="387" t="s">
        <v>2375</v>
      </c>
      <c r="C40" s="388">
        <v>52</v>
      </c>
      <c r="D40" s="389" t="s">
        <v>25</v>
      </c>
      <c r="E40" s="389" t="s">
        <v>1548</v>
      </c>
      <c r="F40" s="389" t="s">
        <v>2376</v>
      </c>
      <c r="G40" s="389" t="s">
        <v>2371</v>
      </c>
      <c r="H40" s="383"/>
    </row>
    <row r="41" spans="1:8" ht="47.25" x14ac:dyDescent="0.25">
      <c r="A41" s="396">
        <v>44726</v>
      </c>
      <c r="B41" s="387" t="s">
        <v>2377</v>
      </c>
      <c r="C41" s="388">
        <v>52</v>
      </c>
      <c r="D41" s="389" t="s">
        <v>25</v>
      </c>
      <c r="E41" s="389" t="s">
        <v>1548</v>
      </c>
      <c r="F41" s="389" t="s">
        <v>2378</v>
      </c>
      <c r="G41" s="389" t="s">
        <v>2371</v>
      </c>
      <c r="H41" s="383"/>
    </row>
    <row r="42" spans="1:8" ht="47.25" x14ac:dyDescent="0.25">
      <c r="A42" s="396">
        <v>44746</v>
      </c>
      <c r="B42" s="387" t="s">
        <v>2379</v>
      </c>
      <c r="C42" s="388">
        <v>52</v>
      </c>
      <c r="D42" s="389" t="s">
        <v>25</v>
      </c>
      <c r="E42" s="389" t="s">
        <v>1548</v>
      </c>
      <c r="F42" s="389" t="s">
        <v>2380</v>
      </c>
      <c r="G42" s="389" t="s">
        <v>2381</v>
      </c>
      <c r="H42" s="383"/>
    </row>
    <row r="43" spans="1:8" ht="15" x14ac:dyDescent="0.2">
      <c r="A43" s="397"/>
      <c r="B43" s="392"/>
      <c r="H43" s="383"/>
    </row>
    <row r="44" spans="1:8" ht="15" x14ac:dyDescent="0.2">
      <c r="A44" s="397"/>
      <c r="B44" s="392"/>
      <c r="H44" s="383"/>
    </row>
    <row r="45" spans="1:8" ht="15" x14ac:dyDescent="0.2">
      <c r="A45" s="397"/>
      <c r="B45" s="392"/>
      <c r="H45" s="383"/>
    </row>
    <row r="46" spans="1:8" ht="15" x14ac:dyDescent="0.2">
      <c r="A46" s="397"/>
      <c r="B46" s="392"/>
      <c r="H46" s="383"/>
    </row>
    <row r="47" spans="1:8" ht="15" x14ac:dyDescent="0.2">
      <c r="A47" s="397"/>
      <c r="B47" s="392"/>
      <c r="H47" s="383"/>
    </row>
    <row r="48" spans="1:8" ht="15" x14ac:dyDescent="0.2">
      <c r="A48" s="397"/>
      <c r="B48" s="392"/>
      <c r="H48" s="383"/>
    </row>
    <row r="49" spans="1:8" ht="15" x14ac:dyDescent="0.2">
      <c r="A49" s="397"/>
      <c r="B49" s="392"/>
      <c r="H49" s="383"/>
    </row>
    <row r="50" spans="1:8" ht="15" x14ac:dyDescent="0.2">
      <c r="A50" s="397"/>
      <c r="B50" s="392"/>
      <c r="H50" s="383"/>
    </row>
    <row r="51" spans="1:8" ht="15" x14ac:dyDescent="0.2">
      <c r="A51" s="397"/>
      <c r="B51" s="392"/>
      <c r="H51" s="383"/>
    </row>
    <row r="52" spans="1:8" ht="15" x14ac:dyDescent="0.2">
      <c r="A52" s="397"/>
      <c r="B52" s="392"/>
      <c r="H52" s="383"/>
    </row>
    <row r="53" spans="1:8" ht="15" x14ac:dyDescent="0.2">
      <c r="A53" s="397"/>
      <c r="B53" s="392"/>
      <c r="H53" s="383"/>
    </row>
    <row r="54" spans="1:8" ht="15" x14ac:dyDescent="0.2">
      <c r="A54" s="397"/>
      <c r="B54" s="392"/>
      <c r="H54" s="383"/>
    </row>
    <row r="55" spans="1:8" ht="15" x14ac:dyDescent="0.2">
      <c r="A55" s="397"/>
      <c r="B55" s="392"/>
      <c r="H55" s="383"/>
    </row>
    <row r="56" spans="1:8" ht="15" x14ac:dyDescent="0.2">
      <c r="A56" s="397"/>
      <c r="B56" s="392"/>
      <c r="H56" s="383"/>
    </row>
    <row r="57" spans="1:8" ht="15" x14ac:dyDescent="0.2">
      <c r="A57" s="397"/>
      <c r="B57" s="392"/>
      <c r="H57" s="383"/>
    </row>
    <row r="58" spans="1:8" ht="15" x14ac:dyDescent="0.2">
      <c r="A58" s="397"/>
      <c r="B58" s="392"/>
      <c r="H58" s="383"/>
    </row>
    <row r="59" spans="1:8" ht="15" x14ac:dyDescent="0.2">
      <c r="A59" s="397"/>
      <c r="B59" s="392"/>
      <c r="H59" s="383"/>
    </row>
    <row r="60" spans="1:8" ht="15" x14ac:dyDescent="0.2">
      <c r="A60" s="397"/>
      <c r="B60" s="392"/>
      <c r="H60" s="383"/>
    </row>
    <row r="61" spans="1:8" ht="15" x14ac:dyDescent="0.2">
      <c r="A61" s="397"/>
      <c r="B61" s="392"/>
      <c r="H61" s="3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A56"/>
  <sheetViews>
    <sheetView workbookViewId="0">
      <pane ySplit="3" topLeftCell="A4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style="401"/>
    <col min="2" max="2" width="30.85546875" style="401" customWidth="1"/>
    <col min="3" max="9" width="12.5703125" style="401"/>
    <col min="10" max="10" width="15.28515625" style="401" bestFit="1" customWidth="1"/>
    <col min="11" max="16384" width="12.5703125" style="401"/>
  </cols>
  <sheetData>
    <row r="1" spans="1:27" ht="15.75" customHeight="1" x14ac:dyDescent="0.2">
      <c r="A1" s="399"/>
      <c r="B1" s="405" t="s">
        <v>28</v>
      </c>
      <c r="C1" s="400" t="s">
        <v>2382</v>
      </c>
      <c r="D1" s="400"/>
      <c r="E1" s="406" t="s">
        <v>2383</v>
      </c>
      <c r="F1" s="400" t="s">
        <v>2384</v>
      </c>
      <c r="G1" s="406" t="s">
        <v>2385</v>
      </c>
      <c r="H1" s="406" t="s">
        <v>2386</v>
      </c>
      <c r="I1" s="400"/>
      <c r="J1" s="400"/>
      <c r="K1" s="400"/>
      <c r="L1" s="400"/>
    </row>
    <row r="2" spans="1:27" ht="15.75" customHeight="1" x14ac:dyDescent="0.2">
      <c r="A2" s="399" t="s">
        <v>7</v>
      </c>
      <c r="B2" s="400" t="s">
        <v>2387</v>
      </c>
      <c r="C2" s="406" t="s">
        <v>2388</v>
      </c>
      <c r="D2" s="406" t="s">
        <v>2389</v>
      </c>
      <c r="E2" s="406" t="s">
        <v>2390</v>
      </c>
      <c r="F2" s="400" t="s">
        <v>2391</v>
      </c>
      <c r="G2" s="406" t="s">
        <v>2392</v>
      </c>
      <c r="H2" s="406"/>
      <c r="I2" s="407" t="s">
        <v>2393</v>
      </c>
      <c r="J2" s="400"/>
      <c r="K2" s="400"/>
      <c r="L2" s="400"/>
    </row>
    <row r="3" spans="1:27" ht="15.75" customHeight="1" x14ac:dyDescent="0.2">
      <c r="A3" s="399" t="s">
        <v>7</v>
      </c>
      <c r="B3" s="400" t="s">
        <v>2387</v>
      </c>
      <c r="C3" s="406" t="s">
        <v>2388</v>
      </c>
      <c r="D3" s="406" t="s">
        <v>2389</v>
      </c>
      <c r="E3" s="406" t="s">
        <v>2390</v>
      </c>
      <c r="F3" s="406" t="s">
        <v>2391</v>
      </c>
      <c r="G3" s="406" t="s">
        <v>2394</v>
      </c>
      <c r="H3" s="406" t="s">
        <v>2395</v>
      </c>
      <c r="I3" s="406" t="s">
        <v>2396</v>
      </c>
      <c r="J3" s="406" t="s">
        <v>2397</v>
      </c>
      <c r="K3" s="400"/>
      <c r="L3" s="400"/>
      <c r="M3" s="400"/>
      <c r="N3" s="400"/>
      <c r="O3" s="400"/>
      <c r="P3" s="400"/>
      <c r="Q3" s="400"/>
      <c r="R3" s="400"/>
      <c r="S3" s="400"/>
      <c r="T3" s="400"/>
      <c r="U3" s="400"/>
      <c r="V3" s="400"/>
      <c r="W3" s="400"/>
      <c r="X3" s="400"/>
      <c r="Y3" s="400"/>
      <c r="Z3" s="400"/>
      <c r="AA3" s="400"/>
    </row>
    <row r="4" spans="1:27" ht="15.75" customHeight="1" x14ac:dyDescent="0.2">
      <c r="A4" s="408" t="s">
        <v>2398</v>
      </c>
      <c r="B4" s="402" t="s">
        <v>2399</v>
      </c>
      <c r="C4" s="409">
        <v>48</v>
      </c>
      <c r="D4" s="409">
        <v>30</v>
      </c>
      <c r="E4" s="409">
        <v>30</v>
      </c>
      <c r="F4" s="408" t="s">
        <v>2400</v>
      </c>
      <c r="G4" s="409">
        <v>5</v>
      </c>
      <c r="H4" s="410">
        <f t="shared" ref="H4:H6" si="0">((((C4*D4*E4)/432)*F4)*G4)</f>
        <v>383</v>
      </c>
      <c r="I4" s="409">
        <v>8279</v>
      </c>
      <c r="J4" s="411">
        <v>44501</v>
      </c>
      <c r="K4" s="402" t="s">
        <v>2401</v>
      </c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</row>
    <row r="5" spans="1:27" ht="15.75" customHeight="1" x14ac:dyDescent="0.2">
      <c r="A5" s="408" t="s">
        <v>2398</v>
      </c>
      <c r="B5" s="402" t="s">
        <v>2399</v>
      </c>
      <c r="C5" s="409">
        <v>48</v>
      </c>
      <c r="D5" s="409">
        <v>24</v>
      </c>
      <c r="E5" s="409">
        <v>30</v>
      </c>
      <c r="F5" s="408" t="s">
        <v>2402</v>
      </c>
      <c r="G5" s="409">
        <v>12</v>
      </c>
      <c r="H5" s="410">
        <f t="shared" si="0"/>
        <v>800.64</v>
      </c>
      <c r="I5" s="409">
        <v>8526</v>
      </c>
      <c r="J5" s="411">
        <v>44593</v>
      </c>
      <c r="K5" s="402" t="s">
        <v>2403</v>
      </c>
      <c r="L5" s="402"/>
      <c r="M5" s="402"/>
      <c r="N5" s="402"/>
      <c r="O5" s="402"/>
      <c r="P5" s="402"/>
      <c r="Q5" s="402"/>
      <c r="R5" s="402"/>
      <c r="S5" s="402"/>
      <c r="T5" s="402"/>
      <c r="U5" s="402"/>
      <c r="V5" s="402"/>
      <c r="W5" s="402"/>
      <c r="X5" s="402"/>
      <c r="Y5" s="402"/>
      <c r="Z5" s="402"/>
      <c r="AA5" s="402"/>
    </row>
    <row r="6" spans="1:27" ht="15.75" customHeight="1" x14ac:dyDescent="0.2">
      <c r="A6" s="412" t="s">
        <v>2404</v>
      </c>
      <c r="B6" s="404" t="s">
        <v>2405</v>
      </c>
      <c r="C6" s="413">
        <v>59</v>
      </c>
      <c r="D6" s="413">
        <v>25</v>
      </c>
      <c r="E6" s="413">
        <v>40</v>
      </c>
      <c r="F6" s="412" t="s">
        <v>2406</v>
      </c>
      <c r="G6" s="413">
        <v>1</v>
      </c>
      <c r="H6" s="414">
        <f t="shared" si="0"/>
        <v>136.57407407407408</v>
      </c>
      <c r="I6" s="413">
        <v>7840</v>
      </c>
      <c r="J6" s="415">
        <v>44317</v>
      </c>
      <c r="K6" s="403" t="s">
        <v>2407</v>
      </c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</row>
    <row r="7" spans="1:27" ht="15.75" customHeight="1" x14ac:dyDescent="0.2">
      <c r="H7" s="416">
        <f>SUM(H4:H6)</f>
        <v>1320.214074074074</v>
      </c>
    </row>
    <row r="8" spans="1:27" ht="15.75" customHeight="1" x14ac:dyDescent="0.2">
      <c r="B8" s="417" t="s">
        <v>2408</v>
      </c>
    </row>
    <row r="9" spans="1:27" ht="15.75" customHeight="1" x14ac:dyDescent="0.2">
      <c r="A9" s="399" t="s">
        <v>2409</v>
      </c>
      <c r="B9" s="400" t="s">
        <v>2410</v>
      </c>
      <c r="C9" s="406">
        <v>60</v>
      </c>
      <c r="D9" s="406">
        <v>30</v>
      </c>
      <c r="E9" s="406">
        <v>40</v>
      </c>
      <c r="F9" s="418">
        <v>0.5</v>
      </c>
      <c r="G9" s="406">
        <v>9</v>
      </c>
      <c r="H9" s="419">
        <f t="shared" ref="H9:H22" si="1">((((C9*D9*E9)/432)*F9)*G9)</f>
        <v>750</v>
      </c>
      <c r="I9" s="406">
        <v>8540</v>
      </c>
      <c r="J9" s="420">
        <v>44593</v>
      </c>
      <c r="K9" s="400"/>
      <c r="L9" s="400"/>
    </row>
    <row r="10" spans="1:27" ht="15.75" customHeight="1" x14ac:dyDescent="0.2">
      <c r="A10" s="399" t="s">
        <v>2411</v>
      </c>
      <c r="B10" s="400" t="s">
        <v>2412</v>
      </c>
      <c r="C10" s="406">
        <v>60</v>
      </c>
      <c r="D10" s="406">
        <v>30</v>
      </c>
      <c r="E10" s="406">
        <v>45</v>
      </c>
      <c r="F10" s="418">
        <v>0.5</v>
      </c>
      <c r="G10" s="406">
        <v>3</v>
      </c>
      <c r="H10" s="419">
        <f t="shared" si="1"/>
        <v>281.25</v>
      </c>
      <c r="I10" s="406">
        <v>8544</v>
      </c>
      <c r="J10" s="420">
        <v>44593</v>
      </c>
      <c r="K10" s="400"/>
      <c r="L10" s="400"/>
    </row>
    <row r="11" spans="1:27" ht="15.75" customHeight="1" x14ac:dyDescent="0.2">
      <c r="A11" s="399" t="s">
        <v>2413</v>
      </c>
      <c r="B11" s="400" t="s">
        <v>2414</v>
      </c>
      <c r="C11" s="406">
        <v>36</v>
      </c>
      <c r="D11" s="406">
        <v>36</v>
      </c>
      <c r="E11" s="406">
        <v>45</v>
      </c>
      <c r="F11" s="418">
        <v>1</v>
      </c>
      <c r="G11" s="406">
        <v>3</v>
      </c>
      <c r="H11" s="419">
        <f t="shared" si="1"/>
        <v>405</v>
      </c>
      <c r="I11" s="406">
        <v>8263</v>
      </c>
      <c r="J11" s="421">
        <v>44470</v>
      </c>
      <c r="K11" s="400"/>
      <c r="L11" s="400"/>
    </row>
    <row r="12" spans="1:27" ht="15.75" customHeight="1" x14ac:dyDescent="0.2">
      <c r="A12" s="399" t="s">
        <v>2415</v>
      </c>
      <c r="B12" s="400" t="s">
        <v>2416</v>
      </c>
      <c r="C12" s="406">
        <v>60</v>
      </c>
      <c r="D12" s="406">
        <v>30</v>
      </c>
      <c r="E12" s="406">
        <v>40</v>
      </c>
      <c r="F12" s="418">
        <v>0.5</v>
      </c>
      <c r="G12" s="406">
        <v>5</v>
      </c>
      <c r="H12" s="419">
        <f t="shared" si="1"/>
        <v>416.66666666666663</v>
      </c>
      <c r="I12" s="406">
        <v>8404</v>
      </c>
      <c r="J12" s="420">
        <v>44531</v>
      </c>
      <c r="K12" s="400"/>
      <c r="L12" s="400"/>
    </row>
    <row r="13" spans="1:27" ht="15.75" customHeight="1" x14ac:dyDescent="0.2">
      <c r="A13" s="399" t="s">
        <v>2417</v>
      </c>
      <c r="B13" s="400" t="s">
        <v>2418</v>
      </c>
      <c r="C13" s="406">
        <v>60</v>
      </c>
      <c r="D13" s="406">
        <v>32</v>
      </c>
      <c r="E13" s="406">
        <v>39</v>
      </c>
      <c r="F13" s="418">
        <v>1</v>
      </c>
      <c r="G13" s="406">
        <v>13</v>
      </c>
      <c r="H13" s="419">
        <f t="shared" si="1"/>
        <v>2253.3333333333335</v>
      </c>
      <c r="I13" s="406">
        <v>8445</v>
      </c>
      <c r="J13" s="420">
        <v>44562</v>
      </c>
      <c r="K13" s="400"/>
      <c r="L13" s="400"/>
    </row>
    <row r="14" spans="1:27" ht="15.75" customHeight="1" x14ac:dyDescent="0.2">
      <c r="A14" s="399" t="s">
        <v>2417</v>
      </c>
      <c r="B14" s="400" t="s">
        <v>2418</v>
      </c>
      <c r="C14" s="406">
        <v>60</v>
      </c>
      <c r="D14" s="406">
        <v>30</v>
      </c>
      <c r="E14" s="406">
        <v>39</v>
      </c>
      <c r="F14" s="418">
        <v>1</v>
      </c>
      <c r="G14" s="406">
        <v>8.5</v>
      </c>
      <c r="H14" s="419">
        <f t="shared" si="1"/>
        <v>1381.25</v>
      </c>
      <c r="I14" s="406">
        <v>8445</v>
      </c>
      <c r="J14" s="420">
        <v>44562</v>
      </c>
      <c r="K14" s="400"/>
      <c r="L14" s="400"/>
    </row>
    <row r="15" spans="1:27" ht="15.75" customHeight="1" x14ac:dyDescent="0.2">
      <c r="A15" s="399" t="s">
        <v>2419</v>
      </c>
      <c r="B15" s="400" t="s">
        <v>2420</v>
      </c>
      <c r="C15" s="406">
        <v>60</v>
      </c>
      <c r="D15" s="406">
        <v>30</v>
      </c>
      <c r="E15" s="406">
        <v>39</v>
      </c>
      <c r="F15" s="399" t="s">
        <v>2406</v>
      </c>
      <c r="G15" s="406">
        <v>3</v>
      </c>
      <c r="H15" s="419">
        <f t="shared" si="1"/>
        <v>487.5</v>
      </c>
      <c r="I15" s="406">
        <v>8562</v>
      </c>
      <c r="J15" s="420">
        <v>44621</v>
      </c>
      <c r="K15" s="400"/>
      <c r="L15" s="400"/>
    </row>
    <row r="16" spans="1:27" ht="15.75" customHeight="1" x14ac:dyDescent="0.2">
      <c r="A16" s="399" t="s">
        <v>2421</v>
      </c>
      <c r="B16" s="400" t="s">
        <v>2422</v>
      </c>
      <c r="C16" s="406">
        <v>60</v>
      </c>
      <c r="D16" s="406">
        <v>30</v>
      </c>
      <c r="E16" s="406">
        <v>39</v>
      </c>
      <c r="F16" s="399" t="s">
        <v>2406</v>
      </c>
      <c r="G16" s="406">
        <v>7</v>
      </c>
      <c r="H16" s="419">
        <f t="shared" si="1"/>
        <v>1137.5</v>
      </c>
      <c r="I16" s="406">
        <v>8446</v>
      </c>
      <c r="J16" s="420">
        <v>44562</v>
      </c>
      <c r="K16" s="400"/>
      <c r="L16" s="400"/>
    </row>
    <row r="17" spans="1:12" ht="15.75" customHeight="1" x14ac:dyDescent="0.2">
      <c r="A17" s="399" t="s">
        <v>2421</v>
      </c>
      <c r="B17" s="400" t="s">
        <v>2422</v>
      </c>
      <c r="C17" s="406">
        <v>40</v>
      </c>
      <c r="D17" s="406">
        <v>30</v>
      </c>
      <c r="E17" s="406">
        <v>39</v>
      </c>
      <c r="F17" s="399" t="s">
        <v>2406</v>
      </c>
      <c r="G17" s="406">
        <v>2</v>
      </c>
      <c r="H17" s="419">
        <f t="shared" si="1"/>
        <v>216.66666666666666</v>
      </c>
      <c r="I17" s="406">
        <v>8350</v>
      </c>
      <c r="J17" s="420">
        <v>44501</v>
      </c>
      <c r="K17" s="400"/>
      <c r="L17" s="400"/>
    </row>
    <row r="18" spans="1:12" ht="15.75" customHeight="1" x14ac:dyDescent="0.2">
      <c r="A18" s="399" t="s">
        <v>2423</v>
      </c>
      <c r="B18" s="400" t="s">
        <v>2424</v>
      </c>
      <c r="C18" s="406">
        <v>60</v>
      </c>
      <c r="D18" s="406">
        <v>24</v>
      </c>
      <c r="E18" s="406">
        <v>20</v>
      </c>
      <c r="F18" s="399" t="s">
        <v>2406</v>
      </c>
      <c r="G18" s="406">
        <v>5</v>
      </c>
      <c r="H18" s="419">
        <f t="shared" si="1"/>
        <v>333.33333333333337</v>
      </c>
      <c r="I18" s="406">
        <v>8537</v>
      </c>
      <c r="J18" s="420">
        <v>44593</v>
      </c>
      <c r="K18" s="400"/>
      <c r="L18" s="400"/>
    </row>
    <row r="19" spans="1:12" ht="15.75" customHeight="1" x14ac:dyDescent="0.2">
      <c r="A19" s="399" t="s">
        <v>2425</v>
      </c>
      <c r="B19" s="400" t="s">
        <v>2426</v>
      </c>
      <c r="C19" s="406">
        <v>60</v>
      </c>
      <c r="D19" s="406">
        <v>28</v>
      </c>
      <c r="E19" s="406">
        <v>20</v>
      </c>
      <c r="F19" s="399" t="s">
        <v>2427</v>
      </c>
      <c r="G19" s="406">
        <v>30</v>
      </c>
      <c r="H19" s="419">
        <f t="shared" si="1"/>
        <v>2216.6666666666665</v>
      </c>
      <c r="I19" s="406">
        <v>8535</v>
      </c>
      <c r="J19" s="420">
        <v>44593</v>
      </c>
      <c r="K19" s="400"/>
      <c r="L19" s="400"/>
    </row>
    <row r="20" spans="1:12" ht="15.75" customHeight="1" x14ac:dyDescent="0.2">
      <c r="A20" s="399" t="s">
        <v>2425</v>
      </c>
      <c r="B20" s="400" t="s">
        <v>2426</v>
      </c>
      <c r="C20" s="406">
        <v>60</v>
      </c>
      <c r="D20" s="406">
        <v>24</v>
      </c>
      <c r="E20" s="406">
        <v>20</v>
      </c>
      <c r="F20" s="399" t="s">
        <v>2427</v>
      </c>
      <c r="G20" s="406">
        <v>32</v>
      </c>
      <c r="H20" s="419">
        <f t="shared" si="1"/>
        <v>2026.6666666666667</v>
      </c>
      <c r="I20" s="406">
        <v>8535</v>
      </c>
      <c r="J20" s="420">
        <v>44593</v>
      </c>
      <c r="K20" s="400"/>
      <c r="L20" s="400"/>
    </row>
    <row r="21" spans="1:12" ht="15.75" customHeight="1" x14ac:dyDescent="0.2">
      <c r="A21" s="399" t="s">
        <v>2428</v>
      </c>
      <c r="B21" s="400" t="s">
        <v>2429</v>
      </c>
      <c r="C21" s="406">
        <v>40</v>
      </c>
      <c r="D21" s="406">
        <v>30</v>
      </c>
      <c r="E21" s="406">
        <v>39</v>
      </c>
      <c r="F21" s="399" t="s">
        <v>2427</v>
      </c>
      <c r="G21" s="406">
        <v>10</v>
      </c>
      <c r="H21" s="419">
        <f t="shared" si="1"/>
        <v>1029.1666666666665</v>
      </c>
      <c r="I21" s="406">
        <v>8483</v>
      </c>
      <c r="J21" s="420">
        <v>44562</v>
      </c>
      <c r="K21" s="400"/>
      <c r="L21" s="400"/>
    </row>
    <row r="22" spans="1:12" ht="15.75" customHeight="1" x14ac:dyDescent="0.2">
      <c r="A22" s="422" t="s">
        <v>2430</v>
      </c>
      <c r="B22" s="423" t="s">
        <v>2431</v>
      </c>
      <c r="C22" s="424">
        <v>54</v>
      </c>
      <c r="D22" s="424">
        <v>30</v>
      </c>
      <c r="E22" s="425">
        <v>40</v>
      </c>
      <c r="F22" s="426" t="s">
        <v>2406</v>
      </c>
      <c r="G22" s="424">
        <v>12</v>
      </c>
      <c r="H22" s="419">
        <f t="shared" si="1"/>
        <v>1800</v>
      </c>
      <c r="I22" s="424">
        <v>8479</v>
      </c>
      <c r="J22" s="427">
        <v>44621</v>
      </c>
      <c r="K22" s="400"/>
      <c r="L22" s="400"/>
    </row>
    <row r="24" spans="1:12" ht="15.75" customHeight="1" x14ac:dyDescent="0.2">
      <c r="B24" s="401" t="s">
        <v>2432</v>
      </c>
    </row>
    <row r="25" spans="1:12" ht="15.75" customHeight="1" x14ac:dyDescent="0.2">
      <c r="A25" s="399" t="s">
        <v>2409</v>
      </c>
      <c r="B25" s="400" t="s">
        <v>2433</v>
      </c>
      <c r="C25" s="406">
        <v>60</v>
      </c>
      <c r="D25" s="406">
        <v>30</v>
      </c>
      <c r="E25" s="406">
        <v>40</v>
      </c>
      <c r="F25" s="418">
        <v>0.5</v>
      </c>
      <c r="G25" s="406">
        <v>4</v>
      </c>
      <c r="H25" s="419">
        <f t="shared" ref="H25:H34" si="2">((((C25*D25*E25)/432)*F25)*G25)</f>
        <v>333.33333333333331</v>
      </c>
      <c r="I25" s="406">
        <v>8317</v>
      </c>
      <c r="J25" s="420">
        <v>44501</v>
      </c>
      <c r="K25" s="400"/>
      <c r="L25" s="400"/>
    </row>
    <row r="26" spans="1:12" ht="15.75" customHeight="1" x14ac:dyDescent="0.2">
      <c r="A26" s="399" t="s">
        <v>2434</v>
      </c>
      <c r="B26" s="400" t="s">
        <v>2435</v>
      </c>
      <c r="C26" s="406">
        <v>60</v>
      </c>
      <c r="D26" s="406">
        <v>30</v>
      </c>
      <c r="E26" s="406">
        <v>40</v>
      </c>
      <c r="F26" s="418">
        <v>0.95</v>
      </c>
      <c r="G26" s="406">
        <v>3</v>
      </c>
      <c r="H26" s="419">
        <f t="shared" si="2"/>
        <v>474.99999999999994</v>
      </c>
      <c r="I26" s="406">
        <v>8499</v>
      </c>
      <c r="J26" s="420">
        <v>44562</v>
      </c>
      <c r="K26" s="400"/>
      <c r="L26" s="400"/>
    </row>
    <row r="27" spans="1:12" ht="15.75" customHeight="1" x14ac:dyDescent="0.2">
      <c r="A27" s="399" t="s">
        <v>2436</v>
      </c>
      <c r="B27" s="400" t="s">
        <v>2437</v>
      </c>
      <c r="C27" s="406">
        <v>60</v>
      </c>
      <c r="D27" s="406">
        <v>30</v>
      </c>
      <c r="E27" s="406">
        <v>50</v>
      </c>
      <c r="F27" s="418">
        <v>0.76600000000000001</v>
      </c>
      <c r="G27" s="406">
        <v>2</v>
      </c>
      <c r="H27" s="419">
        <f t="shared" si="2"/>
        <v>319.16666666666669</v>
      </c>
      <c r="I27" s="406">
        <v>8507</v>
      </c>
      <c r="J27" s="420">
        <v>44593</v>
      </c>
      <c r="K27" s="400"/>
      <c r="L27" s="400"/>
    </row>
    <row r="28" spans="1:12" ht="15.75" customHeight="1" x14ac:dyDescent="0.2">
      <c r="A28" s="399" t="s">
        <v>2438</v>
      </c>
      <c r="B28" s="400" t="s">
        <v>2439</v>
      </c>
      <c r="C28" s="406">
        <v>60</v>
      </c>
      <c r="D28" s="406">
        <v>30</v>
      </c>
      <c r="E28" s="406">
        <v>40</v>
      </c>
      <c r="F28" s="418">
        <v>0.5</v>
      </c>
      <c r="G28" s="406">
        <v>10</v>
      </c>
      <c r="H28" s="419">
        <f t="shared" si="2"/>
        <v>833.33333333333326</v>
      </c>
      <c r="I28" s="406">
        <v>8523</v>
      </c>
      <c r="J28" s="420">
        <v>44593</v>
      </c>
      <c r="K28" s="400"/>
      <c r="L28" s="400"/>
    </row>
    <row r="29" spans="1:12" ht="15.75" customHeight="1" x14ac:dyDescent="0.2">
      <c r="A29" s="399" t="s">
        <v>2415</v>
      </c>
      <c r="B29" s="400" t="s">
        <v>2416</v>
      </c>
      <c r="C29" s="406">
        <v>60</v>
      </c>
      <c r="D29" s="406">
        <v>36</v>
      </c>
      <c r="E29" s="406">
        <v>40</v>
      </c>
      <c r="F29" s="418">
        <v>0.5</v>
      </c>
      <c r="G29" s="406">
        <v>5</v>
      </c>
      <c r="H29" s="419">
        <f t="shared" si="2"/>
        <v>500</v>
      </c>
      <c r="I29" s="406">
        <v>8404</v>
      </c>
      <c r="J29" s="420">
        <v>44531</v>
      </c>
      <c r="K29" s="400"/>
      <c r="L29" s="400"/>
    </row>
    <row r="30" spans="1:12" ht="15.75" customHeight="1" x14ac:dyDescent="0.2">
      <c r="A30" s="399" t="s">
        <v>2419</v>
      </c>
      <c r="B30" s="400" t="s">
        <v>2420</v>
      </c>
      <c r="C30" s="406">
        <v>60</v>
      </c>
      <c r="D30" s="406">
        <v>30</v>
      </c>
      <c r="E30" s="406">
        <v>39</v>
      </c>
      <c r="F30" s="399" t="s">
        <v>2406</v>
      </c>
      <c r="G30" s="406">
        <v>3.5</v>
      </c>
      <c r="H30" s="419">
        <f t="shared" si="2"/>
        <v>568.75</v>
      </c>
      <c r="I30" s="406">
        <v>8463</v>
      </c>
      <c r="J30" s="420">
        <v>44562</v>
      </c>
      <c r="K30" s="400"/>
      <c r="L30" s="400"/>
    </row>
    <row r="31" spans="1:12" ht="15.75" customHeight="1" x14ac:dyDescent="0.2">
      <c r="A31" s="399" t="s">
        <v>2419</v>
      </c>
      <c r="B31" s="400" t="s">
        <v>2420</v>
      </c>
      <c r="C31" s="406">
        <v>60</v>
      </c>
      <c r="D31" s="406">
        <v>30</v>
      </c>
      <c r="E31" s="406">
        <v>39</v>
      </c>
      <c r="F31" s="399" t="s">
        <v>2406</v>
      </c>
      <c r="G31" s="406">
        <v>7</v>
      </c>
      <c r="H31" s="419">
        <f t="shared" si="2"/>
        <v>1137.5</v>
      </c>
      <c r="I31" s="406">
        <v>8447</v>
      </c>
      <c r="J31" s="420">
        <v>44562</v>
      </c>
      <c r="K31" s="400"/>
      <c r="L31" s="400"/>
    </row>
    <row r="32" spans="1:12" ht="15.75" customHeight="1" x14ac:dyDescent="0.2">
      <c r="A32" s="399" t="s">
        <v>2440</v>
      </c>
      <c r="B32" s="400" t="s">
        <v>2441</v>
      </c>
      <c r="C32" s="406">
        <v>56</v>
      </c>
      <c r="D32" s="406">
        <v>28</v>
      </c>
      <c r="E32" s="406">
        <v>20</v>
      </c>
      <c r="F32" s="399" t="s">
        <v>2427</v>
      </c>
      <c r="G32" s="406">
        <v>40</v>
      </c>
      <c r="H32" s="419">
        <f t="shared" si="2"/>
        <v>2758.5185185185182</v>
      </c>
      <c r="I32" s="406">
        <v>8531</v>
      </c>
      <c r="J32" s="420">
        <v>44593</v>
      </c>
      <c r="K32" s="400"/>
      <c r="L32" s="400"/>
    </row>
    <row r="33" spans="1:12" ht="15.75" customHeight="1" x14ac:dyDescent="0.2">
      <c r="A33" s="399" t="s">
        <v>2440</v>
      </c>
      <c r="B33" s="400" t="s">
        <v>2441</v>
      </c>
      <c r="C33" s="406">
        <v>56</v>
      </c>
      <c r="D33" s="406">
        <v>28</v>
      </c>
      <c r="E33" s="406">
        <v>20</v>
      </c>
      <c r="F33" s="399" t="s">
        <v>2427</v>
      </c>
      <c r="G33" s="406">
        <v>20</v>
      </c>
      <c r="H33" s="419">
        <f t="shared" si="2"/>
        <v>1379.2592592592591</v>
      </c>
      <c r="I33" s="406">
        <v>8511</v>
      </c>
      <c r="J33" s="420">
        <v>44593</v>
      </c>
      <c r="K33" s="400"/>
      <c r="L33" s="400"/>
    </row>
    <row r="34" spans="1:12" ht="15.75" customHeight="1" x14ac:dyDescent="0.2">
      <c r="A34" s="422" t="s">
        <v>2442</v>
      </c>
      <c r="B34" s="423" t="s">
        <v>2443</v>
      </c>
      <c r="C34" s="424">
        <v>51</v>
      </c>
      <c r="D34" s="424">
        <v>30</v>
      </c>
      <c r="E34" s="425">
        <v>45</v>
      </c>
      <c r="F34" s="426" t="s">
        <v>2444</v>
      </c>
      <c r="G34" s="424">
        <v>4</v>
      </c>
      <c r="H34" s="419">
        <f t="shared" si="2"/>
        <v>318.75</v>
      </c>
      <c r="I34" s="424">
        <v>8459</v>
      </c>
      <c r="J34" s="420">
        <v>44562</v>
      </c>
      <c r="K34" s="400"/>
      <c r="L34" s="400"/>
    </row>
    <row r="36" spans="1:12" ht="15.75" customHeight="1" x14ac:dyDescent="0.2">
      <c r="B36" s="401" t="s">
        <v>2445</v>
      </c>
    </row>
    <row r="37" spans="1:12" ht="15.75" customHeight="1" x14ac:dyDescent="0.2">
      <c r="A37" s="399" t="s">
        <v>2409</v>
      </c>
      <c r="B37" s="400" t="s">
        <v>2433</v>
      </c>
      <c r="C37" s="406">
        <v>60</v>
      </c>
      <c r="D37" s="406">
        <v>30</v>
      </c>
      <c r="E37" s="406">
        <v>40</v>
      </c>
      <c r="F37" s="418">
        <v>0.5</v>
      </c>
      <c r="G37" s="406">
        <v>5</v>
      </c>
      <c r="H37" s="419">
        <f t="shared" ref="H37:H54" si="3">((((C37*D37*E37)/432)*F37)*G37)</f>
        <v>416.66666666666663</v>
      </c>
      <c r="I37" s="406">
        <v>8164</v>
      </c>
      <c r="J37" s="420">
        <v>44501</v>
      </c>
      <c r="K37" s="400"/>
      <c r="L37" s="400"/>
    </row>
    <row r="38" spans="1:12" ht="15.75" customHeight="1" x14ac:dyDescent="0.2">
      <c r="A38" s="399" t="s">
        <v>2434</v>
      </c>
      <c r="B38" s="400" t="s">
        <v>2435</v>
      </c>
      <c r="C38" s="406">
        <v>60</v>
      </c>
      <c r="D38" s="406">
        <v>30</v>
      </c>
      <c r="E38" s="406">
        <v>40</v>
      </c>
      <c r="F38" s="418">
        <v>0.95</v>
      </c>
      <c r="G38" s="406">
        <v>2</v>
      </c>
      <c r="H38" s="419">
        <f t="shared" si="3"/>
        <v>316.66666666666663</v>
      </c>
      <c r="I38" s="406">
        <v>8394</v>
      </c>
      <c r="J38" s="420">
        <v>44531</v>
      </c>
      <c r="K38" s="400"/>
      <c r="L38" s="400"/>
    </row>
    <row r="39" spans="1:12" ht="15" x14ac:dyDescent="0.2">
      <c r="A39" s="399" t="s">
        <v>2411</v>
      </c>
      <c r="B39" s="400" t="s">
        <v>2412</v>
      </c>
      <c r="C39" s="406">
        <v>60</v>
      </c>
      <c r="D39" s="406">
        <v>30</v>
      </c>
      <c r="E39" s="406">
        <v>45</v>
      </c>
      <c r="F39" s="418">
        <v>0.5</v>
      </c>
      <c r="G39" s="406">
        <v>2</v>
      </c>
      <c r="H39" s="419">
        <f t="shared" si="3"/>
        <v>187.5</v>
      </c>
      <c r="I39" s="406">
        <v>8301</v>
      </c>
      <c r="J39" s="420">
        <v>44501</v>
      </c>
      <c r="K39" s="400"/>
      <c r="L39" s="400"/>
    </row>
    <row r="40" spans="1:12" ht="15" x14ac:dyDescent="0.2">
      <c r="A40" s="399" t="s">
        <v>2415</v>
      </c>
      <c r="B40" s="400" t="s">
        <v>2416</v>
      </c>
      <c r="C40" s="406">
        <v>60</v>
      </c>
      <c r="D40" s="406">
        <v>28</v>
      </c>
      <c r="E40" s="406">
        <v>40</v>
      </c>
      <c r="F40" s="418">
        <v>0.5</v>
      </c>
      <c r="G40" s="406">
        <v>3</v>
      </c>
      <c r="H40" s="419">
        <f t="shared" si="3"/>
        <v>233.33333333333331</v>
      </c>
      <c r="I40" s="406">
        <v>8371</v>
      </c>
      <c r="J40" s="420">
        <v>44501</v>
      </c>
      <c r="K40" s="400"/>
      <c r="L40" s="400"/>
    </row>
    <row r="41" spans="1:12" ht="15" x14ac:dyDescent="0.2">
      <c r="A41" s="399" t="s">
        <v>2417</v>
      </c>
      <c r="B41" s="400" t="s">
        <v>2418</v>
      </c>
      <c r="C41" s="406">
        <v>60</v>
      </c>
      <c r="D41" s="406">
        <v>30</v>
      </c>
      <c r="E41" s="406">
        <v>39</v>
      </c>
      <c r="F41" s="418">
        <v>1</v>
      </c>
      <c r="G41" s="406">
        <v>1</v>
      </c>
      <c r="H41" s="419">
        <f t="shared" si="3"/>
        <v>162.5</v>
      </c>
      <c r="I41" s="406">
        <v>8281</v>
      </c>
      <c r="J41" s="421">
        <v>44470</v>
      </c>
      <c r="K41" s="400"/>
      <c r="L41" s="400"/>
    </row>
    <row r="42" spans="1:12" ht="15" x14ac:dyDescent="0.2">
      <c r="A42" s="399" t="s">
        <v>2417</v>
      </c>
      <c r="B42" s="400" t="s">
        <v>2418</v>
      </c>
      <c r="C42" s="406">
        <v>60</v>
      </c>
      <c r="D42" s="406">
        <v>32</v>
      </c>
      <c r="E42" s="406">
        <v>39</v>
      </c>
      <c r="F42" s="418">
        <v>1</v>
      </c>
      <c r="G42" s="406">
        <v>1</v>
      </c>
      <c r="H42" s="419">
        <f t="shared" si="3"/>
        <v>173.33333333333334</v>
      </c>
      <c r="I42" s="406">
        <v>8281</v>
      </c>
      <c r="J42" s="421">
        <v>44470</v>
      </c>
      <c r="K42" s="400"/>
      <c r="L42" s="400"/>
    </row>
    <row r="43" spans="1:12" ht="15" x14ac:dyDescent="0.2">
      <c r="A43" s="399" t="s">
        <v>2417</v>
      </c>
      <c r="B43" s="400" t="s">
        <v>2418</v>
      </c>
      <c r="C43" s="406">
        <v>60</v>
      </c>
      <c r="D43" s="406">
        <v>32</v>
      </c>
      <c r="E43" s="406">
        <v>39</v>
      </c>
      <c r="F43" s="418">
        <v>1</v>
      </c>
      <c r="G43" s="406">
        <v>2</v>
      </c>
      <c r="H43" s="419">
        <f t="shared" si="3"/>
        <v>346.66666666666669</v>
      </c>
      <c r="I43" s="406">
        <v>8445</v>
      </c>
      <c r="J43" s="420">
        <v>44562</v>
      </c>
      <c r="K43" s="400"/>
      <c r="L43" s="400"/>
    </row>
    <row r="44" spans="1:12" ht="15" x14ac:dyDescent="0.2">
      <c r="A44" s="399" t="s">
        <v>2417</v>
      </c>
      <c r="B44" s="400" t="s">
        <v>2418</v>
      </c>
      <c r="C44" s="406">
        <v>60</v>
      </c>
      <c r="D44" s="406">
        <v>30</v>
      </c>
      <c r="E44" s="406">
        <v>39</v>
      </c>
      <c r="F44" s="418">
        <v>1</v>
      </c>
      <c r="G44" s="406">
        <v>7</v>
      </c>
      <c r="H44" s="419">
        <f t="shared" si="3"/>
        <v>1137.5</v>
      </c>
      <c r="I44" s="406">
        <v>8445</v>
      </c>
      <c r="J44" s="420">
        <v>44562</v>
      </c>
      <c r="K44" s="400"/>
      <c r="L44" s="400"/>
    </row>
    <row r="45" spans="1:12" ht="15" x14ac:dyDescent="0.2">
      <c r="A45" s="399" t="s">
        <v>2419</v>
      </c>
      <c r="B45" s="400" t="s">
        <v>2420</v>
      </c>
      <c r="C45" s="406">
        <v>60</v>
      </c>
      <c r="D45" s="406">
        <v>30</v>
      </c>
      <c r="E45" s="406">
        <v>39</v>
      </c>
      <c r="F45" s="399" t="s">
        <v>2406</v>
      </c>
      <c r="G45" s="406">
        <v>5</v>
      </c>
      <c r="H45" s="419">
        <f t="shared" si="3"/>
        <v>812.5</v>
      </c>
      <c r="I45" s="406">
        <v>8447</v>
      </c>
      <c r="J45" s="420">
        <v>44562</v>
      </c>
      <c r="K45" s="400"/>
      <c r="L45" s="400"/>
    </row>
    <row r="46" spans="1:12" ht="15" x14ac:dyDescent="0.2">
      <c r="A46" s="399" t="s">
        <v>2421</v>
      </c>
      <c r="B46" s="400" t="s">
        <v>2422</v>
      </c>
      <c r="C46" s="406">
        <v>40</v>
      </c>
      <c r="D46" s="406">
        <v>30</v>
      </c>
      <c r="E46" s="406">
        <v>39</v>
      </c>
      <c r="F46" s="406">
        <v>1</v>
      </c>
      <c r="G46" s="406">
        <v>2</v>
      </c>
      <c r="H46" s="419">
        <f t="shared" si="3"/>
        <v>216.66666666666666</v>
      </c>
      <c r="I46" s="406">
        <v>8350</v>
      </c>
      <c r="J46" s="420">
        <v>44501</v>
      </c>
      <c r="K46" s="400"/>
      <c r="L46" s="400"/>
    </row>
    <row r="47" spans="1:12" ht="15" x14ac:dyDescent="0.2">
      <c r="A47" s="399" t="s">
        <v>2440</v>
      </c>
      <c r="B47" s="400" t="s">
        <v>2441</v>
      </c>
      <c r="C47" s="406">
        <v>60</v>
      </c>
      <c r="D47" s="406">
        <v>32</v>
      </c>
      <c r="E47" s="406">
        <v>20</v>
      </c>
      <c r="F47" s="399" t="s">
        <v>2446</v>
      </c>
      <c r="G47" s="406">
        <v>5</v>
      </c>
      <c r="H47" s="419">
        <f t="shared" si="3"/>
        <v>422.22222222222223</v>
      </c>
      <c r="I47" s="406">
        <v>8287</v>
      </c>
      <c r="J47" s="428">
        <v>44470</v>
      </c>
      <c r="K47" s="400"/>
      <c r="L47" s="400"/>
    </row>
    <row r="48" spans="1:12" ht="15" x14ac:dyDescent="0.2">
      <c r="A48" s="399" t="s">
        <v>2440</v>
      </c>
      <c r="B48" s="400" t="s">
        <v>2441</v>
      </c>
      <c r="C48" s="406">
        <v>60</v>
      </c>
      <c r="D48" s="406">
        <v>30</v>
      </c>
      <c r="E48" s="406">
        <v>20</v>
      </c>
      <c r="F48" s="399" t="s">
        <v>2427</v>
      </c>
      <c r="G48" s="406">
        <v>8</v>
      </c>
      <c r="H48" s="419">
        <f t="shared" si="3"/>
        <v>633.33333333333326</v>
      </c>
      <c r="I48" s="406">
        <v>8469</v>
      </c>
      <c r="J48" s="420">
        <v>44562</v>
      </c>
      <c r="K48" s="400"/>
      <c r="L48" s="400"/>
    </row>
    <row r="49" spans="1:12" ht="15" x14ac:dyDescent="0.2">
      <c r="A49" s="399" t="s">
        <v>2440</v>
      </c>
      <c r="B49" s="400" t="s">
        <v>2441</v>
      </c>
      <c r="C49" s="406">
        <v>56</v>
      </c>
      <c r="D49" s="406">
        <v>28</v>
      </c>
      <c r="E49" s="406">
        <v>20</v>
      </c>
      <c r="F49" s="406">
        <v>0.95</v>
      </c>
      <c r="G49" s="406">
        <v>1</v>
      </c>
      <c r="H49" s="419">
        <f t="shared" si="3"/>
        <v>68.962962962962962</v>
      </c>
      <c r="I49" s="406">
        <v>8289</v>
      </c>
      <c r="J49" s="429">
        <v>44378</v>
      </c>
      <c r="K49" s="400"/>
      <c r="L49" s="400"/>
    </row>
    <row r="50" spans="1:12" ht="15" x14ac:dyDescent="0.2">
      <c r="A50" s="399" t="s">
        <v>2440</v>
      </c>
      <c r="B50" s="400" t="s">
        <v>2441</v>
      </c>
      <c r="C50" s="406">
        <v>60</v>
      </c>
      <c r="D50" s="406">
        <v>36</v>
      </c>
      <c r="E50" s="406">
        <v>20</v>
      </c>
      <c r="F50" s="399" t="s">
        <v>2427</v>
      </c>
      <c r="G50" s="406">
        <v>5</v>
      </c>
      <c r="H50" s="419">
        <f t="shared" si="3"/>
        <v>475</v>
      </c>
      <c r="I50" s="406">
        <v>8416</v>
      </c>
      <c r="J50" s="420">
        <v>44562</v>
      </c>
      <c r="K50" s="400"/>
      <c r="L50" s="400"/>
    </row>
    <row r="51" spans="1:12" ht="15" x14ac:dyDescent="0.2">
      <c r="A51" s="399" t="s">
        <v>2440</v>
      </c>
      <c r="B51" s="400" t="s">
        <v>2441</v>
      </c>
      <c r="C51" s="406">
        <v>60</v>
      </c>
      <c r="D51" s="406">
        <v>30</v>
      </c>
      <c r="E51" s="406">
        <v>20</v>
      </c>
      <c r="F51" s="406">
        <v>0.95</v>
      </c>
      <c r="G51" s="406">
        <v>20</v>
      </c>
      <c r="H51" s="419">
        <f t="shared" si="3"/>
        <v>1583.333333333333</v>
      </c>
      <c r="I51" s="406">
        <v>8416</v>
      </c>
      <c r="J51" s="428">
        <v>44562</v>
      </c>
      <c r="K51" s="400"/>
      <c r="L51" s="400"/>
    </row>
    <row r="52" spans="1:12" ht="15" x14ac:dyDescent="0.2">
      <c r="A52" s="422" t="s">
        <v>2428</v>
      </c>
      <c r="B52" s="423" t="s">
        <v>2447</v>
      </c>
      <c r="C52" s="424">
        <v>58</v>
      </c>
      <c r="D52" s="424">
        <v>30</v>
      </c>
      <c r="E52" s="425">
        <v>40</v>
      </c>
      <c r="F52" s="430">
        <v>1</v>
      </c>
      <c r="G52" s="424">
        <v>3.5</v>
      </c>
      <c r="H52" s="419">
        <f t="shared" si="3"/>
        <v>563.88888888888891</v>
      </c>
      <c r="I52" s="424">
        <v>8316</v>
      </c>
      <c r="J52" s="420">
        <v>44501</v>
      </c>
      <c r="K52" s="400"/>
      <c r="L52" s="400"/>
    </row>
    <row r="53" spans="1:12" ht="15" x14ac:dyDescent="0.2">
      <c r="A53" s="422" t="s">
        <v>2430</v>
      </c>
      <c r="B53" s="423" t="s">
        <v>2431</v>
      </c>
      <c r="C53" s="424">
        <v>54</v>
      </c>
      <c r="D53" s="424">
        <v>30</v>
      </c>
      <c r="E53" s="425">
        <v>40</v>
      </c>
      <c r="F53" s="430">
        <v>1</v>
      </c>
      <c r="G53" s="424">
        <v>16</v>
      </c>
      <c r="H53" s="419">
        <f t="shared" si="3"/>
        <v>2400</v>
      </c>
      <c r="I53" s="424">
        <v>8267</v>
      </c>
      <c r="J53" s="420">
        <v>44562</v>
      </c>
      <c r="K53" s="400"/>
      <c r="L53" s="400"/>
    </row>
    <row r="54" spans="1:12" ht="15" x14ac:dyDescent="0.2">
      <c r="A54" s="422" t="s">
        <v>2430</v>
      </c>
      <c r="B54" s="423" t="s">
        <v>2431</v>
      </c>
      <c r="C54" s="424">
        <v>54</v>
      </c>
      <c r="D54" s="424">
        <v>30</v>
      </c>
      <c r="E54" s="425">
        <v>40</v>
      </c>
      <c r="F54" s="426" t="s">
        <v>2406</v>
      </c>
      <c r="G54" s="424">
        <v>3</v>
      </c>
      <c r="H54" s="419">
        <f t="shared" si="3"/>
        <v>450</v>
      </c>
      <c r="I54" s="424">
        <v>8267</v>
      </c>
      <c r="J54" s="420">
        <v>44562</v>
      </c>
      <c r="K54" s="400"/>
      <c r="L54" s="400"/>
    </row>
    <row r="56" spans="1:12" ht="15" x14ac:dyDescent="0.2">
      <c r="A56" s="399" t="s">
        <v>2421</v>
      </c>
      <c r="B56" s="400" t="s">
        <v>2422</v>
      </c>
      <c r="C56" s="406">
        <v>60</v>
      </c>
      <c r="D56" s="406">
        <v>30</v>
      </c>
      <c r="E56" s="406">
        <v>39</v>
      </c>
      <c r="F56" s="399" t="s">
        <v>2406</v>
      </c>
      <c r="G56" s="406">
        <v>10</v>
      </c>
      <c r="H56" s="419">
        <f>((((C56*D56*E56)/432)*F56)*G56)</f>
        <v>1625</v>
      </c>
      <c r="I56" s="406">
        <v>8446</v>
      </c>
      <c r="J56" s="420">
        <v>44562</v>
      </c>
      <c r="K56" s="400"/>
      <c r="L56" s="400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32"/>
  <sheetViews>
    <sheetView workbookViewId="0">
      <selection activeCell="B6" sqref="B6"/>
    </sheetView>
  </sheetViews>
  <sheetFormatPr defaultColWidth="12.5703125" defaultRowHeight="15.75" customHeight="1" x14ac:dyDescent="0.2"/>
  <cols>
    <col min="1" max="1" width="12.5703125" style="436"/>
    <col min="2" max="2" width="27.28515625" style="436" customWidth="1"/>
    <col min="3" max="4" width="12.5703125" style="436"/>
    <col min="5" max="5" width="13.85546875" style="436" bestFit="1" customWidth="1"/>
    <col min="6" max="16384" width="12.5703125" style="436"/>
  </cols>
  <sheetData>
    <row r="1" spans="1:8" ht="15.75" customHeight="1" x14ac:dyDescent="0.2">
      <c r="A1" s="434" t="s">
        <v>2448</v>
      </c>
      <c r="B1" s="435"/>
      <c r="C1" s="435"/>
      <c r="D1" s="435"/>
      <c r="E1" s="435"/>
      <c r="F1" s="435"/>
      <c r="G1" s="435"/>
      <c r="H1" s="435"/>
    </row>
    <row r="2" spans="1:8" ht="15.75" customHeight="1" x14ac:dyDescent="0.2">
      <c r="A2" s="399" t="s">
        <v>7</v>
      </c>
      <c r="B2" s="400" t="s">
        <v>2387</v>
      </c>
      <c r="C2" s="406" t="s">
        <v>2388</v>
      </c>
      <c r="D2" s="406" t="s">
        <v>2389</v>
      </c>
      <c r="E2" s="406" t="s">
        <v>2390</v>
      </c>
      <c r="F2" s="406" t="s">
        <v>2391</v>
      </c>
      <c r="G2" s="406" t="s">
        <v>2394</v>
      </c>
      <c r="H2" s="406" t="s">
        <v>2395</v>
      </c>
    </row>
    <row r="3" spans="1:8" ht="15.75" customHeight="1" x14ac:dyDescent="0.2">
      <c r="A3" s="405"/>
      <c r="B3" s="405" t="s">
        <v>28</v>
      </c>
      <c r="C3" s="400" t="s">
        <v>2382</v>
      </c>
      <c r="D3" s="400"/>
      <c r="E3" s="437" t="s">
        <v>2383</v>
      </c>
      <c r="F3" s="438" t="s">
        <v>2384</v>
      </c>
      <c r="G3" s="406" t="s">
        <v>2385</v>
      </c>
      <c r="H3" s="406" t="s">
        <v>2386</v>
      </c>
    </row>
    <row r="4" spans="1:8" ht="15.75" customHeight="1" x14ac:dyDescent="0.2">
      <c r="A4" s="399" t="s">
        <v>2409</v>
      </c>
      <c r="B4" s="400" t="s">
        <v>2433</v>
      </c>
      <c r="C4" s="406">
        <v>60</v>
      </c>
      <c r="D4" s="406">
        <v>30</v>
      </c>
      <c r="E4" s="406">
        <v>40</v>
      </c>
      <c r="F4" s="418">
        <v>0.5</v>
      </c>
      <c r="G4" s="406">
        <v>8</v>
      </c>
      <c r="H4" s="419">
        <f t="shared" ref="H4:H30" si="0">((((C4*D4*E4)/432)*F4)*G4)</f>
        <v>666.66666666666663</v>
      </c>
    </row>
    <row r="5" spans="1:8" ht="15.75" customHeight="1" x14ac:dyDescent="0.2">
      <c r="A5" s="399" t="s">
        <v>2434</v>
      </c>
      <c r="B5" s="400" t="s">
        <v>2435</v>
      </c>
      <c r="C5" s="406">
        <v>60</v>
      </c>
      <c r="D5" s="406">
        <v>30</v>
      </c>
      <c r="E5" s="406">
        <v>40</v>
      </c>
      <c r="F5" s="418">
        <v>0.95</v>
      </c>
      <c r="G5" s="406">
        <v>6</v>
      </c>
      <c r="H5" s="419">
        <f t="shared" si="0"/>
        <v>949.99999999999989</v>
      </c>
    </row>
    <row r="6" spans="1:8" ht="15.75" customHeight="1" x14ac:dyDescent="0.2">
      <c r="A6" s="399" t="s">
        <v>2436</v>
      </c>
      <c r="B6" s="400" t="s">
        <v>2449</v>
      </c>
      <c r="C6" s="406">
        <v>60</v>
      </c>
      <c r="D6" s="406">
        <v>30</v>
      </c>
      <c r="E6" s="406">
        <v>47</v>
      </c>
      <c r="F6" s="418">
        <v>0.76600000000000001</v>
      </c>
      <c r="G6" s="406">
        <v>6</v>
      </c>
      <c r="H6" s="419">
        <f t="shared" si="0"/>
        <v>900.05000000000018</v>
      </c>
    </row>
    <row r="7" spans="1:8" ht="15.75" customHeight="1" x14ac:dyDescent="0.2">
      <c r="A7" s="399" t="s">
        <v>2438</v>
      </c>
      <c r="B7" s="400" t="s">
        <v>2439</v>
      </c>
      <c r="C7" s="406">
        <v>60</v>
      </c>
      <c r="D7" s="406">
        <v>30</v>
      </c>
      <c r="E7" s="406">
        <v>40</v>
      </c>
      <c r="F7" s="418">
        <v>0.5</v>
      </c>
      <c r="G7" s="406">
        <v>10</v>
      </c>
      <c r="H7" s="419">
        <f t="shared" si="0"/>
        <v>833.33333333333326</v>
      </c>
    </row>
    <row r="8" spans="1:8" ht="15.75" customHeight="1" x14ac:dyDescent="0.2">
      <c r="A8" s="399" t="s">
        <v>2438</v>
      </c>
      <c r="B8" s="400" t="s">
        <v>2450</v>
      </c>
      <c r="C8" s="406">
        <v>36</v>
      </c>
      <c r="D8" s="406">
        <v>36</v>
      </c>
      <c r="E8" s="406">
        <v>40</v>
      </c>
      <c r="F8" s="418">
        <v>1</v>
      </c>
      <c r="G8" s="406">
        <v>8</v>
      </c>
      <c r="H8" s="419">
        <f t="shared" si="0"/>
        <v>960</v>
      </c>
    </row>
    <row r="9" spans="1:8" ht="15.75" customHeight="1" x14ac:dyDescent="0.2">
      <c r="A9" s="399" t="s">
        <v>2411</v>
      </c>
      <c r="B9" s="400" t="s">
        <v>2412</v>
      </c>
      <c r="C9" s="406">
        <v>60</v>
      </c>
      <c r="D9" s="406">
        <v>30</v>
      </c>
      <c r="E9" s="406">
        <v>45</v>
      </c>
      <c r="F9" s="418">
        <v>0.5</v>
      </c>
      <c r="G9" s="406">
        <v>6</v>
      </c>
      <c r="H9" s="419">
        <f t="shared" si="0"/>
        <v>562.5</v>
      </c>
    </row>
    <row r="10" spans="1:8" ht="15.75" customHeight="1" x14ac:dyDescent="0.2">
      <c r="A10" s="399" t="s">
        <v>2411</v>
      </c>
      <c r="B10" s="400" t="s">
        <v>2412</v>
      </c>
      <c r="C10" s="406">
        <v>60</v>
      </c>
      <c r="D10" s="406">
        <v>36</v>
      </c>
      <c r="E10" s="406">
        <v>45</v>
      </c>
      <c r="F10" s="418">
        <v>0.5</v>
      </c>
      <c r="G10" s="406">
        <v>6</v>
      </c>
      <c r="H10" s="419">
        <f t="shared" si="0"/>
        <v>675</v>
      </c>
    </row>
    <row r="11" spans="1:8" ht="15.75" customHeight="1" x14ac:dyDescent="0.2">
      <c r="A11" s="399" t="s">
        <v>2411</v>
      </c>
      <c r="B11" s="400" t="s">
        <v>2412</v>
      </c>
      <c r="C11" s="406">
        <v>36</v>
      </c>
      <c r="D11" s="406">
        <v>36</v>
      </c>
      <c r="E11" s="406">
        <v>45</v>
      </c>
      <c r="F11" s="418">
        <v>0.5</v>
      </c>
      <c r="G11" s="406">
        <v>12</v>
      </c>
      <c r="H11" s="419">
        <f t="shared" si="0"/>
        <v>810</v>
      </c>
    </row>
    <row r="12" spans="1:8" ht="15.75" customHeight="1" x14ac:dyDescent="0.2">
      <c r="A12" s="399" t="s">
        <v>2415</v>
      </c>
      <c r="B12" s="400" t="s">
        <v>2416</v>
      </c>
      <c r="C12" s="406">
        <v>60</v>
      </c>
      <c r="D12" s="406">
        <v>36</v>
      </c>
      <c r="E12" s="406">
        <v>40</v>
      </c>
      <c r="F12" s="418">
        <v>0.5</v>
      </c>
      <c r="G12" s="406">
        <v>10</v>
      </c>
      <c r="H12" s="419">
        <f t="shared" si="0"/>
        <v>1000</v>
      </c>
    </row>
    <row r="13" spans="1:8" ht="15.75" customHeight="1" x14ac:dyDescent="0.2">
      <c r="A13" s="399" t="s">
        <v>2415</v>
      </c>
      <c r="B13" s="400" t="s">
        <v>2416</v>
      </c>
      <c r="C13" s="406">
        <v>60</v>
      </c>
      <c r="D13" s="406">
        <v>28</v>
      </c>
      <c r="E13" s="406">
        <v>40</v>
      </c>
      <c r="F13" s="418">
        <v>0.5</v>
      </c>
      <c r="G13" s="406">
        <v>12</v>
      </c>
      <c r="H13" s="419">
        <f t="shared" si="0"/>
        <v>933.33333333333326</v>
      </c>
    </row>
    <row r="14" spans="1:8" ht="15.75" customHeight="1" x14ac:dyDescent="0.2">
      <c r="A14" s="399" t="s">
        <v>2415</v>
      </c>
      <c r="B14" s="400" t="s">
        <v>2451</v>
      </c>
      <c r="C14" s="406">
        <v>60</v>
      </c>
      <c r="D14" s="406">
        <v>30</v>
      </c>
      <c r="E14" s="406">
        <v>40</v>
      </c>
      <c r="F14" s="418">
        <v>1</v>
      </c>
      <c r="G14" s="406">
        <v>6</v>
      </c>
      <c r="H14" s="419">
        <f t="shared" si="0"/>
        <v>1000</v>
      </c>
    </row>
    <row r="15" spans="1:8" ht="15.75" customHeight="1" x14ac:dyDescent="0.2">
      <c r="A15" s="399" t="s">
        <v>2417</v>
      </c>
      <c r="B15" s="400" t="s">
        <v>2418</v>
      </c>
      <c r="C15" s="406">
        <v>60</v>
      </c>
      <c r="D15" s="406">
        <v>30</v>
      </c>
      <c r="E15" s="406">
        <v>39</v>
      </c>
      <c r="F15" s="418">
        <v>1</v>
      </c>
      <c r="G15" s="406">
        <v>15</v>
      </c>
      <c r="H15" s="419">
        <f t="shared" si="0"/>
        <v>2437.5</v>
      </c>
    </row>
    <row r="16" spans="1:8" ht="15.75" customHeight="1" x14ac:dyDescent="0.2">
      <c r="A16" s="399" t="s">
        <v>2417</v>
      </c>
      <c r="B16" s="400" t="s">
        <v>2418</v>
      </c>
      <c r="C16" s="406">
        <v>60</v>
      </c>
      <c r="D16" s="406">
        <v>32</v>
      </c>
      <c r="E16" s="406">
        <v>39</v>
      </c>
      <c r="F16" s="418">
        <v>1</v>
      </c>
      <c r="G16" s="406">
        <v>15</v>
      </c>
      <c r="H16" s="419">
        <f t="shared" si="0"/>
        <v>2600</v>
      </c>
    </row>
    <row r="17" spans="1:8" ht="15.75" customHeight="1" x14ac:dyDescent="0.2">
      <c r="A17" s="399" t="s">
        <v>2419</v>
      </c>
      <c r="B17" s="400" t="s">
        <v>2420</v>
      </c>
      <c r="C17" s="406">
        <v>60</v>
      </c>
      <c r="D17" s="406">
        <v>32</v>
      </c>
      <c r="E17" s="406">
        <v>39</v>
      </c>
      <c r="F17" s="418">
        <v>1</v>
      </c>
      <c r="G17" s="406">
        <v>12</v>
      </c>
      <c r="H17" s="419">
        <f t="shared" si="0"/>
        <v>2080</v>
      </c>
    </row>
    <row r="18" spans="1:8" ht="15.75" customHeight="1" x14ac:dyDescent="0.2">
      <c r="A18" s="399" t="s">
        <v>2419</v>
      </c>
      <c r="B18" s="400" t="s">
        <v>2420</v>
      </c>
      <c r="C18" s="406">
        <v>60</v>
      </c>
      <c r="D18" s="406">
        <v>30</v>
      </c>
      <c r="E18" s="406">
        <v>40</v>
      </c>
      <c r="F18" s="418">
        <v>1</v>
      </c>
      <c r="G18" s="406">
        <v>12</v>
      </c>
      <c r="H18" s="419">
        <f t="shared" si="0"/>
        <v>2000</v>
      </c>
    </row>
    <row r="19" spans="1:8" ht="15.75" customHeight="1" x14ac:dyDescent="0.2">
      <c r="A19" s="399" t="s">
        <v>2421</v>
      </c>
      <c r="B19" s="400" t="s">
        <v>2422</v>
      </c>
      <c r="C19" s="406">
        <v>60</v>
      </c>
      <c r="D19" s="406">
        <v>30</v>
      </c>
      <c r="E19" s="406">
        <v>39</v>
      </c>
      <c r="F19" s="418">
        <v>1</v>
      </c>
      <c r="G19" s="406">
        <v>12</v>
      </c>
      <c r="H19" s="419">
        <f t="shared" si="0"/>
        <v>1950</v>
      </c>
    </row>
    <row r="20" spans="1:8" ht="15.75" customHeight="1" x14ac:dyDescent="0.2">
      <c r="A20" s="399" t="s">
        <v>2421</v>
      </c>
      <c r="B20" s="400" t="s">
        <v>2452</v>
      </c>
      <c r="C20" s="406">
        <v>60</v>
      </c>
      <c r="D20" s="406">
        <v>32</v>
      </c>
      <c r="E20" s="406">
        <v>39</v>
      </c>
      <c r="F20" s="418">
        <v>1</v>
      </c>
      <c r="G20" s="406">
        <v>12</v>
      </c>
      <c r="H20" s="419">
        <f t="shared" si="0"/>
        <v>2080</v>
      </c>
    </row>
    <row r="21" spans="1:8" ht="15.75" customHeight="1" x14ac:dyDescent="0.2">
      <c r="A21" s="399" t="s">
        <v>2421</v>
      </c>
      <c r="B21" s="400" t="s">
        <v>2452</v>
      </c>
      <c r="C21" s="406">
        <v>40</v>
      </c>
      <c r="D21" s="406">
        <v>30</v>
      </c>
      <c r="E21" s="406">
        <v>39</v>
      </c>
      <c r="F21" s="418">
        <v>1</v>
      </c>
      <c r="G21" s="406">
        <v>12</v>
      </c>
      <c r="H21" s="419">
        <f t="shared" si="0"/>
        <v>1300</v>
      </c>
    </row>
    <row r="22" spans="1:8" ht="15.75" customHeight="1" x14ac:dyDescent="0.2">
      <c r="A22" s="399" t="s">
        <v>2453</v>
      </c>
      <c r="B22" s="400" t="s">
        <v>2454</v>
      </c>
      <c r="C22" s="406">
        <v>58</v>
      </c>
      <c r="D22" s="406">
        <v>30</v>
      </c>
      <c r="E22" s="406">
        <v>65</v>
      </c>
      <c r="F22" s="418">
        <v>0.5</v>
      </c>
      <c r="G22" s="406">
        <v>12</v>
      </c>
      <c r="H22" s="419">
        <f t="shared" si="0"/>
        <v>1570.8333333333333</v>
      </c>
    </row>
    <row r="23" spans="1:8" ht="15.75" customHeight="1" x14ac:dyDescent="0.2">
      <c r="A23" s="399" t="s">
        <v>2453</v>
      </c>
      <c r="B23" s="400" t="s">
        <v>2454</v>
      </c>
      <c r="C23" s="406">
        <v>58</v>
      </c>
      <c r="D23" s="406">
        <v>32</v>
      </c>
      <c r="E23" s="406">
        <v>65</v>
      </c>
      <c r="F23" s="418">
        <v>0.5</v>
      </c>
      <c r="G23" s="406">
        <v>12</v>
      </c>
      <c r="H23" s="419">
        <f t="shared" si="0"/>
        <v>1675.5555555555554</v>
      </c>
    </row>
    <row r="24" spans="1:8" ht="15.75" customHeight="1" x14ac:dyDescent="0.2">
      <c r="A24" s="399" t="s">
        <v>2425</v>
      </c>
      <c r="B24" s="400" t="s">
        <v>2455</v>
      </c>
      <c r="C24" s="406">
        <v>60</v>
      </c>
      <c r="D24" s="406">
        <v>36</v>
      </c>
      <c r="E24" s="406">
        <v>20</v>
      </c>
      <c r="F24" s="439">
        <v>0.95</v>
      </c>
      <c r="G24" s="406">
        <v>40</v>
      </c>
      <c r="H24" s="419">
        <f t="shared" si="0"/>
        <v>3800</v>
      </c>
    </row>
    <row r="25" spans="1:8" ht="15.75" customHeight="1" x14ac:dyDescent="0.2">
      <c r="A25" s="399" t="s">
        <v>2440</v>
      </c>
      <c r="B25" s="400" t="s">
        <v>2441</v>
      </c>
      <c r="C25" s="406">
        <v>56</v>
      </c>
      <c r="D25" s="406">
        <v>28</v>
      </c>
      <c r="E25" s="406">
        <v>20</v>
      </c>
      <c r="F25" s="440" t="s">
        <v>2427</v>
      </c>
      <c r="G25" s="406">
        <v>40</v>
      </c>
      <c r="H25" s="419">
        <f t="shared" si="0"/>
        <v>2758.5185185185182</v>
      </c>
    </row>
    <row r="26" spans="1:8" ht="15.75" customHeight="1" x14ac:dyDescent="0.2">
      <c r="A26" s="399" t="s">
        <v>2440</v>
      </c>
      <c r="B26" s="400" t="s">
        <v>2441</v>
      </c>
      <c r="C26" s="406">
        <v>60</v>
      </c>
      <c r="D26" s="406">
        <v>30</v>
      </c>
      <c r="E26" s="406">
        <v>20</v>
      </c>
      <c r="F26" s="439">
        <v>0.95</v>
      </c>
      <c r="G26" s="406">
        <v>40</v>
      </c>
      <c r="H26" s="419">
        <f t="shared" si="0"/>
        <v>3166.6666666666661</v>
      </c>
    </row>
    <row r="27" spans="1:8" ht="15.75" customHeight="1" x14ac:dyDescent="0.2">
      <c r="A27" s="422" t="s">
        <v>2428</v>
      </c>
      <c r="B27" s="423" t="s">
        <v>2447</v>
      </c>
      <c r="C27" s="425">
        <v>58</v>
      </c>
      <c r="D27" s="425">
        <v>30</v>
      </c>
      <c r="E27" s="425">
        <v>40</v>
      </c>
      <c r="F27" s="430">
        <v>0.95</v>
      </c>
      <c r="G27" s="425">
        <v>12</v>
      </c>
      <c r="H27" s="419">
        <f t="shared" si="0"/>
        <v>1836.6666666666665</v>
      </c>
    </row>
    <row r="28" spans="1:8" ht="15.75" customHeight="1" x14ac:dyDescent="0.2">
      <c r="A28" s="399" t="s">
        <v>2428</v>
      </c>
      <c r="B28" s="400" t="s">
        <v>2429</v>
      </c>
      <c r="C28" s="406">
        <v>40</v>
      </c>
      <c r="D28" s="406">
        <v>30</v>
      </c>
      <c r="E28" s="406">
        <v>39</v>
      </c>
      <c r="F28" s="418">
        <v>1</v>
      </c>
      <c r="G28" s="406">
        <v>12</v>
      </c>
      <c r="H28" s="419">
        <f t="shared" si="0"/>
        <v>1300</v>
      </c>
    </row>
    <row r="29" spans="1:8" ht="15.75" customHeight="1" x14ac:dyDescent="0.2">
      <c r="A29" s="399" t="s">
        <v>2428</v>
      </c>
      <c r="B29" s="400" t="s">
        <v>2456</v>
      </c>
      <c r="C29" s="406">
        <v>58</v>
      </c>
      <c r="D29" s="406">
        <v>32</v>
      </c>
      <c r="E29" s="406">
        <v>39</v>
      </c>
      <c r="F29" s="430">
        <v>0.95</v>
      </c>
      <c r="G29" s="406">
        <v>12</v>
      </c>
      <c r="H29" s="419">
        <f t="shared" si="0"/>
        <v>1910.133333333333</v>
      </c>
    </row>
    <row r="30" spans="1:8" ht="15.75" customHeight="1" x14ac:dyDescent="0.2">
      <c r="A30" s="399" t="s">
        <v>2428</v>
      </c>
      <c r="B30" s="400" t="s">
        <v>2457</v>
      </c>
      <c r="C30" s="406">
        <v>58</v>
      </c>
      <c r="D30" s="406">
        <v>30</v>
      </c>
      <c r="E30" s="406">
        <v>39</v>
      </c>
      <c r="F30" s="418">
        <v>1</v>
      </c>
      <c r="G30" s="406">
        <v>12</v>
      </c>
      <c r="H30" s="419">
        <f t="shared" si="0"/>
        <v>1885</v>
      </c>
    </row>
    <row r="31" spans="1:8" ht="15.75" customHeight="1" x14ac:dyDescent="0.2">
      <c r="A31" s="422" t="s">
        <v>2430</v>
      </c>
      <c r="B31" s="423" t="s">
        <v>2458</v>
      </c>
      <c r="C31" s="425">
        <v>54</v>
      </c>
      <c r="D31" s="425">
        <v>30</v>
      </c>
      <c r="E31" s="425">
        <v>40</v>
      </c>
      <c r="F31" s="430">
        <v>1</v>
      </c>
      <c r="G31" s="425" t="s">
        <v>2459</v>
      </c>
      <c r="H31" s="419" t="s">
        <v>2460</v>
      </c>
    </row>
    <row r="32" spans="1:8" ht="15.75" customHeight="1" x14ac:dyDescent="0.2">
      <c r="A32" s="400"/>
      <c r="B32" s="400"/>
      <c r="C32" s="400"/>
      <c r="D32" s="400"/>
      <c r="E32" s="400"/>
      <c r="F32" s="400"/>
      <c r="G32" s="400"/>
      <c r="H32" s="441">
        <f>SUM(H2:H31)</f>
        <v>43641.757407407393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19"/>
  <sheetViews>
    <sheetView workbookViewId="0">
      <pane ySplit="3" topLeftCell="A4" activePane="bottomLeft" state="frozen"/>
      <selection pane="bottomLeft" sqref="A1:XFD1048576"/>
    </sheetView>
  </sheetViews>
  <sheetFormatPr defaultColWidth="12.5703125" defaultRowHeight="15" x14ac:dyDescent="0.2"/>
  <cols>
    <col min="1" max="1" width="9.42578125" style="234" customWidth="1"/>
    <col min="2" max="2" width="11" style="234" customWidth="1"/>
    <col min="3" max="3" width="14.42578125" style="234" customWidth="1"/>
    <col min="4" max="4" width="12.5703125" style="234"/>
    <col min="5" max="5" width="34.85546875" style="234" customWidth="1"/>
    <col min="6" max="16384" width="12.5703125" style="234"/>
  </cols>
  <sheetData>
    <row r="1" spans="1:27" x14ac:dyDescent="0.2">
      <c r="A1" s="475"/>
      <c r="B1" s="442" t="s">
        <v>2461</v>
      </c>
      <c r="C1" s="443" t="s">
        <v>2462</v>
      </c>
      <c r="D1" s="444"/>
      <c r="E1" s="445" t="s">
        <v>2463</v>
      </c>
      <c r="F1" s="32"/>
      <c r="G1" s="32"/>
      <c r="H1" s="487"/>
      <c r="I1" s="32"/>
      <c r="J1" s="32"/>
      <c r="K1" s="32"/>
      <c r="L1" s="487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x14ac:dyDescent="0.2">
      <c r="A2" s="475"/>
      <c r="B2" s="442" t="s">
        <v>2464</v>
      </c>
      <c r="C2" s="573"/>
      <c r="D2" s="249"/>
      <c r="E2" s="249"/>
      <c r="F2" s="249"/>
      <c r="G2" s="32"/>
      <c r="H2" s="446" t="s">
        <v>2465</v>
      </c>
      <c r="I2" s="32"/>
      <c r="J2" s="32"/>
      <c r="K2" s="432"/>
      <c r="L2" s="447" t="s">
        <v>2466</v>
      </c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45" x14ac:dyDescent="0.2">
      <c r="A3" s="431" t="s">
        <v>2467</v>
      </c>
      <c r="B3" s="445" t="s">
        <v>2468</v>
      </c>
      <c r="C3" s="448" t="s">
        <v>2469</v>
      </c>
      <c r="D3" s="449" t="s">
        <v>2470</v>
      </c>
      <c r="E3" s="448" t="s">
        <v>2471</v>
      </c>
      <c r="F3" s="30" t="s">
        <v>2391</v>
      </c>
      <c r="G3" s="450" t="s">
        <v>2472</v>
      </c>
      <c r="H3" s="451" t="s">
        <v>2473</v>
      </c>
      <c r="I3" s="452" t="s">
        <v>6</v>
      </c>
      <c r="J3" s="453" t="s">
        <v>2474</v>
      </c>
      <c r="K3" s="433" t="s">
        <v>2475</v>
      </c>
      <c r="L3" s="454" t="s">
        <v>2476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5" spans="1:27" ht="15.75" x14ac:dyDescent="0.25">
      <c r="A5" s="475"/>
      <c r="B5" s="32"/>
      <c r="C5" s="32"/>
      <c r="D5" s="32"/>
      <c r="E5" s="32"/>
      <c r="F5" s="32"/>
      <c r="G5" s="32"/>
      <c r="H5" s="487"/>
      <c r="I5" s="32"/>
      <c r="J5" s="32"/>
      <c r="K5" s="32"/>
      <c r="L5" s="32"/>
      <c r="M5" s="32"/>
      <c r="N5" s="32"/>
      <c r="O5" s="32"/>
      <c r="P5" s="32"/>
      <c r="Q5" s="32"/>
      <c r="R5" s="32"/>
      <c r="S5" s="455">
        <v>44274</v>
      </c>
      <c r="T5" s="16">
        <v>122003</v>
      </c>
      <c r="U5" s="32" t="s">
        <v>2477</v>
      </c>
      <c r="V5" s="30">
        <v>40</v>
      </c>
      <c r="W5" s="456">
        <v>1350</v>
      </c>
      <c r="X5" s="32" t="s">
        <v>2384</v>
      </c>
      <c r="Y5" s="32"/>
      <c r="Z5" s="32"/>
      <c r="AA5" s="32"/>
    </row>
    <row r="6" spans="1:27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8" spans="1:27" x14ac:dyDescent="0.2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457">
        <v>141397</v>
      </c>
      <c r="U8" s="458" t="s">
        <v>2478</v>
      </c>
      <c r="V8" s="459">
        <v>1</v>
      </c>
      <c r="W8" s="460">
        <v>129</v>
      </c>
      <c r="X8" s="461">
        <v>44231</v>
      </c>
      <c r="Y8" s="462" t="s">
        <v>2479</v>
      </c>
      <c r="Z8" s="249"/>
      <c r="AA8" s="249"/>
    </row>
    <row r="9" spans="1:27" ht="15.75" x14ac:dyDescent="0.25">
      <c r="A9" s="475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455">
        <v>44274</v>
      </c>
      <c r="T9" s="16">
        <v>142511</v>
      </c>
      <c r="U9" s="32" t="s">
        <v>2480</v>
      </c>
      <c r="V9" s="30">
        <v>102</v>
      </c>
      <c r="W9" s="456">
        <v>1698.3</v>
      </c>
      <c r="X9" s="463">
        <v>43861</v>
      </c>
      <c r="Y9" s="464" t="s">
        <v>2481</v>
      </c>
      <c r="Z9" s="249"/>
      <c r="AA9" s="249"/>
    </row>
    <row r="10" spans="1:27" x14ac:dyDescent="0.2">
      <c r="A10" s="574"/>
      <c r="B10" s="490"/>
      <c r="C10" s="490"/>
      <c r="D10" s="490"/>
      <c r="E10" s="465" t="s">
        <v>2482</v>
      </c>
      <c r="F10" s="465"/>
      <c r="G10" s="490"/>
      <c r="H10" s="575"/>
      <c r="I10" s="490"/>
      <c r="J10" s="490"/>
      <c r="K10" s="490"/>
      <c r="L10" s="490"/>
      <c r="M10" s="490"/>
      <c r="N10" s="490"/>
      <c r="O10" s="490"/>
      <c r="P10" s="490"/>
      <c r="Q10" s="490"/>
      <c r="R10" s="490"/>
      <c r="S10" s="490"/>
      <c r="T10" s="457"/>
      <c r="U10" s="458"/>
      <c r="V10" s="459"/>
      <c r="W10" s="576"/>
      <c r="X10" s="458"/>
      <c r="Y10" s="249"/>
      <c r="Z10" s="249"/>
      <c r="AA10" s="37"/>
    </row>
    <row r="11" spans="1:27" ht="78.75" x14ac:dyDescent="0.25">
      <c r="A11" s="466" t="s">
        <v>2483</v>
      </c>
      <c r="B11" s="467">
        <v>43948</v>
      </c>
      <c r="C11" s="467">
        <v>43850</v>
      </c>
      <c r="D11" s="30">
        <v>142511</v>
      </c>
      <c r="E11" s="147" t="s">
        <v>2480</v>
      </c>
      <c r="F11" s="468" t="s">
        <v>2484</v>
      </c>
      <c r="G11" s="30">
        <v>90</v>
      </c>
      <c r="H11" s="469">
        <f>G11*L11</f>
        <v>1618.2</v>
      </c>
      <c r="I11" s="470">
        <v>6551</v>
      </c>
      <c r="J11" s="471" t="s">
        <v>2485</v>
      </c>
      <c r="K11" s="32"/>
      <c r="L11" s="446">
        <v>17.98</v>
      </c>
      <c r="M11" s="147"/>
      <c r="N11" s="32"/>
      <c r="O11" s="32"/>
      <c r="P11" s="32"/>
      <c r="Q11" s="32"/>
      <c r="R11" s="32"/>
      <c r="S11" s="32"/>
      <c r="T11" s="457">
        <v>182184</v>
      </c>
      <c r="U11" s="458" t="s">
        <v>2486</v>
      </c>
      <c r="V11" s="459">
        <v>47</v>
      </c>
      <c r="W11" s="472">
        <v>1086</v>
      </c>
      <c r="X11" s="461">
        <v>43759</v>
      </c>
      <c r="Y11" s="462" t="s">
        <v>2487</v>
      </c>
      <c r="Z11" s="249"/>
      <c r="AA11" s="37"/>
    </row>
    <row r="12" spans="1:27" x14ac:dyDescent="0.2">
      <c r="A12" s="473" t="s">
        <v>2488</v>
      </c>
      <c r="B12" s="476"/>
      <c r="C12" s="455">
        <v>44274</v>
      </c>
      <c r="D12" s="30">
        <v>223010</v>
      </c>
      <c r="E12" s="32" t="s">
        <v>2489</v>
      </c>
      <c r="F12" s="30"/>
      <c r="G12" s="30">
        <v>1</v>
      </c>
      <c r="H12" s="474">
        <v>80.819999999999993</v>
      </c>
      <c r="I12" s="432" t="s">
        <v>2490</v>
      </c>
      <c r="J12" s="432"/>
      <c r="K12" s="32"/>
      <c r="L12" s="446">
        <v>80.819999999999993</v>
      </c>
      <c r="M12" s="32"/>
      <c r="N12" s="32"/>
      <c r="O12" s="32"/>
      <c r="P12" s="32"/>
      <c r="Q12" s="32"/>
      <c r="R12" s="32"/>
      <c r="S12" s="32"/>
      <c r="T12" s="16">
        <v>132144</v>
      </c>
      <c r="U12" s="32" t="s">
        <v>2491</v>
      </c>
      <c r="V12" s="30">
        <v>1</v>
      </c>
      <c r="W12" s="474">
        <v>19</v>
      </c>
      <c r="X12" s="463">
        <v>43815</v>
      </c>
      <c r="Y12" s="32"/>
      <c r="Z12" s="32"/>
      <c r="AA12" s="32"/>
    </row>
    <row r="13" spans="1:27" ht="15.75" x14ac:dyDescent="0.25">
      <c r="A13" s="475" t="s">
        <v>2492</v>
      </c>
      <c r="B13" s="476"/>
      <c r="C13" s="463"/>
      <c r="D13" s="473"/>
      <c r="E13" s="128"/>
      <c r="F13" s="30"/>
      <c r="G13" s="30"/>
      <c r="H13" s="474"/>
      <c r="I13" s="477"/>
      <c r="J13" s="471"/>
      <c r="K13" s="478"/>
      <c r="L13" s="446"/>
      <c r="M13" s="32"/>
      <c r="N13" s="32"/>
      <c r="O13" s="32"/>
      <c r="P13" s="32"/>
      <c r="Q13" s="32"/>
      <c r="R13" s="32"/>
      <c r="S13" s="32"/>
      <c r="T13" s="16">
        <v>202131</v>
      </c>
      <c r="U13" s="30" t="s">
        <v>2493</v>
      </c>
      <c r="V13" s="30">
        <v>4</v>
      </c>
      <c r="W13" s="474">
        <v>234</v>
      </c>
      <c r="X13" s="463">
        <v>43802</v>
      </c>
      <c r="Y13" s="32"/>
      <c r="Z13" s="32"/>
      <c r="AA13" s="32"/>
    </row>
    <row r="14" spans="1:27" x14ac:dyDescent="0.2">
      <c r="A14" s="475"/>
      <c r="B14" s="463">
        <v>44235</v>
      </c>
      <c r="C14" s="455">
        <v>44274</v>
      </c>
      <c r="D14" s="30">
        <v>222070</v>
      </c>
      <c r="E14" s="432" t="s">
        <v>2494</v>
      </c>
      <c r="F14" s="30" t="s">
        <v>2495</v>
      </c>
      <c r="G14" s="30">
        <v>20</v>
      </c>
      <c r="H14" s="474">
        <v>1843</v>
      </c>
      <c r="I14" s="479" t="s">
        <v>2496</v>
      </c>
      <c r="J14" s="480" t="s">
        <v>2497</v>
      </c>
      <c r="K14" s="32"/>
      <c r="L14" s="446">
        <v>92.16</v>
      </c>
      <c r="M14" s="32"/>
      <c r="N14" s="32"/>
      <c r="O14" s="32"/>
      <c r="P14" s="32"/>
      <c r="Q14" s="32"/>
      <c r="R14" s="32"/>
      <c r="S14" s="32"/>
      <c r="T14" s="481">
        <v>203019</v>
      </c>
      <c r="U14" s="482" t="s">
        <v>2498</v>
      </c>
      <c r="V14" s="483">
        <v>3</v>
      </c>
      <c r="W14" s="484">
        <v>84</v>
      </c>
      <c r="X14" s="485">
        <v>44237</v>
      </c>
      <c r="Y14" s="486" t="s">
        <v>2499</v>
      </c>
      <c r="Z14" s="249"/>
      <c r="AA14" s="249"/>
    </row>
    <row r="15" spans="1:27" ht="90" x14ac:dyDescent="0.2">
      <c r="A15" s="32"/>
      <c r="B15" s="32"/>
      <c r="C15" s="32"/>
      <c r="D15" s="32">
        <v>133306</v>
      </c>
      <c r="E15" s="32" t="s">
        <v>2500</v>
      </c>
      <c r="F15" s="30" t="s">
        <v>2484</v>
      </c>
      <c r="G15" s="30">
        <v>19</v>
      </c>
      <c r="H15" s="487">
        <f>G15*L15</f>
        <v>175.75</v>
      </c>
      <c r="I15" s="488" t="s">
        <v>2501</v>
      </c>
      <c r="J15" s="32"/>
      <c r="K15" s="32"/>
      <c r="L15" s="446">
        <v>9.25</v>
      </c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x14ac:dyDescent="0.2">
      <c r="A16" s="475" t="s">
        <v>2502</v>
      </c>
      <c r="B16" s="32"/>
      <c r="C16" s="476"/>
      <c r="D16" s="32">
        <v>232222</v>
      </c>
      <c r="E16" s="32" t="s">
        <v>2503</v>
      </c>
      <c r="F16" s="30" t="s">
        <v>2484</v>
      </c>
      <c r="G16" s="30">
        <v>3</v>
      </c>
      <c r="H16" s="487">
        <v>22.44</v>
      </c>
      <c r="I16" s="463"/>
      <c r="J16" s="32"/>
      <c r="K16" s="32"/>
      <c r="L16" s="446">
        <v>7.48</v>
      </c>
      <c r="M16" s="32"/>
      <c r="N16" s="32"/>
      <c r="O16" s="32"/>
      <c r="P16" s="32"/>
      <c r="Q16" s="32"/>
      <c r="R16" s="32"/>
      <c r="S16" s="32"/>
      <c r="T16" s="16">
        <v>223010</v>
      </c>
      <c r="U16" s="32" t="s">
        <v>2504</v>
      </c>
      <c r="V16" s="30">
        <v>1</v>
      </c>
      <c r="W16" s="474">
        <v>78</v>
      </c>
      <c r="X16" s="463">
        <v>43644</v>
      </c>
      <c r="Y16" s="32"/>
      <c r="Z16" s="32"/>
      <c r="AA16" s="32"/>
    </row>
    <row r="17" spans="1:27" x14ac:dyDescent="0.2">
      <c r="A17" s="473"/>
      <c r="B17" s="32"/>
      <c r="C17" s="489"/>
      <c r="D17" s="16">
        <v>232033</v>
      </c>
      <c r="E17" s="32" t="s">
        <v>2505</v>
      </c>
      <c r="F17" s="30" t="s">
        <v>2484</v>
      </c>
      <c r="G17" s="30">
        <v>10</v>
      </c>
      <c r="H17" s="474">
        <f>L17*G17</f>
        <v>71.599999999999994</v>
      </c>
      <c r="I17" s="32"/>
      <c r="J17" s="32"/>
      <c r="K17" s="32"/>
      <c r="L17" s="446">
        <v>7.16</v>
      </c>
      <c r="M17" s="32"/>
      <c r="N17" s="32"/>
      <c r="O17" s="32"/>
      <c r="P17" s="32"/>
      <c r="Q17" s="32"/>
      <c r="R17" s="32"/>
      <c r="S17" s="32"/>
      <c r="T17" s="16"/>
      <c r="U17" s="32"/>
      <c r="V17" s="30"/>
      <c r="W17" s="474"/>
      <c r="X17" s="463"/>
      <c r="Y17" s="32"/>
      <c r="Z17" s="32"/>
      <c r="AA17" s="32"/>
    </row>
    <row r="18" spans="1:27" x14ac:dyDescent="0.2">
      <c r="A18" s="473" t="s">
        <v>2404</v>
      </c>
      <c r="B18" s="32"/>
      <c r="C18" s="489">
        <v>44274</v>
      </c>
      <c r="D18" s="16">
        <v>202131</v>
      </c>
      <c r="E18" s="32" t="s">
        <v>2506</v>
      </c>
      <c r="F18" s="30">
        <v>500</v>
      </c>
      <c r="G18" s="30">
        <v>2</v>
      </c>
      <c r="H18" s="474">
        <v>233.92</v>
      </c>
      <c r="I18" s="32"/>
      <c r="J18" s="32"/>
      <c r="K18" s="32"/>
      <c r="L18" s="487">
        <v>59.3</v>
      </c>
      <c r="M18" s="32"/>
      <c r="N18" s="32"/>
      <c r="O18" s="32"/>
      <c r="P18" s="32"/>
      <c r="Q18" s="32"/>
      <c r="R18" s="32"/>
      <c r="S18" s="32"/>
      <c r="T18" s="16">
        <v>121101</v>
      </c>
      <c r="U18" s="32" t="s">
        <v>2507</v>
      </c>
      <c r="V18" s="30">
        <v>2</v>
      </c>
      <c r="W18" s="474">
        <v>48</v>
      </c>
      <c r="X18" s="463">
        <v>43978</v>
      </c>
      <c r="Y18" s="32"/>
      <c r="Z18" s="32"/>
      <c r="AA18" s="32"/>
    </row>
    <row r="19" spans="1:27" x14ac:dyDescent="0.2">
      <c r="A19" s="574"/>
      <c r="B19" s="490"/>
      <c r="C19" s="490"/>
      <c r="D19" s="490"/>
      <c r="E19" s="490"/>
      <c r="F19" s="490"/>
      <c r="G19" s="490"/>
      <c r="H19" s="491">
        <f>SUM(H4:H16)</f>
        <v>3740.21</v>
      </c>
      <c r="I19" s="490"/>
      <c r="J19" s="490"/>
      <c r="K19" s="490"/>
      <c r="L19" s="490"/>
      <c r="M19" s="490"/>
      <c r="N19" s="490"/>
      <c r="O19" s="490"/>
      <c r="P19" s="490"/>
      <c r="Q19" s="490"/>
      <c r="R19" s="490"/>
      <c r="S19" s="490"/>
      <c r="T19" s="490"/>
      <c r="U19" s="490"/>
      <c r="V19" s="490"/>
      <c r="W19" s="490"/>
      <c r="X19" s="490"/>
      <c r="Y19" s="490"/>
      <c r="Z19" s="490"/>
      <c r="AA19" s="490"/>
    </row>
    <row r="20" spans="1:27" x14ac:dyDescent="0.2">
      <c r="A20" s="475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1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x14ac:dyDescent="0.2">
      <c r="A21" s="577"/>
      <c r="B21" s="578"/>
      <c r="C21" s="578"/>
      <c r="D21" s="578"/>
      <c r="E21" s="492" t="s">
        <v>2508</v>
      </c>
      <c r="F21" s="578"/>
      <c r="G21" s="578"/>
      <c r="H21" s="492" t="s">
        <v>2509</v>
      </c>
      <c r="I21" s="578"/>
      <c r="J21" s="493">
        <v>28</v>
      </c>
      <c r="K21" s="578"/>
      <c r="L21" s="578"/>
      <c r="M21" s="578"/>
      <c r="N21" s="578"/>
      <c r="O21" s="578"/>
      <c r="P21" s="578"/>
      <c r="Q21" s="578"/>
      <c r="R21" s="578"/>
      <c r="S21" s="578"/>
      <c r="T21" s="578"/>
      <c r="U21" s="578"/>
      <c r="V21" s="578"/>
      <c r="W21" s="578"/>
      <c r="X21" s="578"/>
      <c r="Y21" s="578"/>
      <c r="Z21" s="578"/>
      <c r="AA21" s="578"/>
    </row>
    <row r="22" spans="1:27" ht="45.75" x14ac:dyDescent="0.25">
      <c r="A22" s="475"/>
      <c r="B22" s="32"/>
      <c r="C22" s="32"/>
      <c r="D22" s="32"/>
      <c r="E22" s="494" t="s">
        <v>2510</v>
      </c>
      <c r="F22" s="32"/>
      <c r="G22" s="32"/>
      <c r="H22" s="32"/>
      <c r="I22" s="321"/>
      <c r="J22" s="495" t="s">
        <v>2511</v>
      </c>
      <c r="K22" s="321" t="s">
        <v>2512</v>
      </c>
      <c r="L22" s="321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x14ac:dyDescent="0.2">
      <c r="A23" s="475"/>
      <c r="B23" s="32"/>
      <c r="C23" s="32"/>
      <c r="D23" s="30">
        <v>191511</v>
      </c>
      <c r="E23" s="32" t="s">
        <v>2513</v>
      </c>
      <c r="F23" s="32"/>
      <c r="G23" s="32">
        <v>3</v>
      </c>
      <c r="H23" s="474">
        <v>52</v>
      </c>
      <c r="I23" s="479" t="s">
        <v>2509</v>
      </c>
      <c r="J23" s="496">
        <v>44236</v>
      </c>
      <c r="K23" s="497" t="s">
        <v>2514</v>
      </c>
      <c r="L23" s="4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x14ac:dyDescent="0.2">
      <c r="A24" s="475"/>
      <c r="B24" s="32"/>
      <c r="C24" s="32"/>
      <c r="D24" s="30">
        <v>202070</v>
      </c>
      <c r="E24" s="32" t="s">
        <v>2515</v>
      </c>
      <c r="F24" s="32"/>
      <c r="G24" s="32">
        <v>1</v>
      </c>
      <c r="H24" s="474">
        <v>6</v>
      </c>
      <c r="I24" s="479" t="s">
        <v>2509</v>
      </c>
      <c r="J24" s="496">
        <v>44236</v>
      </c>
      <c r="K24" s="497" t="s">
        <v>2514</v>
      </c>
      <c r="L24" s="4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x14ac:dyDescent="0.2">
      <c r="A25" s="475"/>
      <c r="B25" s="32"/>
      <c r="C25" s="32"/>
      <c r="D25" s="30">
        <v>232222</v>
      </c>
      <c r="E25" s="32" t="s">
        <v>2516</v>
      </c>
      <c r="F25" s="201" t="s">
        <v>2517</v>
      </c>
      <c r="G25" s="32">
        <v>30</v>
      </c>
      <c r="H25" s="474">
        <v>217</v>
      </c>
      <c r="I25" s="479" t="s">
        <v>2509</v>
      </c>
      <c r="J25" s="496">
        <v>44236</v>
      </c>
      <c r="K25" s="498" t="s">
        <v>2518</v>
      </c>
      <c r="L25" s="500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2">
      <c r="A26" s="475"/>
      <c r="B26" s="32"/>
      <c r="C26" s="32"/>
      <c r="D26" s="30">
        <v>141537</v>
      </c>
      <c r="E26" s="32" t="s">
        <v>2519</v>
      </c>
      <c r="F26" s="32" t="s">
        <v>2520</v>
      </c>
      <c r="G26" s="30">
        <v>1</v>
      </c>
      <c r="H26" s="16">
        <v>11.71</v>
      </c>
      <c r="I26" s="479" t="s">
        <v>2508</v>
      </c>
      <c r="J26" s="496">
        <v>44236</v>
      </c>
      <c r="K26" s="463">
        <v>44236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x14ac:dyDescent="0.2">
      <c r="A27" s="475"/>
      <c r="B27" s="32"/>
      <c r="C27" s="32"/>
      <c r="D27" s="30">
        <v>222008</v>
      </c>
      <c r="E27" s="464" t="s">
        <v>2521</v>
      </c>
      <c r="F27" s="249"/>
      <c r="G27" s="30">
        <v>1</v>
      </c>
      <c r="H27" s="16">
        <v>44.66</v>
      </c>
      <c r="I27" s="479" t="s">
        <v>2508</v>
      </c>
      <c r="J27" s="496">
        <v>44236</v>
      </c>
      <c r="K27" s="463">
        <v>44235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.75" x14ac:dyDescent="0.25">
      <c r="A28" s="475"/>
      <c r="B28" s="32"/>
      <c r="C28" s="32"/>
      <c r="D28" s="30">
        <v>202127</v>
      </c>
      <c r="E28" s="32" t="s">
        <v>2522</v>
      </c>
      <c r="F28" s="32"/>
      <c r="G28" s="499">
        <v>1</v>
      </c>
      <c r="H28" s="16">
        <v>28.33</v>
      </c>
      <c r="I28" s="479" t="s">
        <v>2508</v>
      </c>
      <c r="J28" s="496">
        <v>44236</v>
      </c>
      <c r="K28" s="463">
        <v>44235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x14ac:dyDescent="0.2">
      <c r="A29" s="32"/>
      <c r="B29" s="32"/>
      <c r="C29" s="32"/>
      <c r="D29" s="30">
        <v>103495</v>
      </c>
      <c r="E29" s="32" t="s">
        <v>2523</v>
      </c>
      <c r="F29" s="32"/>
      <c r="G29" s="30">
        <v>1</v>
      </c>
      <c r="H29" s="16">
        <v>18.62</v>
      </c>
      <c r="I29" s="479" t="s">
        <v>2508</v>
      </c>
      <c r="J29" s="496">
        <v>44236</v>
      </c>
      <c r="K29" s="463">
        <v>44235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x14ac:dyDescent="0.2">
      <c r="A30" s="32"/>
      <c r="B30" s="32"/>
      <c r="C30" s="32"/>
      <c r="D30" s="30">
        <v>222152</v>
      </c>
      <c r="E30" s="432" t="s">
        <v>2524</v>
      </c>
      <c r="F30" s="32"/>
      <c r="G30" s="30">
        <v>2</v>
      </c>
      <c r="H30" s="16">
        <v>0</v>
      </c>
      <c r="I30" s="479" t="s">
        <v>2508</v>
      </c>
      <c r="J30" s="496">
        <v>44236</v>
      </c>
      <c r="K30" s="463">
        <v>44235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x14ac:dyDescent="0.2">
      <c r="A31" s="32"/>
      <c r="B31" s="32"/>
      <c r="C31" s="32"/>
      <c r="D31" s="32">
        <v>222054</v>
      </c>
      <c r="E31" s="432" t="s">
        <v>2525</v>
      </c>
      <c r="F31" s="32"/>
      <c r="G31" s="32">
        <v>1</v>
      </c>
      <c r="H31" s="474">
        <v>47</v>
      </c>
      <c r="I31" s="479"/>
      <c r="J31" s="496">
        <v>44236</v>
      </c>
      <c r="K31" s="500" t="s">
        <v>2526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x14ac:dyDescent="0.2">
      <c r="A32" s="475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x14ac:dyDescent="0.2">
      <c r="A34" s="32"/>
      <c r="B34" s="32"/>
      <c r="C34" s="32"/>
      <c r="D34" s="32"/>
      <c r="E34" s="32"/>
      <c r="F34" s="32"/>
      <c r="G34" s="32"/>
      <c r="H34" s="474">
        <f>SUM(H23:H31)</f>
        <v>425.32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.75" x14ac:dyDescent="0.25">
      <c r="A36" s="579"/>
      <c r="B36" s="580"/>
      <c r="C36" s="580"/>
      <c r="D36" s="580"/>
      <c r="E36" s="581" t="s">
        <v>2527</v>
      </c>
      <c r="F36" s="582"/>
      <c r="G36" s="582"/>
      <c r="H36" s="583"/>
      <c r="I36" s="582"/>
      <c r="J36" s="582"/>
      <c r="K36" s="582"/>
      <c r="L36" s="583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x14ac:dyDescent="0.2">
      <c r="A37" s="475"/>
      <c r="B37" s="255"/>
      <c r="C37" s="255"/>
      <c r="D37" s="323"/>
      <c r="E37" s="30" t="s">
        <v>2527</v>
      </c>
      <c r="F37" s="32"/>
      <c r="G37" s="32"/>
      <c r="H37" s="487"/>
      <c r="I37" s="32"/>
      <c r="J37" s="32"/>
      <c r="K37" s="32"/>
      <c r="L37" s="487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x14ac:dyDescent="0.2">
      <c r="A38" s="584"/>
      <c r="B38" s="585"/>
      <c r="C38" s="501">
        <v>42369</v>
      </c>
      <c r="D38" s="502">
        <v>132068</v>
      </c>
      <c r="E38" s="502" t="s">
        <v>2528</v>
      </c>
      <c r="F38" s="502" t="s">
        <v>2484</v>
      </c>
      <c r="G38" s="502">
        <v>7</v>
      </c>
      <c r="H38" s="586"/>
      <c r="I38" s="532"/>
      <c r="J38" s="323"/>
      <c r="K38" s="502">
        <v>15.7</v>
      </c>
      <c r="L38" s="586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</row>
    <row r="39" spans="1:27" x14ac:dyDescent="0.2">
      <c r="A39" s="503" t="s">
        <v>1225</v>
      </c>
      <c r="B39" s="585"/>
      <c r="C39" s="501">
        <v>42369</v>
      </c>
      <c r="D39" s="502">
        <v>132129</v>
      </c>
      <c r="E39" s="502" t="s">
        <v>2529</v>
      </c>
      <c r="F39" s="502">
        <v>900</v>
      </c>
      <c r="G39" s="502">
        <v>2</v>
      </c>
      <c r="H39" s="587"/>
      <c r="I39" s="532"/>
      <c r="J39" s="502" t="s">
        <v>2530</v>
      </c>
      <c r="K39" s="502">
        <v>28.3</v>
      </c>
      <c r="L39" s="586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</row>
    <row r="40" spans="1:27" x14ac:dyDescent="0.2">
      <c r="A40" s="503" t="s">
        <v>2531</v>
      </c>
      <c r="B40" s="585"/>
      <c r="C40" s="501">
        <v>42369</v>
      </c>
      <c r="D40" s="502">
        <v>180806</v>
      </c>
      <c r="E40" s="502" t="s">
        <v>2532</v>
      </c>
      <c r="F40" s="502" t="s">
        <v>2484</v>
      </c>
      <c r="G40" s="502">
        <v>13</v>
      </c>
      <c r="H40" s="586"/>
      <c r="I40" s="532"/>
      <c r="J40" s="449" t="s">
        <v>2533</v>
      </c>
      <c r="K40" s="323"/>
      <c r="L40" s="586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</row>
    <row r="41" spans="1:27" x14ac:dyDescent="0.2">
      <c r="A41" s="503" t="s">
        <v>2534</v>
      </c>
      <c r="B41" s="585"/>
      <c r="C41" s="501">
        <v>42369</v>
      </c>
      <c r="D41" s="502">
        <v>102424</v>
      </c>
      <c r="E41" s="502" t="s">
        <v>2535</v>
      </c>
      <c r="F41" s="502" t="s">
        <v>2536</v>
      </c>
      <c r="G41" s="502">
        <v>63</v>
      </c>
      <c r="H41" s="586"/>
      <c r="I41" s="323"/>
      <c r="J41" s="323"/>
      <c r="K41" s="323"/>
      <c r="L41" s="586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</row>
    <row r="42" spans="1:27" x14ac:dyDescent="0.2">
      <c r="A42" s="503" t="s">
        <v>2537</v>
      </c>
      <c r="B42" s="585"/>
      <c r="C42" s="501">
        <v>42369</v>
      </c>
      <c r="D42" s="532"/>
      <c r="E42" s="502" t="s">
        <v>2538</v>
      </c>
      <c r="F42" s="502" t="s">
        <v>2539</v>
      </c>
      <c r="G42" s="502">
        <v>30</v>
      </c>
      <c r="H42" s="586"/>
      <c r="I42" s="323"/>
      <c r="J42" s="323"/>
      <c r="K42" s="323"/>
      <c r="L42" s="586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</row>
    <row r="43" spans="1:27" x14ac:dyDescent="0.2">
      <c r="A43" s="503" t="s">
        <v>2540</v>
      </c>
      <c r="B43" s="585"/>
      <c r="C43" s="501">
        <v>42499</v>
      </c>
      <c r="D43" s="502">
        <v>122917</v>
      </c>
      <c r="E43" s="502" t="s">
        <v>2541</v>
      </c>
      <c r="F43" s="502" t="s">
        <v>2484</v>
      </c>
      <c r="G43" s="502">
        <v>3</v>
      </c>
      <c r="H43" s="586"/>
      <c r="I43" s="323"/>
      <c r="J43" s="323"/>
      <c r="K43" s="502">
        <v>23.45</v>
      </c>
      <c r="L43" s="586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</row>
    <row r="44" spans="1:27" x14ac:dyDescent="0.2">
      <c r="A44" s="503" t="s">
        <v>2542</v>
      </c>
      <c r="B44" s="585"/>
      <c r="C44" s="501">
        <v>42369</v>
      </c>
      <c r="D44" s="502">
        <v>232124</v>
      </c>
      <c r="E44" s="502" t="s">
        <v>2543</v>
      </c>
      <c r="F44" s="502" t="s">
        <v>2544</v>
      </c>
      <c r="G44" s="502">
        <v>6</v>
      </c>
      <c r="H44" s="586"/>
      <c r="I44" s="323"/>
      <c r="J44" s="323"/>
      <c r="K44" s="323"/>
      <c r="L44" s="586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</row>
    <row r="45" spans="1:27" x14ac:dyDescent="0.2">
      <c r="A45" s="503" t="s">
        <v>1225</v>
      </c>
      <c r="B45" s="585"/>
      <c r="C45" s="501">
        <v>42369</v>
      </c>
      <c r="D45" s="502">
        <v>132111</v>
      </c>
      <c r="E45" s="502" t="s">
        <v>2545</v>
      </c>
      <c r="F45" s="502" t="s">
        <v>2484</v>
      </c>
      <c r="G45" s="502">
        <v>34</v>
      </c>
      <c r="H45" s="586"/>
      <c r="I45" s="323"/>
      <c r="J45" s="323"/>
      <c r="K45" s="323"/>
      <c r="L45" s="586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</row>
    <row r="46" spans="1:27" x14ac:dyDescent="0.2">
      <c r="A46" s="503" t="s">
        <v>2546</v>
      </c>
      <c r="B46" s="585"/>
      <c r="C46" s="501">
        <v>42369</v>
      </c>
      <c r="D46" s="502">
        <v>103462</v>
      </c>
      <c r="E46" s="502" t="s">
        <v>2547</v>
      </c>
      <c r="F46" s="502">
        <v>250</v>
      </c>
      <c r="G46" s="502">
        <v>10</v>
      </c>
      <c r="H46" s="586"/>
      <c r="I46" s="323"/>
      <c r="J46" s="323"/>
      <c r="K46" s="502">
        <v>33.1</v>
      </c>
      <c r="L46" s="586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</row>
    <row r="47" spans="1:27" x14ac:dyDescent="0.2">
      <c r="A47" s="503" t="s">
        <v>2548</v>
      </c>
      <c r="B47" s="585"/>
      <c r="C47" s="501">
        <v>42290</v>
      </c>
      <c r="D47" s="502">
        <v>101426</v>
      </c>
      <c r="E47" s="502" t="s">
        <v>2549</v>
      </c>
      <c r="F47" s="502" t="s">
        <v>2550</v>
      </c>
      <c r="G47" s="502">
        <v>49</v>
      </c>
      <c r="H47" s="586"/>
      <c r="I47" s="323"/>
      <c r="J47" s="323"/>
      <c r="K47" s="323"/>
      <c r="L47" s="586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</row>
    <row r="48" spans="1:27" x14ac:dyDescent="0.2">
      <c r="A48" s="503" t="s">
        <v>2548</v>
      </c>
      <c r="B48" s="323"/>
      <c r="C48" s="323"/>
      <c r="D48" s="323">
        <v>103490</v>
      </c>
      <c r="E48" s="502" t="s">
        <v>2551</v>
      </c>
      <c r="F48" s="504">
        <v>250</v>
      </c>
      <c r="G48" s="323"/>
      <c r="H48" s="586"/>
      <c r="I48" s="323"/>
      <c r="J48" s="323"/>
      <c r="K48" s="323"/>
      <c r="L48" s="586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</row>
    <row r="49" spans="1:27" x14ac:dyDescent="0.2">
      <c r="A49" s="503" t="s">
        <v>2552</v>
      </c>
      <c r="B49" s="585"/>
      <c r="C49" s="501">
        <v>42369</v>
      </c>
      <c r="D49" s="502">
        <v>122144</v>
      </c>
      <c r="E49" s="502" t="s">
        <v>2553</v>
      </c>
      <c r="F49" s="502" t="s">
        <v>2484</v>
      </c>
      <c r="G49" s="502">
        <v>1</v>
      </c>
      <c r="H49" s="586"/>
      <c r="I49" s="323"/>
      <c r="J49" s="323"/>
      <c r="K49" s="502">
        <v>20.420000000000002</v>
      </c>
      <c r="L49" s="586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</row>
    <row r="50" spans="1:27" x14ac:dyDescent="0.2">
      <c r="A50" s="503" t="s">
        <v>2554</v>
      </c>
      <c r="B50" s="585"/>
      <c r="C50" s="501">
        <v>42369</v>
      </c>
      <c r="D50" s="502">
        <v>142412</v>
      </c>
      <c r="E50" s="502" t="s">
        <v>2555</v>
      </c>
      <c r="F50" s="502" t="s">
        <v>2484</v>
      </c>
      <c r="G50" s="502">
        <v>4</v>
      </c>
      <c r="H50" s="586"/>
      <c r="I50" s="323"/>
      <c r="J50" s="323"/>
      <c r="K50" s="502">
        <v>13.3</v>
      </c>
      <c r="L50" s="586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</row>
    <row r="51" spans="1:27" x14ac:dyDescent="0.2">
      <c r="A51" s="503" t="s">
        <v>2556</v>
      </c>
      <c r="B51" s="585"/>
      <c r="C51" s="501">
        <v>42369</v>
      </c>
      <c r="D51" s="502">
        <v>141520</v>
      </c>
      <c r="E51" s="502" t="s">
        <v>2557</v>
      </c>
      <c r="F51" s="502" t="s">
        <v>2558</v>
      </c>
      <c r="G51" s="502">
        <v>4</v>
      </c>
      <c r="H51" s="586"/>
      <c r="I51" s="323"/>
      <c r="J51" s="323"/>
      <c r="K51" s="502">
        <v>28.5</v>
      </c>
      <c r="L51" s="586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</row>
    <row r="52" spans="1:27" x14ac:dyDescent="0.2">
      <c r="A52" s="503" t="s">
        <v>2556</v>
      </c>
      <c r="B52" s="585"/>
      <c r="C52" s="501">
        <v>42369</v>
      </c>
      <c r="D52" s="502">
        <v>141555</v>
      </c>
      <c r="E52" s="502" t="s">
        <v>2559</v>
      </c>
      <c r="F52" s="502" t="s">
        <v>2560</v>
      </c>
      <c r="G52" s="502">
        <v>12</v>
      </c>
      <c r="H52" s="586"/>
      <c r="I52" s="323"/>
      <c r="J52" s="323"/>
      <c r="K52" s="502">
        <v>26</v>
      </c>
      <c r="L52" s="586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</row>
    <row r="53" spans="1:27" x14ac:dyDescent="0.2">
      <c r="A53" s="503" t="s">
        <v>2561</v>
      </c>
      <c r="B53" s="585"/>
      <c r="C53" s="501">
        <v>42369</v>
      </c>
      <c r="D53" s="502">
        <v>133112</v>
      </c>
      <c r="E53" s="502" t="s">
        <v>2562</v>
      </c>
      <c r="F53" s="502" t="s">
        <v>2484</v>
      </c>
      <c r="G53" s="502">
        <v>22</v>
      </c>
      <c r="H53" s="586"/>
      <c r="I53" s="323"/>
      <c r="J53" s="323"/>
      <c r="K53" s="502">
        <v>32.5</v>
      </c>
      <c r="L53" s="586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</row>
    <row r="54" spans="1:27" x14ac:dyDescent="0.2">
      <c r="A54" s="503" t="s">
        <v>2563</v>
      </c>
      <c r="B54" s="585"/>
      <c r="C54" s="501">
        <v>42369</v>
      </c>
      <c r="D54" s="502">
        <v>131076</v>
      </c>
      <c r="E54" s="502" t="s">
        <v>2564</v>
      </c>
      <c r="F54" s="502" t="s">
        <v>2484</v>
      </c>
      <c r="G54" s="502">
        <v>5</v>
      </c>
      <c r="H54" s="586"/>
      <c r="I54" s="323"/>
      <c r="J54" s="323"/>
      <c r="K54" s="502">
        <v>8.1300000000000008</v>
      </c>
      <c r="L54" s="586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</row>
    <row r="55" spans="1:27" x14ac:dyDescent="0.2">
      <c r="A55" s="503" t="s">
        <v>2565</v>
      </c>
      <c r="B55" s="585"/>
      <c r="C55" s="501">
        <v>42499</v>
      </c>
      <c r="D55" s="502">
        <v>201015</v>
      </c>
      <c r="E55" s="502" t="s">
        <v>2566</v>
      </c>
      <c r="F55" s="502" t="s">
        <v>2567</v>
      </c>
      <c r="G55" s="502">
        <v>2</v>
      </c>
      <c r="H55" s="586"/>
      <c r="I55" s="323"/>
      <c r="J55" s="323"/>
      <c r="K55" s="323"/>
      <c r="L55" s="586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</row>
    <row r="56" spans="1:27" x14ac:dyDescent="0.2">
      <c r="A56" s="503" t="s">
        <v>2546</v>
      </c>
      <c r="B56" s="585"/>
      <c r="C56" s="501">
        <v>42369</v>
      </c>
      <c r="D56" s="502">
        <v>103571</v>
      </c>
      <c r="E56" s="502" t="s">
        <v>2568</v>
      </c>
      <c r="F56" s="502">
        <v>250</v>
      </c>
      <c r="G56" s="502">
        <v>2</v>
      </c>
      <c r="H56" s="586"/>
      <c r="I56" s="323"/>
      <c r="J56" s="323"/>
      <c r="K56" s="502">
        <v>20</v>
      </c>
      <c r="L56" s="586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</row>
    <row r="57" spans="1:27" x14ac:dyDescent="0.2">
      <c r="A57" s="503" t="s">
        <v>2542</v>
      </c>
      <c r="B57" s="585"/>
      <c r="C57" s="501">
        <v>42548</v>
      </c>
      <c r="D57" s="502">
        <v>232122</v>
      </c>
      <c r="E57" s="502" t="s">
        <v>2569</v>
      </c>
      <c r="F57" s="502" t="s">
        <v>2484</v>
      </c>
      <c r="G57" s="502">
        <v>1</v>
      </c>
      <c r="H57" s="586"/>
      <c r="I57" s="323"/>
      <c r="J57" s="323"/>
      <c r="K57" s="502">
        <v>36.700000000000003</v>
      </c>
      <c r="L57" s="586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</row>
    <row r="58" spans="1:27" x14ac:dyDescent="0.2">
      <c r="A58" s="584"/>
      <c r="B58" s="585"/>
      <c r="C58" s="501">
        <v>42530</v>
      </c>
      <c r="D58" s="502">
        <v>142328</v>
      </c>
      <c r="E58" s="449" t="s">
        <v>2570</v>
      </c>
      <c r="F58" s="323"/>
      <c r="G58" s="502">
        <v>2</v>
      </c>
      <c r="H58" s="586"/>
      <c r="I58" s="323"/>
      <c r="J58" s="323"/>
      <c r="K58" s="323"/>
      <c r="L58" s="586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</row>
    <row r="59" spans="1:27" x14ac:dyDescent="0.2">
      <c r="A59" s="503" t="s">
        <v>1225</v>
      </c>
      <c r="B59" s="585"/>
      <c r="C59" s="501">
        <v>42369</v>
      </c>
      <c r="D59" s="502">
        <v>132111</v>
      </c>
      <c r="E59" s="502" t="s">
        <v>2545</v>
      </c>
      <c r="F59" s="502" t="s">
        <v>2484</v>
      </c>
      <c r="G59" s="502">
        <v>5</v>
      </c>
      <c r="H59" s="586"/>
      <c r="I59" s="323"/>
      <c r="J59" s="323"/>
      <c r="K59" s="502">
        <v>26.2</v>
      </c>
      <c r="L59" s="586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</row>
    <row r="60" spans="1:27" x14ac:dyDescent="0.2">
      <c r="A60" s="503" t="s">
        <v>2571</v>
      </c>
      <c r="B60" s="585"/>
      <c r="C60" s="501">
        <v>42369</v>
      </c>
      <c r="D60" s="502">
        <v>103376</v>
      </c>
      <c r="E60" s="502" t="s">
        <v>2572</v>
      </c>
      <c r="F60" s="502" t="s">
        <v>2573</v>
      </c>
      <c r="G60" s="502">
        <v>3</v>
      </c>
      <c r="H60" s="586"/>
      <c r="I60" s="323"/>
      <c r="J60" s="323"/>
      <c r="K60" s="502">
        <v>33.299999999999997</v>
      </c>
      <c r="L60" s="586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</row>
    <row r="61" spans="1:27" x14ac:dyDescent="0.2">
      <c r="A61" s="503" t="s">
        <v>2574</v>
      </c>
      <c r="B61" s="585"/>
      <c r="C61" s="501">
        <v>42369</v>
      </c>
      <c r="D61" s="502">
        <v>101512</v>
      </c>
      <c r="E61" s="502" t="s">
        <v>2575</v>
      </c>
      <c r="F61" s="502" t="s">
        <v>2576</v>
      </c>
      <c r="G61" s="502">
        <v>34</v>
      </c>
      <c r="H61" s="586"/>
      <c r="I61" s="323"/>
      <c r="J61" s="323"/>
      <c r="K61" s="323"/>
      <c r="L61" s="586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</row>
    <row r="62" spans="1:27" x14ac:dyDescent="0.2">
      <c r="A62" s="503" t="s">
        <v>2574</v>
      </c>
      <c r="B62" s="585"/>
      <c r="C62" s="501">
        <v>42369</v>
      </c>
      <c r="D62" s="502">
        <v>103548</v>
      </c>
      <c r="E62" s="502" t="s">
        <v>2577</v>
      </c>
      <c r="F62" s="502" t="s">
        <v>2484</v>
      </c>
      <c r="G62" s="502">
        <v>1</v>
      </c>
      <c r="H62" s="586"/>
      <c r="I62" s="323"/>
      <c r="J62" s="323"/>
      <c r="K62" s="502">
        <v>35.25</v>
      </c>
      <c r="L62" s="586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</row>
    <row r="63" spans="1:27" x14ac:dyDescent="0.2">
      <c r="A63" s="503" t="s">
        <v>2578</v>
      </c>
      <c r="B63" s="585"/>
      <c r="C63" s="501">
        <v>42369</v>
      </c>
      <c r="D63" s="502" t="s">
        <v>2579</v>
      </c>
      <c r="E63" s="502" t="s">
        <v>2580</v>
      </c>
      <c r="F63" s="502" t="s">
        <v>2581</v>
      </c>
      <c r="G63" s="502">
        <v>50</v>
      </c>
      <c r="H63" s="586"/>
      <c r="I63" s="323"/>
      <c r="J63" s="323"/>
      <c r="K63" s="502">
        <v>16.670000000000002</v>
      </c>
      <c r="L63" s="586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</row>
    <row r="64" spans="1:27" x14ac:dyDescent="0.2">
      <c r="A64" s="503" t="s">
        <v>2552</v>
      </c>
      <c r="B64" s="585"/>
      <c r="C64" s="501">
        <v>42369</v>
      </c>
      <c r="D64" s="502" t="s">
        <v>2582</v>
      </c>
      <c r="E64" s="502" t="s">
        <v>2583</v>
      </c>
      <c r="F64" s="502" t="s">
        <v>2576</v>
      </c>
      <c r="G64" s="502">
        <v>51</v>
      </c>
      <c r="H64" s="586"/>
      <c r="I64" s="323"/>
      <c r="J64" s="323"/>
      <c r="K64" s="323"/>
      <c r="L64" s="586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</row>
    <row r="65" spans="1:27" x14ac:dyDescent="0.2">
      <c r="A65" s="503" t="s">
        <v>2552</v>
      </c>
      <c r="B65" s="585"/>
      <c r="C65" s="501">
        <v>42369</v>
      </c>
      <c r="D65" s="502">
        <v>122824</v>
      </c>
      <c r="E65" s="502" t="s">
        <v>2584</v>
      </c>
      <c r="F65" s="502">
        <v>250</v>
      </c>
      <c r="G65" s="502">
        <v>2</v>
      </c>
      <c r="H65" s="586"/>
      <c r="I65" s="323"/>
      <c r="J65" s="323"/>
      <c r="K65" s="502">
        <v>31.25</v>
      </c>
      <c r="L65" s="586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</row>
    <row r="66" spans="1:27" x14ac:dyDescent="0.2">
      <c r="A66" s="503" t="s">
        <v>2585</v>
      </c>
      <c r="B66" s="585"/>
      <c r="C66" s="501">
        <v>42369</v>
      </c>
      <c r="D66" s="502" t="s">
        <v>2586</v>
      </c>
      <c r="E66" s="502" t="s">
        <v>2587</v>
      </c>
      <c r="F66" s="502" t="s">
        <v>2576</v>
      </c>
      <c r="G66" s="502">
        <v>50</v>
      </c>
      <c r="H66" s="586"/>
      <c r="I66" s="323"/>
      <c r="J66" s="323"/>
      <c r="K66" s="323"/>
      <c r="L66" s="586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</row>
    <row r="67" spans="1:27" x14ac:dyDescent="0.2">
      <c r="A67" s="505" t="s">
        <v>2531</v>
      </c>
      <c r="B67" s="585"/>
      <c r="C67" s="501">
        <v>42369</v>
      </c>
      <c r="D67" s="502">
        <v>182331</v>
      </c>
      <c r="E67" s="502" t="s">
        <v>2588</v>
      </c>
      <c r="F67" s="502" t="s">
        <v>2589</v>
      </c>
      <c r="G67" s="502">
        <v>5</v>
      </c>
      <c r="H67" s="586"/>
      <c r="I67" s="323"/>
      <c r="J67" s="323"/>
      <c r="K67" s="323"/>
      <c r="L67" s="586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</row>
    <row r="68" spans="1:27" x14ac:dyDescent="0.2">
      <c r="A68" s="505" t="s">
        <v>2590</v>
      </c>
      <c r="B68" s="502"/>
      <c r="C68" s="502">
        <v>175215</v>
      </c>
      <c r="D68" s="502" t="s">
        <v>2591</v>
      </c>
      <c r="E68" s="502" t="s">
        <v>2539</v>
      </c>
      <c r="F68" s="502">
        <v>6</v>
      </c>
      <c r="G68" s="502">
        <v>69</v>
      </c>
      <c r="H68" s="586"/>
      <c r="I68" s="532"/>
      <c r="J68" s="323"/>
      <c r="K68" s="323"/>
      <c r="L68" s="586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</row>
    <row r="69" spans="1:27" x14ac:dyDescent="0.2">
      <c r="A69" s="503" t="s">
        <v>2542</v>
      </c>
      <c r="B69" s="585"/>
      <c r="C69" s="501">
        <v>42548</v>
      </c>
      <c r="D69" s="502">
        <v>232122</v>
      </c>
      <c r="E69" s="502" t="s">
        <v>2569</v>
      </c>
      <c r="F69" s="502" t="s">
        <v>2484</v>
      </c>
      <c r="G69" s="502">
        <v>75</v>
      </c>
      <c r="H69" s="587"/>
      <c r="I69" s="532"/>
      <c r="J69" s="502" t="s">
        <v>2592</v>
      </c>
      <c r="K69" s="502">
        <v>36.700000000000003</v>
      </c>
      <c r="L69" s="586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</row>
    <row r="70" spans="1:27" x14ac:dyDescent="0.2">
      <c r="A70" s="503" t="s">
        <v>2578</v>
      </c>
      <c r="B70" s="585"/>
      <c r="C70" s="501">
        <v>42369</v>
      </c>
      <c r="D70" s="502">
        <v>121125</v>
      </c>
      <c r="E70" s="502" t="s">
        <v>2593</v>
      </c>
      <c r="F70" s="502" t="s">
        <v>2581</v>
      </c>
      <c r="G70" s="502">
        <v>25</v>
      </c>
      <c r="H70" s="586"/>
      <c r="I70" s="323"/>
      <c r="J70" s="323"/>
      <c r="K70" s="502">
        <v>26.66</v>
      </c>
      <c r="L70" s="586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</row>
    <row r="71" spans="1:27" x14ac:dyDescent="0.2">
      <c r="A71" s="503" t="s">
        <v>2594</v>
      </c>
      <c r="B71" s="585"/>
      <c r="C71" s="501">
        <v>42499</v>
      </c>
      <c r="D71" s="502">
        <v>132712</v>
      </c>
      <c r="E71" s="502" t="s">
        <v>2595</v>
      </c>
      <c r="F71" s="502">
        <v>950</v>
      </c>
      <c r="G71" s="502">
        <v>2</v>
      </c>
      <c r="H71" s="587"/>
      <c r="I71" s="532"/>
      <c r="J71" s="502" t="s">
        <v>2596</v>
      </c>
      <c r="K71" s="502">
        <v>31</v>
      </c>
      <c r="L71" s="586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</row>
    <row r="72" spans="1:27" x14ac:dyDescent="0.2">
      <c r="A72" s="503" t="s">
        <v>2594</v>
      </c>
      <c r="B72" s="585"/>
      <c r="C72" s="501">
        <v>42537</v>
      </c>
      <c r="D72" s="502">
        <v>132720</v>
      </c>
      <c r="E72" s="502" t="s">
        <v>2597</v>
      </c>
      <c r="F72" s="502">
        <v>500</v>
      </c>
      <c r="G72" s="502">
        <v>5</v>
      </c>
      <c r="H72" s="587"/>
      <c r="I72" s="532"/>
      <c r="J72" s="502" t="s">
        <v>2598</v>
      </c>
      <c r="K72" s="502">
        <v>27.08</v>
      </c>
      <c r="L72" s="586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</row>
    <row r="73" spans="1:27" x14ac:dyDescent="0.2">
      <c r="A73" s="503" t="s">
        <v>2571</v>
      </c>
      <c r="B73" s="585"/>
      <c r="C73" s="501">
        <v>42369</v>
      </c>
      <c r="D73" s="502">
        <v>103485</v>
      </c>
      <c r="E73" s="502" t="s">
        <v>2599</v>
      </c>
      <c r="F73" s="502" t="s">
        <v>2600</v>
      </c>
      <c r="G73" s="502">
        <v>4</v>
      </c>
      <c r="H73" s="586"/>
      <c r="I73" s="323"/>
      <c r="J73" s="323"/>
      <c r="K73" s="502">
        <v>25</v>
      </c>
      <c r="L73" s="586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</row>
    <row r="74" spans="1:27" x14ac:dyDescent="0.2">
      <c r="A74" s="503" t="s">
        <v>2601</v>
      </c>
      <c r="B74" s="585"/>
      <c r="C74" s="501">
        <v>42369</v>
      </c>
      <c r="D74" s="502">
        <v>141370</v>
      </c>
      <c r="E74" s="502" t="s">
        <v>2602</v>
      </c>
      <c r="F74" s="502" t="s">
        <v>2603</v>
      </c>
      <c r="G74" s="502">
        <v>19</v>
      </c>
      <c r="H74" s="506">
        <v>24.32</v>
      </c>
      <c r="I74" s="323"/>
      <c r="J74" s="323"/>
      <c r="K74" s="502">
        <v>20.25</v>
      </c>
      <c r="L74" s="507">
        <v>1.28</v>
      </c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</row>
    <row r="75" spans="1:27" x14ac:dyDescent="0.2">
      <c r="A75" s="503" t="s">
        <v>2554</v>
      </c>
      <c r="B75" s="585"/>
      <c r="C75" s="501">
        <v>42369</v>
      </c>
      <c r="D75" s="502">
        <v>141411</v>
      </c>
      <c r="E75" s="502" t="s">
        <v>2604</v>
      </c>
      <c r="F75" s="502" t="s">
        <v>2605</v>
      </c>
      <c r="G75" s="502">
        <v>9</v>
      </c>
      <c r="H75" s="506">
        <v>135.99</v>
      </c>
      <c r="I75" s="323"/>
      <c r="J75" s="323"/>
      <c r="K75" s="502">
        <v>28.53</v>
      </c>
      <c r="L75" s="507">
        <v>15.11</v>
      </c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</row>
    <row r="76" spans="1:27" x14ac:dyDescent="0.2">
      <c r="A76" s="503" t="s">
        <v>2548</v>
      </c>
      <c r="B76" s="585"/>
      <c r="C76" s="501">
        <v>42527</v>
      </c>
      <c r="D76" s="502">
        <v>101466</v>
      </c>
      <c r="E76" s="502" t="s">
        <v>2606</v>
      </c>
      <c r="F76" s="502" t="s">
        <v>2607</v>
      </c>
      <c r="G76" s="502">
        <v>1</v>
      </c>
      <c r="H76" s="506">
        <v>50.65</v>
      </c>
      <c r="I76" s="323"/>
      <c r="J76" s="323"/>
      <c r="K76" s="502">
        <v>50</v>
      </c>
      <c r="L76" s="507">
        <v>50.65</v>
      </c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</row>
    <row r="77" spans="1:27" x14ac:dyDescent="0.2">
      <c r="A77" s="503" t="s">
        <v>2548</v>
      </c>
      <c r="B77" s="585"/>
      <c r="C77" s="501">
        <v>42369</v>
      </c>
      <c r="D77" s="502">
        <v>103394</v>
      </c>
      <c r="E77" s="502" t="s">
        <v>2608</v>
      </c>
      <c r="F77" s="502" t="s">
        <v>2609</v>
      </c>
      <c r="G77" s="502">
        <v>6</v>
      </c>
      <c r="H77" s="506">
        <v>259.86</v>
      </c>
      <c r="I77" s="323"/>
      <c r="J77" s="323"/>
      <c r="K77" s="502">
        <v>42.75</v>
      </c>
      <c r="L77" s="507">
        <v>43.31</v>
      </c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</row>
    <row r="78" spans="1:27" x14ac:dyDescent="0.2">
      <c r="A78" s="503" t="s">
        <v>2540</v>
      </c>
      <c r="B78" s="585"/>
      <c r="C78" s="501">
        <v>42499</v>
      </c>
      <c r="D78" s="502">
        <v>122917</v>
      </c>
      <c r="E78" s="502" t="s">
        <v>2610</v>
      </c>
      <c r="F78" s="502" t="s">
        <v>2484</v>
      </c>
      <c r="G78" s="502">
        <v>3</v>
      </c>
      <c r="H78" s="506">
        <v>84.6</v>
      </c>
      <c r="I78" s="532"/>
      <c r="J78" s="323"/>
      <c r="K78" s="502">
        <v>23.45</v>
      </c>
      <c r="L78" s="507">
        <v>28.2</v>
      </c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</row>
    <row r="79" spans="1:27" x14ac:dyDescent="0.2">
      <c r="A79" s="503" t="s">
        <v>2601</v>
      </c>
      <c r="B79" s="502"/>
      <c r="C79" s="502">
        <v>2015</v>
      </c>
      <c r="D79" s="502">
        <v>141317</v>
      </c>
      <c r="E79" s="502" t="s">
        <v>2611</v>
      </c>
      <c r="F79" s="502" t="s">
        <v>2612</v>
      </c>
      <c r="G79" s="502">
        <v>54</v>
      </c>
      <c r="H79" s="508">
        <v>733.86</v>
      </c>
      <c r="I79" s="532"/>
      <c r="J79" s="502" t="s">
        <v>2613</v>
      </c>
      <c r="K79" s="502">
        <v>24.4</v>
      </c>
      <c r="L79" s="507">
        <v>13.59</v>
      </c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</row>
    <row r="80" spans="1:27" x14ac:dyDescent="0.2">
      <c r="A80" s="584"/>
      <c r="B80" s="585"/>
      <c r="C80" s="501">
        <v>42543</v>
      </c>
      <c r="D80" s="502">
        <v>153238</v>
      </c>
      <c r="E80" s="502" t="s">
        <v>2614</v>
      </c>
      <c r="F80" s="502" t="s">
        <v>2600</v>
      </c>
      <c r="G80" s="502">
        <v>80</v>
      </c>
      <c r="H80" s="508">
        <v>780</v>
      </c>
      <c r="I80" s="532"/>
      <c r="J80" s="502" t="s">
        <v>2615</v>
      </c>
      <c r="K80" s="502" t="s">
        <v>2616</v>
      </c>
      <c r="L80" s="507">
        <v>9.75</v>
      </c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</row>
    <row r="81" spans="1:27" x14ac:dyDescent="0.2">
      <c r="A81" s="503" t="s">
        <v>2554</v>
      </c>
      <c r="B81" s="502"/>
      <c r="C81" s="502">
        <v>2015</v>
      </c>
      <c r="D81" s="502">
        <v>141433</v>
      </c>
      <c r="E81" s="502" t="s">
        <v>2617</v>
      </c>
      <c r="F81" s="502" t="s">
        <v>2550</v>
      </c>
      <c r="G81" s="502">
        <v>36</v>
      </c>
      <c r="H81" s="508">
        <v>572.04</v>
      </c>
      <c r="I81" s="532"/>
      <c r="J81" s="502" t="s">
        <v>2618</v>
      </c>
      <c r="K81" s="502">
        <v>30</v>
      </c>
      <c r="L81" s="507">
        <v>15.89</v>
      </c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</row>
    <row r="82" spans="1:27" x14ac:dyDescent="0.2">
      <c r="A82" s="503" t="s">
        <v>2578</v>
      </c>
      <c r="B82" s="585"/>
      <c r="C82" s="501">
        <v>42369</v>
      </c>
      <c r="D82" s="502">
        <v>121125</v>
      </c>
      <c r="E82" s="502" t="s">
        <v>2593</v>
      </c>
      <c r="F82" s="502" t="s">
        <v>2581</v>
      </c>
      <c r="G82" s="502">
        <v>25</v>
      </c>
      <c r="H82" s="586"/>
      <c r="I82" s="323"/>
      <c r="J82" s="323"/>
      <c r="K82" s="502">
        <v>26.66</v>
      </c>
      <c r="L82" s="586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</row>
    <row r="83" spans="1:27" x14ac:dyDescent="0.2">
      <c r="A83" s="503" t="s">
        <v>2594</v>
      </c>
      <c r="B83" s="585"/>
      <c r="C83" s="501">
        <v>42499</v>
      </c>
      <c r="D83" s="502">
        <v>132712</v>
      </c>
      <c r="E83" s="502" t="s">
        <v>2595</v>
      </c>
      <c r="F83" s="502">
        <v>950</v>
      </c>
      <c r="G83" s="502">
        <v>2</v>
      </c>
      <c r="H83" s="587"/>
      <c r="I83" s="532"/>
      <c r="J83" s="502" t="s">
        <v>2596</v>
      </c>
      <c r="K83" s="502">
        <v>31</v>
      </c>
      <c r="L83" s="586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</row>
    <row r="84" spans="1:27" x14ac:dyDescent="0.2">
      <c r="A84" s="503" t="s">
        <v>2594</v>
      </c>
      <c r="B84" s="585"/>
      <c r="C84" s="501">
        <v>42537</v>
      </c>
      <c r="D84" s="502">
        <v>132720</v>
      </c>
      <c r="E84" s="502" t="s">
        <v>2597</v>
      </c>
      <c r="F84" s="502">
        <v>500</v>
      </c>
      <c r="G84" s="502">
        <v>5</v>
      </c>
      <c r="H84" s="587"/>
      <c r="I84" s="532"/>
      <c r="J84" s="502" t="s">
        <v>2598</v>
      </c>
      <c r="K84" s="502">
        <v>27.08</v>
      </c>
      <c r="L84" s="586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</row>
    <row r="85" spans="1:27" x14ac:dyDescent="0.2">
      <c r="A85" s="503" t="s">
        <v>2571</v>
      </c>
      <c r="B85" s="585"/>
      <c r="C85" s="501">
        <v>42369</v>
      </c>
      <c r="D85" s="502">
        <v>103485</v>
      </c>
      <c r="E85" s="502" t="s">
        <v>2599</v>
      </c>
      <c r="F85" s="502" t="s">
        <v>2600</v>
      </c>
      <c r="G85" s="502">
        <v>4</v>
      </c>
      <c r="H85" s="586"/>
      <c r="I85" s="323"/>
      <c r="J85" s="323"/>
      <c r="K85" s="502">
        <v>25</v>
      </c>
      <c r="L85" s="586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</row>
    <row r="86" spans="1:27" x14ac:dyDescent="0.2">
      <c r="A86" s="503" t="s">
        <v>2548</v>
      </c>
      <c r="B86" s="585"/>
      <c r="C86" s="501">
        <v>42369</v>
      </c>
      <c r="D86" s="502">
        <v>103395</v>
      </c>
      <c r="E86" s="502" t="s">
        <v>2619</v>
      </c>
      <c r="F86" s="502" t="s">
        <v>2484</v>
      </c>
      <c r="G86" s="502">
        <v>2</v>
      </c>
      <c r="H86" s="506">
        <v>47.18</v>
      </c>
      <c r="I86" s="532"/>
      <c r="J86" s="502" t="s">
        <v>2620</v>
      </c>
      <c r="K86" s="502">
        <v>23</v>
      </c>
      <c r="L86" s="507">
        <v>23.59</v>
      </c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</row>
    <row r="87" spans="1:27" x14ac:dyDescent="0.2">
      <c r="A87" s="503" t="s">
        <v>2552</v>
      </c>
      <c r="B87" s="585"/>
      <c r="C87" s="501">
        <v>42499</v>
      </c>
      <c r="D87" s="502">
        <v>122750</v>
      </c>
      <c r="E87" s="502" t="s">
        <v>2621</v>
      </c>
      <c r="F87" s="502" t="s">
        <v>2484</v>
      </c>
      <c r="G87" s="502">
        <v>1</v>
      </c>
      <c r="H87" s="506">
        <v>22.85</v>
      </c>
      <c r="I87" s="532"/>
      <c r="J87" s="502" t="s">
        <v>2622</v>
      </c>
      <c r="K87" s="502">
        <v>18.75</v>
      </c>
      <c r="L87" s="507">
        <v>22.85</v>
      </c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</row>
    <row r="88" spans="1:27" x14ac:dyDescent="0.2">
      <c r="A88" s="503" t="s">
        <v>2540</v>
      </c>
      <c r="B88" s="585"/>
      <c r="C88" s="501">
        <v>42061</v>
      </c>
      <c r="D88" s="502">
        <v>122913</v>
      </c>
      <c r="E88" s="502" t="s">
        <v>2623</v>
      </c>
      <c r="F88" s="502" t="s">
        <v>2484</v>
      </c>
      <c r="G88" s="502">
        <v>12</v>
      </c>
      <c r="H88" s="506">
        <v>226.93</v>
      </c>
      <c r="I88" s="532"/>
      <c r="J88" s="502" t="s">
        <v>2620</v>
      </c>
      <c r="K88" s="502">
        <v>18.3</v>
      </c>
      <c r="L88" s="507">
        <v>20.63</v>
      </c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</row>
    <row r="89" spans="1:27" x14ac:dyDescent="0.2">
      <c r="A89" s="503" t="s">
        <v>2601</v>
      </c>
      <c r="B89" s="585"/>
      <c r="C89" s="501">
        <v>42369</v>
      </c>
      <c r="D89" s="502">
        <v>141307</v>
      </c>
      <c r="E89" s="502" t="s">
        <v>2624</v>
      </c>
      <c r="F89" s="502" t="s">
        <v>2625</v>
      </c>
      <c r="G89" s="502">
        <v>28</v>
      </c>
      <c r="H89" s="506">
        <v>353.36</v>
      </c>
      <c r="I89" s="532"/>
      <c r="J89" s="502" t="s">
        <v>2626</v>
      </c>
      <c r="K89" s="502">
        <v>12.9</v>
      </c>
      <c r="L89" s="507">
        <v>12.62</v>
      </c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</row>
    <row r="90" spans="1:27" x14ac:dyDescent="0.2">
      <c r="A90" s="503" t="s">
        <v>2627</v>
      </c>
      <c r="B90" s="585"/>
      <c r="C90" s="501">
        <v>42384</v>
      </c>
      <c r="D90" s="502" t="s">
        <v>2628</v>
      </c>
      <c r="E90" s="502" t="s">
        <v>2629</v>
      </c>
      <c r="F90" s="502" t="s">
        <v>2630</v>
      </c>
      <c r="G90" s="502">
        <v>17</v>
      </c>
      <c r="H90" s="506">
        <v>0</v>
      </c>
      <c r="I90" s="532"/>
      <c r="J90" s="502" t="s">
        <v>2631</v>
      </c>
      <c r="K90" s="502">
        <v>19</v>
      </c>
      <c r="L90" s="586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</row>
    <row r="91" spans="1:27" x14ac:dyDescent="0.2">
      <c r="A91" s="503" t="s">
        <v>2632</v>
      </c>
      <c r="B91" s="585"/>
      <c r="C91" s="501">
        <v>42369</v>
      </c>
      <c r="D91" s="502">
        <v>162013</v>
      </c>
      <c r="E91" s="502" t="s">
        <v>2633</v>
      </c>
      <c r="F91" s="502" t="s">
        <v>2484</v>
      </c>
      <c r="G91" s="502">
        <v>5</v>
      </c>
      <c r="H91" s="586"/>
      <c r="I91" s="532"/>
      <c r="J91" s="502" t="s">
        <v>2634</v>
      </c>
      <c r="K91" s="502">
        <v>5</v>
      </c>
      <c r="L91" s="586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</row>
    <row r="92" spans="1:27" x14ac:dyDescent="0.2">
      <c r="A92" s="503" t="s">
        <v>2635</v>
      </c>
      <c r="B92" s="585"/>
      <c r="C92" s="501">
        <v>42529</v>
      </c>
      <c r="D92" s="323">
        <v>232215</v>
      </c>
      <c r="E92" s="502" t="s">
        <v>2636</v>
      </c>
      <c r="F92" s="502" t="s">
        <v>2637</v>
      </c>
      <c r="G92" s="502" t="s">
        <v>2638</v>
      </c>
      <c r="H92" s="506">
        <v>61.38</v>
      </c>
      <c r="I92" s="323"/>
      <c r="J92" s="323" t="s">
        <v>2639</v>
      </c>
      <c r="K92" s="502">
        <v>35</v>
      </c>
      <c r="L92" s="507">
        <v>60.05</v>
      </c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</row>
    <row r="93" spans="1:27" x14ac:dyDescent="0.2">
      <c r="A93" s="503" t="s">
        <v>2635</v>
      </c>
      <c r="B93" s="585"/>
      <c r="C93" s="501">
        <v>42559</v>
      </c>
      <c r="D93" s="323">
        <v>232120</v>
      </c>
      <c r="E93" s="502" t="s">
        <v>2640</v>
      </c>
      <c r="F93" s="502" t="s">
        <v>2641</v>
      </c>
      <c r="G93" s="502" t="s">
        <v>2642</v>
      </c>
      <c r="H93" s="506">
        <v>61.38</v>
      </c>
      <c r="I93" s="323"/>
      <c r="J93" s="323" t="s">
        <v>2639</v>
      </c>
      <c r="K93" s="502">
        <v>11.37</v>
      </c>
      <c r="L93" s="507">
        <v>17.170000000000002</v>
      </c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</row>
    <row r="94" spans="1:27" x14ac:dyDescent="0.2">
      <c r="A94" s="503" t="s">
        <v>2635</v>
      </c>
      <c r="B94" s="585"/>
      <c r="C94" s="501">
        <v>42535</v>
      </c>
      <c r="D94" s="323">
        <v>232276</v>
      </c>
      <c r="E94" s="502" t="s">
        <v>2643</v>
      </c>
      <c r="F94" s="502" t="s">
        <v>2644</v>
      </c>
      <c r="G94" s="502">
        <v>15</v>
      </c>
      <c r="H94" s="506">
        <f t="shared" ref="H94:H95" si="0">L94*G94</f>
        <v>1263.1499999999999</v>
      </c>
      <c r="I94" s="532"/>
      <c r="J94" s="323" t="s">
        <v>2645</v>
      </c>
      <c r="K94" s="502">
        <v>75.81</v>
      </c>
      <c r="L94" s="507">
        <v>84.21</v>
      </c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</row>
    <row r="95" spans="1:27" x14ac:dyDescent="0.2">
      <c r="A95" s="503" t="s">
        <v>2601</v>
      </c>
      <c r="B95" s="585"/>
      <c r="C95" s="501">
        <v>42530</v>
      </c>
      <c r="D95" s="323">
        <v>142328</v>
      </c>
      <c r="E95" s="502" t="s">
        <v>2646</v>
      </c>
      <c r="F95" s="502" t="s">
        <v>2484</v>
      </c>
      <c r="G95" s="502">
        <v>20</v>
      </c>
      <c r="H95" s="508">
        <f t="shared" si="0"/>
        <v>882.8</v>
      </c>
      <c r="I95" s="532"/>
      <c r="J95" s="502" t="s">
        <v>2647</v>
      </c>
      <c r="K95" s="502" t="s">
        <v>2648</v>
      </c>
      <c r="L95" s="507">
        <v>44.14</v>
      </c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</row>
    <row r="96" spans="1:27" x14ac:dyDescent="0.2">
      <c r="A96" s="503" t="s">
        <v>2649</v>
      </c>
      <c r="B96" s="588"/>
      <c r="C96" s="509">
        <v>42625</v>
      </c>
      <c r="D96" s="323">
        <v>101312</v>
      </c>
      <c r="E96" s="502" t="s">
        <v>2650</v>
      </c>
      <c r="F96" s="502" t="s">
        <v>2625</v>
      </c>
      <c r="G96" s="502">
        <v>23</v>
      </c>
      <c r="H96" s="506">
        <v>420.75</v>
      </c>
      <c r="I96" s="532"/>
      <c r="J96" s="323"/>
      <c r="K96" s="502">
        <v>16.25</v>
      </c>
      <c r="L96" s="507">
        <v>11.45</v>
      </c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</row>
    <row r="97" spans="1:27" x14ac:dyDescent="0.2">
      <c r="A97" s="503" t="s">
        <v>2635</v>
      </c>
      <c r="B97" s="585"/>
      <c r="C97" s="501">
        <v>42535</v>
      </c>
      <c r="D97" s="323">
        <v>232276</v>
      </c>
      <c r="E97" s="502" t="s">
        <v>2643</v>
      </c>
      <c r="F97" s="502" t="s">
        <v>2644</v>
      </c>
      <c r="G97" s="502">
        <v>19</v>
      </c>
      <c r="H97" s="508">
        <f>L97*G97</f>
        <v>1599.9899999999998</v>
      </c>
      <c r="I97" s="532"/>
      <c r="J97" s="502" t="s">
        <v>2651</v>
      </c>
      <c r="K97" s="502">
        <v>75.81</v>
      </c>
      <c r="L97" s="507">
        <v>84.21</v>
      </c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</row>
    <row r="98" spans="1:27" x14ac:dyDescent="0.2">
      <c r="A98" s="503" t="s">
        <v>2652</v>
      </c>
      <c r="B98" s="585"/>
      <c r="C98" s="501">
        <v>42566</v>
      </c>
      <c r="D98" s="323">
        <v>102520</v>
      </c>
      <c r="E98" s="502" t="s">
        <v>2653</v>
      </c>
      <c r="F98" s="502" t="s">
        <v>2576</v>
      </c>
      <c r="G98" s="502">
        <v>1</v>
      </c>
      <c r="H98" s="506">
        <v>420.75</v>
      </c>
      <c r="I98" s="532"/>
      <c r="J98" s="532"/>
      <c r="K98" s="502">
        <v>28.72</v>
      </c>
      <c r="L98" s="507">
        <v>20.03</v>
      </c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</row>
    <row r="99" spans="1:27" x14ac:dyDescent="0.2">
      <c r="A99" s="503" t="s">
        <v>2578</v>
      </c>
      <c r="B99" s="585"/>
      <c r="C99" s="501">
        <v>42369</v>
      </c>
      <c r="D99" s="510" t="s">
        <v>2654</v>
      </c>
      <c r="E99" s="502" t="s">
        <v>2655</v>
      </c>
      <c r="F99" s="502" t="s">
        <v>2576</v>
      </c>
      <c r="G99" s="502">
        <v>100</v>
      </c>
      <c r="H99" s="508">
        <f>L99*G99</f>
        <v>762</v>
      </c>
      <c r="I99" s="532"/>
      <c r="J99" s="449" t="s">
        <v>2656</v>
      </c>
      <c r="K99" s="323"/>
      <c r="L99" s="507">
        <v>7.62</v>
      </c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</row>
    <row r="100" spans="1:27" x14ac:dyDescent="0.2">
      <c r="A100" s="503" t="s">
        <v>2552</v>
      </c>
      <c r="B100" s="585"/>
      <c r="C100" s="501">
        <v>42355</v>
      </c>
      <c r="D100" s="323">
        <v>121799</v>
      </c>
      <c r="E100" s="502" t="s">
        <v>2657</v>
      </c>
      <c r="F100" s="502" t="s">
        <v>2576</v>
      </c>
      <c r="G100" s="502">
        <v>1</v>
      </c>
      <c r="H100" s="506">
        <v>22.85</v>
      </c>
      <c r="I100" s="323"/>
      <c r="J100" s="323"/>
      <c r="K100" s="502">
        <v>16.440000000000001</v>
      </c>
      <c r="L100" s="507">
        <v>15.64</v>
      </c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</row>
    <row r="101" spans="1:27" x14ac:dyDescent="0.2">
      <c r="A101" s="503" t="s">
        <v>2548</v>
      </c>
      <c r="B101" s="585"/>
      <c r="C101" s="501">
        <v>42369</v>
      </c>
      <c r="D101" s="323">
        <v>101412</v>
      </c>
      <c r="E101" s="502" t="s">
        <v>2658</v>
      </c>
      <c r="F101" s="502" t="s">
        <v>2536</v>
      </c>
      <c r="G101" s="502">
        <v>25</v>
      </c>
      <c r="H101" s="506">
        <v>420.75</v>
      </c>
      <c r="I101" s="532"/>
      <c r="J101" s="511" t="s">
        <v>2659</v>
      </c>
      <c r="K101" s="323"/>
      <c r="L101" s="507">
        <v>16.829999999999998</v>
      </c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</row>
    <row r="102" spans="1:27" x14ac:dyDescent="0.2">
      <c r="A102" s="503"/>
      <c r="B102" s="585"/>
      <c r="C102" s="501">
        <v>42735</v>
      </c>
      <c r="D102" s="323">
        <v>191420</v>
      </c>
      <c r="E102" s="502" t="s">
        <v>2660</v>
      </c>
      <c r="F102" s="502" t="s">
        <v>2661</v>
      </c>
      <c r="G102" s="502">
        <v>0</v>
      </c>
      <c r="H102" s="508">
        <f>L102*G102</f>
        <v>0</v>
      </c>
      <c r="I102" s="532"/>
      <c r="J102" s="502" t="s">
        <v>2662</v>
      </c>
      <c r="K102" s="502">
        <v>54</v>
      </c>
      <c r="L102" s="507">
        <v>77.400000000000006</v>
      </c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</row>
    <row r="103" spans="1:27" x14ac:dyDescent="0.2">
      <c r="A103" s="503"/>
      <c r="B103" s="585"/>
      <c r="C103" s="585"/>
      <c r="D103" s="323">
        <v>175215</v>
      </c>
      <c r="E103" s="502" t="s">
        <v>2663</v>
      </c>
      <c r="F103" s="502"/>
      <c r="G103" s="502">
        <v>1</v>
      </c>
      <c r="H103" s="506"/>
      <c r="I103" s="532"/>
      <c r="J103" s="449" t="s">
        <v>2622</v>
      </c>
      <c r="K103" s="323"/>
      <c r="L103" s="507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</row>
    <row r="104" spans="1:27" x14ac:dyDescent="0.2">
      <c r="A104" s="503" t="s">
        <v>1225</v>
      </c>
      <c r="B104" s="512">
        <v>42829</v>
      </c>
      <c r="C104" s="501">
        <v>42551</v>
      </c>
      <c r="D104" s="323">
        <v>132340</v>
      </c>
      <c r="E104" s="502" t="s">
        <v>2664</v>
      </c>
      <c r="F104" s="502" t="s">
        <v>2484</v>
      </c>
      <c r="G104" s="502">
        <v>5</v>
      </c>
      <c r="H104" s="506">
        <v>226.93</v>
      </c>
      <c r="I104" s="323"/>
      <c r="J104" s="323"/>
      <c r="K104" s="502">
        <v>15.04</v>
      </c>
      <c r="L104" s="507">
        <v>18.989999999999998</v>
      </c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</row>
    <row r="105" spans="1:27" x14ac:dyDescent="0.2">
      <c r="A105" s="503" t="s">
        <v>2554</v>
      </c>
      <c r="B105" s="512">
        <v>42829</v>
      </c>
      <c r="C105" s="501">
        <v>42453</v>
      </c>
      <c r="D105" s="323">
        <v>142461</v>
      </c>
      <c r="E105" s="502" t="s">
        <v>2665</v>
      </c>
      <c r="F105" s="502" t="s">
        <v>2484</v>
      </c>
      <c r="G105" s="502">
        <v>10</v>
      </c>
      <c r="H105" s="506">
        <f t="shared" ref="H105:H107" si="1">L105*G105</f>
        <v>558.6</v>
      </c>
      <c r="I105" s="323"/>
      <c r="J105" s="323"/>
      <c r="K105" s="502">
        <v>66.67</v>
      </c>
      <c r="L105" s="507">
        <v>55.86</v>
      </c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</row>
    <row r="106" spans="1:27" x14ac:dyDescent="0.2">
      <c r="A106" s="584" t="s">
        <v>1225</v>
      </c>
      <c r="B106" s="512">
        <v>42829</v>
      </c>
      <c r="C106" s="512">
        <v>42654</v>
      </c>
      <c r="D106" s="323">
        <v>132063</v>
      </c>
      <c r="E106" s="323" t="s">
        <v>2666</v>
      </c>
      <c r="F106" s="323" t="s">
        <v>2484</v>
      </c>
      <c r="G106" s="323">
        <v>3</v>
      </c>
      <c r="H106" s="513">
        <f t="shared" si="1"/>
        <v>23.34</v>
      </c>
      <c r="I106" s="532"/>
      <c r="J106" s="323"/>
      <c r="K106" s="504">
        <v>6.5</v>
      </c>
      <c r="L106" s="507">
        <v>7.78</v>
      </c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</row>
    <row r="107" spans="1:27" x14ac:dyDescent="0.2">
      <c r="A107" s="503" t="s">
        <v>2635</v>
      </c>
      <c r="B107" s="514">
        <v>42829</v>
      </c>
      <c r="C107" s="515">
        <v>42535</v>
      </c>
      <c r="D107" s="532">
        <v>232276</v>
      </c>
      <c r="E107" s="516" t="s">
        <v>2643</v>
      </c>
      <c r="F107" s="449" t="s">
        <v>2644</v>
      </c>
      <c r="G107" s="449">
        <v>6</v>
      </c>
      <c r="H107" s="508">
        <f t="shared" si="1"/>
        <v>505.26</v>
      </c>
      <c r="I107" s="532"/>
      <c r="J107" s="449" t="s">
        <v>2651</v>
      </c>
      <c r="K107" s="449">
        <v>75.81</v>
      </c>
      <c r="L107" s="517">
        <v>84.21</v>
      </c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</row>
    <row r="108" spans="1:27" x14ac:dyDescent="0.2">
      <c r="A108" s="589"/>
      <c r="B108" s="532"/>
      <c r="C108" s="532"/>
      <c r="D108" s="532"/>
      <c r="E108" s="516" t="s">
        <v>2667</v>
      </c>
      <c r="F108" s="532"/>
      <c r="G108" s="532"/>
      <c r="H108" s="587"/>
      <c r="I108" s="532"/>
      <c r="J108" s="449" t="s">
        <v>2667</v>
      </c>
      <c r="K108" s="532"/>
      <c r="L108" s="587"/>
      <c r="M108" s="532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</row>
    <row r="109" spans="1:27" x14ac:dyDescent="0.2">
      <c r="A109" s="584" t="s">
        <v>2548</v>
      </c>
      <c r="B109" s="512">
        <v>42829</v>
      </c>
      <c r="C109" s="512">
        <v>42571</v>
      </c>
      <c r="D109" s="323">
        <v>101458</v>
      </c>
      <c r="E109" s="323" t="s">
        <v>2668</v>
      </c>
      <c r="F109" s="323" t="s">
        <v>2669</v>
      </c>
      <c r="G109" s="323">
        <v>102</v>
      </c>
      <c r="H109" s="518">
        <f t="shared" ref="H109:H110" si="2">L109*G109</f>
        <v>1088.3399999999999</v>
      </c>
      <c r="I109" s="532"/>
      <c r="J109" s="502" t="s">
        <v>2670</v>
      </c>
      <c r="K109" s="504">
        <v>15.2</v>
      </c>
      <c r="L109" s="507">
        <v>10.67</v>
      </c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</row>
    <row r="110" spans="1:27" x14ac:dyDescent="0.2">
      <c r="A110" s="503" t="s">
        <v>2531</v>
      </c>
      <c r="B110" s="512">
        <v>42829</v>
      </c>
      <c r="C110" s="501">
        <v>42369</v>
      </c>
      <c r="D110" s="323">
        <v>180705</v>
      </c>
      <c r="E110" s="502" t="s">
        <v>2671</v>
      </c>
      <c r="F110" s="502" t="s">
        <v>2672</v>
      </c>
      <c r="G110" s="502">
        <v>64</v>
      </c>
      <c r="H110" s="508">
        <f t="shared" si="2"/>
        <v>2197.12</v>
      </c>
      <c r="I110" s="532"/>
      <c r="J110" s="502" t="s">
        <v>2673</v>
      </c>
      <c r="K110" s="502">
        <v>22.78</v>
      </c>
      <c r="L110" s="507">
        <v>34.33</v>
      </c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</row>
    <row r="111" spans="1:27" x14ac:dyDescent="0.2">
      <c r="A111" s="584" t="s">
        <v>2674</v>
      </c>
      <c r="B111" s="519">
        <v>42844</v>
      </c>
      <c r="C111" s="323"/>
      <c r="D111" s="323">
        <v>192777</v>
      </c>
      <c r="E111" s="323" t="s">
        <v>2675</v>
      </c>
      <c r="F111" s="504">
        <v>1000</v>
      </c>
      <c r="G111" s="323">
        <v>4</v>
      </c>
      <c r="H111" s="586"/>
      <c r="I111" s="323"/>
      <c r="J111" s="323"/>
      <c r="K111" s="323"/>
      <c r="L111" s="586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</row>
    <row r="112" spans="1:27" x14ac:dyDescent="0.2">
      <c r="A112" s="584" t="s">
        <v>2676</v>
      </c>
      <c r="B112" s="512">
        <v>42829</v>
      </c>
      <c r="C112" s="512">
        <v>42570</v>
      </c>
      <c r="D112" s="323">
        <v>122870</v>
      </c>
      <c r="E112" s="323" t="s">
        <v>2677</v>
      </c>
      <c r="F112" s="323" t="s">
        <v>2641</v>
      </c>
      <c r="G112" s="323">
        <v>13</v>
      </c>
      <c r="H112" s="506">
        <f>L112*G112</f>
        <v>756.07999999999993</v>
      </c>
      <c r="I112" s="323"/>
      <c r="J112" s="323" t="s">
        <v>2678</v>
      </c>
      <c r="K112" s="504">
        <v>18.61</v>
      </c>
      <c r="L112" s="507">
        <v>58.16</v>
      </c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</row>
    <row r="113" spans="1:27" x14ac:dyDescent="0.2">
      <c r="A113" s="584" t="s">
        <v>2594</v>
      </c>
      <c r="B113" s="512">
        <v>42829</v>
      </c>
      <c r="C113" s="512">
        <v>42642</v>
      </c>
      <c r="D113" s="323">
        <v>132703</v>
      </c>
      <c r="E113" s="323" t="s">
        <v>2679</v>
      </c>
      <c r="F113" s="323" t="s">
        <v>2680</v>
      </c>
      <c r="G113" s="323">
        <v>2</v>
      </c>
      <c r="H113" s="520">
        <f>SUM(H4:H107)</f>
        <v>19158.149999999994</v>
      </c>
      <c r="I113" s="323"/>
      <c r="J113" s="323"/>
      <c r="K113" s="504">
        <v>22</v>
      </c>
      <c r="L113" s="586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</row>
    <row r="114" spans="1:27" x14ac:dyDescent="0.2">
      <c r="A114" s="503" t="s">
        <v>2601</v>
      </c>
      <c r="B114" s="512">
        <v>42829</v>
      </c>
      <c r="C114" s="501">
        <v>42663</v>
      </c>
      <c r="D114" s="323">
        <v>142314</v>
      </c>
      <c r="E114" s="502" t="s">
        <v>2681</v>
      </c>
      <c r="F114" s="502" t="s">
        <v>2484</v>
      </c>
      <c r="G114" s="502">
        <v>4</v>
      </c>
      <c r="H114" s="506">
        <f t="shared" ref="H114:H116" si="3">L114*G114</f>
        <v>24.16</v>
      </c>
      <c r="I114" s="532"/>
      <c r="J114" s="323"/>
      <c r="K114" s="502">
        <v>9.7200000000000006</v>
      </c>
      <c r="L114" s="507">
        <v>6.04</v>
      </c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</row>
    <row r="115" spans="1:27" x14ac:dyDescent="0.2">
      <c r="A115" s="584" t="s">
        <v>2682</v>
      </c>
      <c r="B115" s="512">
        <v>42856</v>
      </c>
      <c r="C115" s="512">
        <v>42691</v>
      </c>
      <c r="D115" s="323" t="s">
        <v>2683</v>
      </c>
      <c r="E115" s="323" t="s">
        <v>2684</v>
      </c>
      <c r="F115" s="323" t="s">
        <v>2685</v>
      </c>
      <c r="G115" s="323">
        <v>6</v>
      </c>
      <c r="H115" s="508">
        <f t="shared" si="3"/>
        <v>622.91999999999996</v>
      </c>
      <c r="I115" s="532"/>
      <c r="J115" s="502" t="s">
        <v>2686</v>
      </c>
      <c r="K115" s="504">
        <v>50.6</v>
      </c>
      <c r="L115" s="507">
        <v>103.82</v>
      </c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</row>
    <row r="116" spans="1:27" x14ac:dyDescent="0.2">
      <c r="A116" s="503" t="s">
        <v>2554</v>
      </c>
      <c r="B116" s="512">
        <v>42829</v>
      </c>
      <c r="C116" s="501">
        <v>42453</v>
      </c>
      <c r="D116" s="323">
        <v>142461</v>
      </c>
      <c r="E116" s="502" t="s">
        <v>2665</v>
      </c>
      <c r="F116" s="502" t="s">
        <v>2484</v>
      </c>
      <c r="G116" s="502">
        <v>6</v>
      </c>
      <c r="H116" s="506">
        <f t="shared" si="3"/>
        <v>335.15999999999997</v>
      </c>
      <c r="I116" s="323"/>
      <c r="J116" s="323"/>
      <c r="K116" s="502">
        <v>66.67</v>
      </c>
      <c r="L116" s="507">
        <v>55.86</v>
      </c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</row>
    <row r="117" spans="1:27" x14ac:dyDescent="0.2">
      <c r="A117" s="503" t="s">
        <v>2635</v>
      </c>
      <c r="B117" s="501">
        <v>42877</v>
      </c>
      <c r="C117" s="501">
        <v>42877</v>
      </c>
      <c r="D117" s="502">
        <v>40467</v>
      </c>
      <c r="E117" s="502" t="s">
        <v>2687</v>
      </c>
      <c r="F117" s="502" t="s">
        <v>2641</v>
      </c>
      <c r="G117" s="502">
        <v>9</v>
      </c>
      <c r="H117" s="506" t="str">
        <f ca="1">SUM(H5:H132)</f>
        <v>#REF!</v>
      </c>
      <c r="I117" s="323"/>
      <c r="J117" s="323"/>
      <c r="K117" s="502">
        <v>363</v>
      </c>
      <c r="L117" s="586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</row>
    <row r="118" spans="1:27" x14ac:dyDescent="0.2">
      <c r="A118" s="584" t="s">
        <v>2561</v>
      </c>
      <c r="B118" s="512">
        <v>42829</v>
      </c>
      <c r="C118" s="512">
        <v>42689</v>
      </c>
      <c r="D118" s="323">
        <v>133112</v>
      </c>
      <c r="E118" s="323" t="s">
        <v>2562</v>
      </c>
      <c r="F118" s="323" t="s">
        <v>2484</v>
      </c>
      <c r="G118" s="323">
        <v>57</v>
      </c>
      <c r="H118" s="506">
        <f t="shared" ref="H118:H119" si="4">L118*G118</f>
        <v>1760.1599999999999</v>
      </c>
      <c r="I118" s="323"/>
      <c r="J118" s="323" t="s">
        <v>2688</v>
      </c>
      <c r="K118" s="504">
        <v>11</v>
      </c>
      <c r="L118" s="507">
        <v>30.88</v>
      </c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</row>
    <row r="119" spans="1:27" x14ac:dyDescent="0.2">
      <c r="A119" s="503" t="s">
        <v>2552</v>
      </c>
      <c r="B119" s="512">
        <v>42829</v>
      </c>
      <c r="C119" s="501">
        <v>42369</v>
      </c>
      <c r="D119" s="510" t="s">
        <v>2689</v>
      </c>
      <c r="E119" s="502" t="s">
        <v>2690</v>
      </c>
      <c r="F119" s="502" t="s">
        <v>2484</v>
      </c>
      <c r="G119" s="502">
        <v>219</v>
      </c>
      <c r="H119" s="506">
        <f t="shared" si="4"/>
        <v>1734.48</v>
      </c>
      <c r="I119" s="532"/>
      <c r="J119" s="449" t="s">
        <v>2691</v>
      </c>
      <c r="K119" s="323"/>
      <c r="L119" s="507">
        <v>7.92</v>
      </c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</row>
    <row r="120" spans="1:27" x14ac:dyDescent="0.2">
      <c r="A120" s="584" t="s">
        <v>2692</v>
      </c>
      <c r="B120" s="501">
        <v>42985</v>
      </c>
      <c r="C120" s="501">
        <v>42985</v>
      </c>
      <c r="D120" s="323" t="s">
        <v>2693</v>
      </c>
      <c r="E120" s="323" t="s">
        <v>2694</v>
      </c>
      <c r="F120" s="504">
        <v>250</v>
      </c>
      <c r="G120" s="323">
        <v>20</v>
      </c>
      <c r="H120" s="587"/>
      <c r="I120" s="532"/>
      <c r="J120" s="502" t="s">
        <v>2695</v>
      </c>
      <c r="K120" s="323" t="s">
        <v>28</v>
      </c>
      <c r="L120" s="586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</row>
    <row r="121" spans="1:27" x14ac:dyDescent="0.2">
      <c r="A121" s="521" t="s">
        <v>2674</v>
      </c>
      <c r="B121" s="522">
        <v>42830</v>
      </c>
      <c r="C121" s="522"/>
      <c r="D121" s="532"/>
      <c r="E121" s="523" t="s">
        <v>2696</v>
      </c>
      <c r="F121" s="524" t="s">
        <v>2697</v>
      </c>
      <c r="G121" s="524" t="s">
        <v>2698</v>
      </c>
      <c r="H121" s="587"/>
      <c r="I121" s="532"/>
      <c r="J121" s="523" t="s">
        <v>2699</v>
      </c>
      <c r="K121" s="524" t="s">
        <v>2697</v>
      </c>
      <c r="L121" s="586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</row>
    <row r="122" spans="1:27" x14ac:dyDescent="0.2">
      <c r="A122" s="503" t="s">
        <v>2601</v>
      </c>
      <c r="B122" s="512">
        <v>42829</v>
      </c>
      <c r="C122" s="501">
        <v>42530</v>
      </c>
      <c r="D122" s="323">
        <v>142328</v>
      </c>
      <c r="E122" s="502" t="s">
        <v>2646</v>
      </c>
      <c r="F122" s="502" t="s">
        <v>2484</v>
      </c>
      <c r="G122" s="502">
        <v>23</v>
      </c>
      <c r="H122" s="508">
        <f>L122*G122</f>
        <v>1015.22</v>
      </c>
      <c r="I122" s="532"/>
      <c r="J122" s="502" t="s">
        <v>2647</v>
      </c>
      <c r="K122" s="502" t="s">
        <v>2648</v>
      </c>
      <c r="L122" s="507">
        <v>44.14</v>
      </c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</row>
    <row r="123" spans="1:27" x14ac:dyDescent="0.2">
      <c r="A123" s="584" t="s">
        <v>2692</v>
      </c>
      <c r="B123" s="501">
        <v>42985</v>
      </c>
      <c r="C123" s="501">
        <v>42985</v>
      </c>
      <c r="D123" s="323" t="s">
        <v>2693</v>
      </c>
      <c r="E123" s="323" t="s">
        <v>2694</v>
      </c>
      <c r="F123" s="504">
        <v>250</v>
      </c>
      <c r="G123" s="323">
        <v>18</v>
      </c>
      <c r="H123" s="586"/>
      <c r="I123" s="532"/>
      <c r="J123" s="323"/>
      <c r="K123" s="323"/>
      <c r="L123" s="586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</row>
    <row r="124" spans="1:27" x14ac:dyDescent="0.2">
      <c r="A124" s="503" t="s">
        <v>2601</v>
      </c>
      <c r="B124" s="514"/>
      <c r="C124" s="585"/>
      <c r="D124" s="525">
        <v>141347</v>
      </c>
      <c r="E124" s="502" t="s">
        <v>2700</v>
      </c>
      <c r="F124" s="502" t="s">
        <v>2612</v>
      </c>
      <c r="G124" s="502">
        <v>4</v>
      </c>
      <c r="H124" s="518">
        <f>L124*G124</f>
        <v>56.8</v>
      </c>
      <c r="I124" s="532"/>
      <c r="J124" s="502" t="s">
        <v>2701</v>
      </c>
      <c r="K124" s="502">
        <v>25.5</v>
      </c>
      <c r="L124" s="507">
        <v>14.2</v>
      </c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</row>
    <row r="125" spans="1:27" x14ac:dyDescent="0.2">
      <c r="A125" s="589"/>
      <c r="B125" s="590"/>
      <c r="C125" s="502" t="s">
        <v>2702</v>
      </c>
      <c r="D125" s="323" t="s">
        <v>2703</v>
      </c>
      <c r="E125" s="323" t="s">
        <v>2484</v>
      </c>
      <c r="F125" s="504">
        <v>5</v>
      </c>
      <c r="G125" s="323">
        <v>21.88</v>
      </c>
      <c r="H125" s="587"/>
      <c r="I125" s="587"/>
      <c r="J125" s="502" t="s">
        <v>2704</v>
      </c>
      <c r="K125" s="507">
        <v>26.31</v>
      </c>
      <c r="L125" s="507">
        <v>57.64</v>
      </c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</row>
    <row r="126" spans="1:27" x14ac:dyDescent="0.2">
      <c r="A126" s="584" t="s">
        <v>2674</v>
      </c>
      <c r="B126" s="501">
        <v>42843</v>
      </c>
      <c r="C126" s="501">
        <v>42842</v>
      </c>
      <c r="D126" s="323">
        <v>192777</v>
      </c>
      <c r="E126" s="323" t="s">
        <v>2675</v>
      </c>
      <c r="F126" s="323" t="s">
        <v>2484</v>
      </c>
      <c r="G126" s="323">
        <v>1</v>
      </c>
      <c r="H126" s="586"/>
      <c r="I126" s="323"/>
      <c r="J126" s="323"/>
      <c r="K126" s="504">
        <v>7.2</v>
      </c>
      <c r="L126" s="586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</row>
    <row r="127" spans="1:27" x14ac:dyDescent="0.2">
      <c r="A127" s="584" t="s">
        <v>2692</v>
      </c>
      <c r="B127" s="501">
        <v>42985</v>
      </c>
      <c r="C127" s="501">
        <v>42985</v>
      </c>
      <c r="D127" s="323" t="s">
        <v>2693</v>
      </c>
      <c r="E127" s="323" t="s">
        <v>2694</v>
      </c>
      <c r="F127" s="504">
        <v>250</v>
      </c>
      <c r="G127" s="323">
        <v>6</v>
      </c>
      <c r="H127" s="586"/>
      <c r="I127" s="323"/>
      <c r="J127" s="323"/>
      <c r="K127" s="323"/>
      <c r="L127" s="586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</row>
    <row r="128" spans="1:27" x14ac:dyDescent="0.2">
      <c r="A128" s="584" t="s">
        <v>2627</v>
      </c>
      <c r="B128" s="512">
        <v>43061</v>
      </c>
      <c r="C128" s="512">
        <v>43061</v>
      </c>
      <c r="D128" s="323">
        <v>228420</v>
      </c>
      <c r="E128" s="323" t="s">
        <v>2705</v>
      </c>
      <c r="F128" s="504">
        <v>250</v>
      </c>
      <c r="G128" s="323">
        <v>18</v>
      </c>
      <c r="H128" s="586"/>
      <c r="I128" s="323"/>
      <c r="J128" s="323"/>
      <c r="K128" s="323"/>
      <c r="L128" s="586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</row>
    <row r="129" spans="1:27" x14ac:dyDescent="0.2">
      <c r="A129" s="503" t="s">
        <v>1225</v>
      </c>
      <c r="B129" s="512">
        <v>42829</v>
      </c>
      <c r="C129" s="501">
        <v>42551</v>
      </c>
      <c r="D129" s="525">
        <v>132340</v>
      </c>
      <c r="E129" s="502" t="s">
        <v>2664</v>
      </c>
      <c r="F129" s="502" t="s">
        <v>2484</v>
      </c>
      <c r="G129" s="502">
        <v>1</v>
      </c>
      <c r="H129" s="506">
        <v>226.93</v>
      </c>
      <c r="I129" s="323"/>
      <c r="J129" s="323"/>
      <c r="K129" s="502">
        <v>15.04</v>
      </c>
      <c r="L129" s="507">
        <v>18.989999999999998</v>
      </c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</row>
    <row r="130" spans="1:27" x14ac:dyDescent="0.2">
      <c r="A130" s="584" t="s">
        <v>2585</v>
      </c>
      <c r="B130" s="323"/>
      <c r="C130" s="512">
        <v>42653</v>
      </c>
      <c r="D130" s="323">
        <v>122937</v>
      </c>
      <c r="E130" s="323" t="s">
        <v>2706</v>
      </c>
      <c r="F130" s="323" t="s">
        <v>2484</v>
      </c>
      <c r="G130" s="323">
        <v>1</v>
      </c>
      <c r="H130" s="506">
        <v>57.64</v>
      </c>
      <c r="I130" s="323"/>
      <c r="J130" s="323"/>
      <c r="K130" s="504">
        <v>40</v>
      </c>
      <c r="L130" s="507">
        <v>57.64</v>
      </c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</row>
    <row r="131" spans="1:27" x14ac:dyDescent="0.2">
      <c r="A131" s="584" t="s">
        <v>2627</v>
      </c>
      <c r="B131" s="512">
        <v>43061</v>
      </c>
      <c r="C131" s="512">
        <v>43061</v>
      </c>
      <c r="D131" s="323">
        <v>228420</v>
      </c>
      <c r="E131" s="323" t="s">
        <v>2705</v>
      </c>
      <c r="F131" s="504">
        <v>250</v>
      </c>
      <c r="G131" s="323">
        <v>6</v>
      </c>
      <c r="H131" s="586"/>
      <c r="I131" s="323"/>
      <c r="J131" s="323"/>
      <c r="K131" s="323"/>
      <c r="L131" s="586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</row>
    <row r="132" spans="1:27" x14ac:dyDescent="0.2">
      <c r="A132" s="584" t="s">
        <v>2682</v>
      </c>
      <c r="B132" s="512">
        <v>42856</v>
      </c>
      <c r="C132" s="512">
        <v>42704</v>
      </c>
      <c r="D132" s="323" t="s">
        <v>2707</v>
      </c>
      <c r="E132" s="323" t="s">
        <v>2708</v>
      </c>
      <c r="F132" s="323" t="s">
        <v>2637</v>
      </c>
      <c r="G132" s="323">
        <v>9</v>
      </c>
      <c r="H132" s="506">
        <f>L132*G132</f>
        <v>636.12000000000012</v>
      </c>
      <c r="I132" s="323"/>
      <c r="J132" s="323" t="s">
        <v>2709</v>
      </c>
      <c r="K132" s="504">
        <v>34.450000000000003</v>
      </c>
      <c r="L132" s="507">
        <v>70.680000000000007</v>
      </c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</row>
    <row r="133" spans="1:27" x14ac:dyDescent="0.2">
      <c r="A133" s="584" t="s">
        <v>2710</v>
      </c>
      <c r="B133" s="504">
        <v>232276</v>
      </c>
      <c r="C133" s="323" t="s">
        <v>2711</v>
      </c>
      <c r="D133" s="323" t="s">
        <v>2712</v>
      </c>
      <c r="E133" s="504">
        <v>6</v>
      </c>
      <c r="F133" s="323"/>
      <c r="G133" s="323"/>
      <c r="H133" s="586"/>
      <c r="I133" s="323"/>
      <c r="J133" s="323"/>
      <c r="K133" s="323"/>
      <c r="L133" s="586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</row>
    <row r="134" spans="1:27" x14ac:dyDescent="0.2">
      <c r="A134" s="584" t="s">
        <v>2574</v>
      </c>
      <c r="B134" s="519">
        <v>42947</v>
      </c>
      <c r="C134" s="501">
        <v>42947</v>
      </c>
      <c r="D134" s="323">
        <v>103516</v>
      </c>
      <c r="E134" s="323" t="s">
        <v>2713</v>
      </c>
      <c r="F134" s="504">
        <v>1000</v>
      </c>
      <c r="G134" s="323">
        <v>1</v>
      </c>
      <c r="H134" s="586"/>
      <c r="I134" s="323"/>
      <c r="J134" s="323"/>
      <c r="K134" s="323"/>
      <c r="L134" s="586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</row>
    <row r="135" spans="1:27" x14ac:dyDescent="0.2">
      <c r="A135" s="584" t="s">
        <v>2578</v>
      </c>
      <c r="B135" s="512"/>
      <c r="C135" s="512">
        <v>42913</v>
      </c>
      <c r="D135" s="525">
        <v>122121</v>
      </c>
      <c r="E135" s="323" t="s">
        <v>2714</v>
      </c>
      <c r="F135" s="323" t="s">
        <v>2484</v>
      </c>
      <c r="G135" s="323">
        <v>12</v>
      </c>
      <c r="H135" s="586"/>
      <c r="I135" s="323"/>
      <c r="J135" s="323"/>
      <c r="K135" s="504">
        <v>27.8</v>
      </c>
      <c r="L135" s="507">
        <v>36.090000000000003</v>
      </c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</row>
    <row r="136" spans="1:27" x14ac:dyDescent="0.2">
      <c r="A136" s="584" t="s">
        <v>1225</v>
      </c>
      <c r="B136" s="512">
        <v>43007</v>
      </c>
      <c r="C136" s="501">
        <v>42853</v>
      </c>
      <c r="D136" s="323">
        <v>132150</v>
      </c>
      <c r="E136" s="323" t="s">
        <v>2715</v>
      </c>
      <c r="F136" s="504">
        <v>950</v>
      </c>
      <c r="G136" s="323">
        <v>1</v>
      </c>
      <c r="H136" s="506">
        <v>86.4</v>
      </c>
      <c r="I136" s="532"/>
      <c r="J136" s="532"/>
      <c r="K136" s="526">
        <v>25.73</v>
      </c>
      <c r="L136" s="507">
        <v>29.27</v>
      </c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</row>
    <row r="137" spans="1:27" x14ac:dyDescent="0.2">
      <c r="A137" s="584" t="s">
        <v>2561</v>
      </c>
      <c r="B137" s="519">
        <v>43236</v>
      </c>
      <c r="C137" s="501">
        <v>43236</v>
      </c>
      <c r="D137" s="323" t="s">
        <v>2716</v>
      </c>
      <c r="E137" s="323" t="s">
        <v>2717</v>
      </c>
      <c r="F137" s="504">
        <v>1000</v>
      </c>
      <c r="G137" s="323">
        <v>8</v>
      </c>
      <c r="H137" s="587"/>
      <c r="I137" s="532"/>
      <c r="J137" s="449" t="s">
        <v>2718</v>
      </c>
      <c r="K137" s="532"/>
      <c r="L137" s="587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</row>
    <row r="138" spans="1:27" x14ac:dyDescent="0.2">
      <c r="A138" s="584" t="s">
        <v>2719</v>
      </c>
      <c r="B138" s="323"/>
      <c r="C138" s="512">
        <v>43091</v>
      </c>
      <c r="D138" s="323">
        <v>191512</v>
      </c>
      <c r="E138" s="323" t="s">
        <v>2720</v>
      </c>
      <c r="F138" s="504">
        <v>1000</v>
      </c>
      <c r="G138" s="323">
        <v>1</v>
      </c>
      <c r="H138" s="506">
        <f>L138*G138</f>
        <v>25.69</v>
      </c>
      <c r="I138" s="532"/>
      <c r="J138" s="532" t="s">
        <v>28</v>
      </c>
      <c r="K138" s="526">
        <v>13</v>
      </c>
      <c r="L138" s="507">
        <v>25.69</v>
      </c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</row>
    <row r="139" spans="1:27" x14ac:dyDescent="0.2">
      <c r="A139" s="584" t="s">
        <v>2601</v>
      </c>
      <c r="B139" s="519">
        <v>43236</v>
      </c>
      <c r="C139" s="519">
        <v>43236</v>
      </c>
      <c r="D139" s="323">
        <v>142351</v>
      </c>
      <c r="E139" s="323" t="s">
        <v>2721</v>
      </c>
      <c r="F139" s="504">
        <v>1000</v>
      </c>
      <c r="G139" s="323">
        <v>38</v>
      </c>
      <c r="H139" s="587"/>
      <c r="I139" s="532"/>
      <c r="J139" s="449" t="s">
        <v>2722</v>
      </c>
      <c r="K139" s="532"/>
      <c r="L139" s="586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</row>
    <row r="140" spans="1:27" x14ac:dyDescent="0.2">
      <c r="A140" s="584" t="s">
        <v>2723</v>
      </c>
      <c r="B140" s="585"/>
      <c r="C140" s="501">
        <v>43159</v>
      </c>
      <c r="D140" s="323" t="s">
        <v>2724</v>
      </c>
      <c r="E140" s="323" t="s">
        <v>2725</v>
      </c>
      <c r="F140" s="504">
        <v>1300</v>
      </c>
      <c r="G140" s="323">
        <v>24</v>
      </c>
      <c r="H140" s="587"/>
      <c r="I140" s="532"/>
      <c r="J140" s="502" t="s">
        <v>2726</v>
      </c>
      <c r="K140" s="323" t="s">
        <v>2727</v>
      </c>
      <c r="L140" s="586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</row>
    <row r="141" spans="1:27" x14ac:dyDescent="0.2">
      <c r="A141" s="521" t="s">
        <v>2488</v>
      </c>
      <c r="B141" s="323"/>
      <c r="C141" s="527">
        <v>43373</v>
      </c>
      <c r="D141" s="524">
        <v>222008</v>
      </c>
      <c r="E141" s="524" t="s">
        <v>2728</v>
      </c>
      <c r="F141" s="524" t="s">
        <v>2685</v>
      </c>
      <c r="G141" s="524">
        <v>16</v>
      </c>
      <c r="H141" s="518">
        <f>L141*G141</f>
        <v>714.56</v>
      </c>
      <c r="I141" s="532"/>
      <c r="J141" s="511" t="s">
        <v>2729</v>
      </c>
      <c r="K141" s="524">
        <v>22.5</v>
      </c>
      <c r="L141" s="507">
        <v>44.66</v>
      </c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</row>
    <row r="142" spans="1:27" x14ac:dyDescent="0.2">
      <c r="A142" s="584" t="s">
        <v>2730</v>
      </c>
      <c r="B142" s="501">
        <v>43390</v>
      </c>
      <c r="C142" s="501">
        <v>43390</v>
      </c>
      <c r="D142" s="323">
        <v>232354</v>
      </c>
      <c r="E142" s="524" t="s">
        <v>2731</v>
      </c>
      <c r="F142" s="323" t="s">
        <v>2484</v>
      </c>
      <c r="G142" s="532" t="s">
        <v>2732</v>
      </c>
      <c r="H142" s="587"/>
      <c r="I142" s="526">
        <v>5571</v>
      </c>
      <c r="J142" s="449" t="s">
        <v>2733</v>
      </c>
      <c r="K142" s="532"/>
      <c r="L142" s="586"/>
      <c r="M142" s="323"/>
      <c r="N142" s="323" t="s">
        <v>2734</v>
      </c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</row>
    <row r="143" spans="1:27" x14ac:dyDescent="0.2">
      <c r="A143" s="503" t="s">
        <v>2585</v>
      </c>
      <c r="B143" s="501">
        <v>43528</v>
      </c>
      <c r="C143" s="501">
        <v>43493</v>
      </c>
      <c r="D143" s="528">
        <v>122953</v>
      </c>
      <c r="E143" s="524" t="s">
        <v>2735</v>
      </c>
      <c r="F143" s="502" t="s">
        <v>2484</v>
      </c>
      <c r="G143" s="502">
        <v>5</v>
      </c>
      <c r="H143" s="508"/>
      <c r="I143" s="323">
        <v>5789</v>
      </c>
      <c r="J143" s="323"/>
      <c r="K143" s="323"/>
      <c r="L143" s="507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</row>
    <row r="144" spans="1:27" x14ac:dyDescent="0.2">
      <c r="A144" s="503" t="s">
        <v>2585</v>
      </c>
      <c r="B144" s="501">
        <v>43528</v>
      </c>
      <c r="C144" s="501">
        <v>43493</v>
      </c>
      <c r="D144" s="528">
        <v>122953</v>
      </c>
      <c r="E144" s="524" t="s">
        <v>2735</v>
      </c>
      <c r="F144" s="502" t="s">
        <v>2484</v>
      </c>
      <c r="G144" s="449">
        <v>35</v>
      </c>
      <c r="H144" s="587"/>
      <c r="I144" s="323">
        <v>5789</v>
      </c>
      <c r="J144" s="323"/>
      <c r="K144" s="323"/>
      <c r="L144" s="507"/>
      <c r="M144" s="532"/>
      <c r="N144" s="449" t="s">
        <v>2736</v>
      </c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</row>
    <row r="145" spans="1:27" x14ac:dyDescent="0.2">
      <c r="A145" s="503" t="s">
        <v>2585</v>
      </c>
      <c r="B145" s="501">
        <v>43528</v>
      </c>
      <c r="C145" s="501">
        <v>43493</v>
      </c>
      <c r="D145" s="528">
        <v>122953</v>
      </c>
      <c r="E145" s="524" t="s">
        <v>2735</v>
      </c>
      <c r="F145" s="502" t="s">
        <v>2484</v>
      </c>
      <c r="G145" s="502">
        <v>5</v>
      </c>
      <c r="H145" s="506"/>
      <c r="I145" s="323">
        <v>5789</v>
      </c>
      <c r="J145" s="323"/>
      <c r="K145" s="323"/>
      <c r="L145" s="507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</row>
    <row r="146" spans="1:27" ht="45" x14ac:dyDescent="0.2">
      <c r="A146" s="503" t="s">
        <v>2585</v>
      </c>
      <c r="B146" s="501">
        <v>43528</v>
      </c>
      <c r="C146" s="501">
        <v>43493</v>
      </c>
      <c r="D146" s="528">
        <v>122953</v>
      </c>
      <c r="E146" s="524" t="s">
        <v>2735</v>
      </c>
      <c r="F146" s="502" t="s">
        <v>2484</v>
      </c>
      <c r="G146" s="502">
        <v>5</v>
      </c>
      <c r="H146" s="508"/>
      <c r="I146" s="449" t="s">
        <v>2737</v>
      </c>
      <c r="J146" s="323"/>
      <c r="K146" s="323"/>
      <c r="L146" s="507"/>
      <c r="M146" s="323"/>
      <c r="N146" s="529" t="s">
        <v>2738</v>
      </c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</row>
    <row r="147" spans="1:27" ht="30" x14ac:dyDescent="0.2">
      <c r="A147" s="503" t="s">
        <v>2438</v>
      </c>
      <c r="B147" s="512">
        <v>43373</v>
      </c>
      <c r="C147" s="519">
        <v>43280</v>
      </c>
      <c r="D147" s="323">
        <v>122179</v>
      </c>
      <c r="E147" s="530" t="s">
        <v>2739</v>
      </c>
      <c r="F147" s="504">
        <v>1000</v>
      </c>
      <c r="G147" s="323">
        <v>17</v>
      </c>
      <c r="H147" s="586"/>
      <c r="I147" s="532"/>
      <c r="J147" s="449" t="s">
        <v>2740</v>
      </c>
      <c r="K147" s="323"/>
      <c r="L147" s="586"/>
      <c r="M147" s="323"/>
      <c r="N147" s="529" t="s">
        <v>2741</v>
      </c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</row>
    <row r="148" spans="1:27" x14ac:dyDescent="0.2">
      <c r="A148" s="584"/>
      <c r="B148" s="323"/>
      <c r="C148" s="323"/>
      <c r="D148" s="323"/>
      <c r="E148" s="323"/>
      <c r="F148" s="323"/>
      <c r="G148" s="323"/>
      <c r="H148" s="586"/>
      <c r="I148" s="323"/>
      <c r="J148" s="532"/>
      <c r="K148" s="532"/>
      <c r="L148" s="586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</row>
    <row r="149" spans="1:27" x14ac:dyDescent="0.2">
      <c r="A149" s="503" t="s">
        <v>2409</v>
      </c>
      <c r="B149" s="323"/>
      <c r="C149" s="512">
        <v>43462</v>
      </c>
      <c r="D149" s="323">
        <v>103494</v>
      </c>
      <c r="E149" s="323" t="s">
        <v>2742</v>
      </c>
      <c r="F149" s="504">
        <v>500</v>
      </c>
      <c r="G149" s="323">
        <v>15</v>
      </c>
      <c r="H149" s="586"/>
      <c r="I149" s="526">
        <v>5517</v>
      </c>
      <c r="J149" s="449" t="s">
        <v>2743</v>
      </c>
      <c r="K149" s="532"/>
      <c r="L149" s="587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</row>
    <row r="150" spans="1:27" x14ac:dyDescent="0.2">
      <c r="A150" s="584"/>
      <c r="B150" s="323"/>
      <c r="C150" s="323"/>
      <c r="D150" s="323"/>
      <c r="E150" s="323"/>
      <c r="F150" s="323"/>
      <c r="G150" s="323"/>
      <c r="H150" s="586"/>
      <c r="I150" s="323"/>
      <c r="J150" s="323"/>
      <c r="K150" s="323"/>
      <c r="L150" s="586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</row>
    <row r="151" spans="1:27" x14ac:dyDescent="0.2">
      <c r="A151" s="503" t="s">
        <v>2398</v>
      </c>
      <c r="B151" s="519">
        <v>43189</v>
      </c>
      <c r="C151" s="501">
        <v>42417</v>
      </c>
      <c r="D151" s="323">
        <v>141347</v>
      </c>
      <c r="E151" s="323" t="s">
        <v>2744</v>
      </c>
      <c r="F151" s="323" t="s">
        <v>2612</v>
      </c>
      <c r="G151" s="323">
        <v>4</v>
      </c>
      <c r="H151" s="586"/>
      <c r="I151" s="323"/>
      <c r="J151" s="323"/>
      <c r="K151" s="323"/>
      <c r="L151" s="586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</row>
    <row r="152" spans="1:27" x14ac:dyDescent="0.2">
      <c r="A152" s="584"/>
      <c r="B152" s="323"/>
      <c r="C152" s="323"/>
      <c r="D152" s="323"/>
      <c r="E152" s="323"/>
      <c r="F152" s="323"/>
      <c r="G152" s="323"/>
      <c r="H152" s="586"/>
      <c r="I152" s="323"/>
      <c r="J152" s="323"/>
      <c r="K152" s="323"/>
      <c r="L152" s="586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</row>
    <row r="153" spans="1:27" x14ac:dyDescent="0.2">
      <c r="A153" s="503" t="s">
        <v>2502</v>
      </c>
      <c r="B153" s="323" t="s">
        <v>2745</v>
      </c>
      <c r="C153" s="512">
        <v>43787</v>
      </c>
      <c r="D153" s="502">
        <v>232210</v>
      </c>
      <c r="E153" s="502" t="s">
        <v>2746</v>
      </c>
      <c r="F153" s="502" t="s">
        <v>2630</v>
      </c>
      <c r="G153" s="502">
        <v>50</v>
      </c>
      <c r="H153" s="506">
        <v>1582</v>
      </c>
      <c r="I153" s="502" t="s">
        <v>2747</v>
      </c>
      <c r="J153" s="323" t="s">
        <v>2748</v>
      </c>
      <c r="K153" s="529">
        <v>26.4</v>
      </c>
      <c r="L153" s="506">
        <v>31.65</v>
      </c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</row>
    <row r="154" spans="1:27" x14ac:dyDescent="0.2">
      <c r="A154" s="505" t="s">
        <v>2749</v>
      </c>
      <c r="B154" s="512">
        <v>43804</v>
      </c>
      <c r="C154" s="512">
        <v>43804</v>
      </c>
      <c r="D154" s="323">
        <v>191511</v>
      </c>
      <c r="E154" s="323" t="s">
        <v>2750</v>
      </c>
      <c r="F154" s="323" t="s">
        <v>2751</v>
      </c>
      <c r="G154" s="323">
        <v>17</v>
      </c>
      <c r="H154" s="518">
        <f>L154*G154</f>
        <v>295.45999999999998</v>
      </c>
      <c r="I154" s="323" t="s">
        <v>2752</v>
      </c>
      <c r="J154" s="532" t="s">
        <v>2753</v>
      </c>
      <c r="K154" s="526">
        <v>8.6999999999999993</v>
      </c>
      <c r="L154" s="508">
        <v>17.38</v>
      </c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</row>
    <row r="155" spans="1:27" ht="15.75" x14ac:dyDescent="0.25">
      <c r="A155" s="505" t="s">
        <v>2438</v>
      </c>
      <c r="B155" s="512">
        <v>43815</v>
      </c>
      <c r="C155" s="512">
        <v>43901</v>
      </c>
      <c r="D155" s="323">
        <v>122143</v>
      </c>
      <c r="E155" s="323" t="s">
        <v>2754</v>
      </c>
      <c r="F155" s="323" t="s">
        <v>2484</v>
      </c>
      <c r="G155" s="532">
        <v>48</v>
      </c>
      <c r="H155" s="587"/>
      <c r="I155" s="532">
        <v>6738</v>
      </c>
      <c r="J155" s="531" t="s">
        <v>2755</v>
      </c>
      <c r="K155" s="532"/>
      <c r="L155" s="587"/>
      <c r="M155" s="532"/>
      <c r="N155" s="532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</row>
    <row r="156" spans="1:27" x14ac:dyDescent="0.2">
      <c r="A156" s="505" t="s">
        <v>2415</v>
      </c>
      <c r="B156" s="512">
        <v>43675</v>
      </c>
      <c r="C156" s="512">
        <v>43542</v>
      </c>
      <c r="D156" s="323">
        <v>122923</v>
      </c>
      <c r="E156" s="323" t="s">
        <v>2756</v>
      </c>
      <c r="F156" s="323" t="s">
        <v>2484</v>
      </c>
      <c r="G156" s="323">
        <v>76</v>
      </c>
      <c r="H156" s="586"/>
      <c r="I156" s="532" t="s">
        <v>2757</v>
      </c>
      <c r="J156" s="449" t="s">
        <v>2758</v>
      </c>
      <c r="K156" s="532"/>
      <c r="L156" s="587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</row>
    <row r="157" spans="1:27" x14ac:dyDescent="0.2">
      <c r="A157" s="584"/>
      <c r="B157" s="323"/>
      <c r="C157" s="323"/>
      <c r="D157" s="323"/>
      <c r="E157" s="323"/>
      <c r="F157" s="323"/>
      <c r="G157" s="323"/>
      <c r="H157" s="586"/>
      <c r="I157" s="532" t="s">
        <v>2759</v>
      </c>
      <c r="J157" s="532" t="s">
        <v>2760</v>
      </c>
      <c r="K157" s="532"/>
      <c r="L157" s="587"/>
      <c r="M157" s="532"/>
      <c r="N157" s="532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</row>
    <row r="158" spans="1:27" x14ac:dyDescent="0.2">
      <c r="A158" s="584"/>
      <c r="B158" s="323"/>
      <c r="C158" s="323"/>
      <c r="D158" s="323"/>
      <c r="E158" s="323"/>
      <c r="F158" s="323"/>
      <c r="G158" s="323"/>
      <c r="H158" s="586"/>
      <c r="I158" s="532"/>
      <c r="J158" s="532"/>
      <c r="K158" s="323"/>
      <c r="L158" s="586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</row>
    <row r="159" spans="1:27" x14ac:dyDescent="0.2">
      <c r="A159" s="503" t="s">
        <v>2761</v>
      </c>
      <c r="B159" s="512">
        <v>42829</v>
      </c>
      <c r="C159" s="585"/>
      <c r="D159" s="532"/>
      <c r="E159" s="502" t="s">
        <v>2762</v>
      </c>
      <c r="F159" s="502" t="s">
        <v>2763</v>
      </c>
      <c r="G159" s="502">
        <v>24</v>
      </c>
      <c r="H159" s="506">
        <f>L159*G159</f>
        <v>751.92</v>
      </c>
      <c r="I159" s="532" t="s">
        <v>2764</v>
      </c>
      <c r="J159" s="449" t="s">
        <v>2765</v>
      </c>
      <c r="K159" s="323"/>
      <c r="L159" s="507">
        <v>31.33</v>
      </c>
      <c r="M159" s="323"/>
      <c r="N159" s="506">
        <v>300</v>
      </c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</row>
    <row r="160" spans="1:27" x14ac:dyDescent="0.2">
      <c r="A160" s="584"/>
      <c r="B160" s="323"/>
      <c r="C160" s="323"/>
      <c r="D160" s="323"/>
      <c r="E160" s="323"/>
      <c r="F160" s="323"/>
      <c r="G160" s="323"/>
      <c r="H160" s="587"/>
      <c r="I160" s="532"/>
      <c r="J160" s="449" t="s">
        <v>2766</v>
      </c>
      <c r="K160" s="532"/>
      <c r="L160" s="586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</row>
    <row r="161" spans="1:27" x14ac:dyDescent="0.2">
      <c r="A161" s="503" t="s">
        <v>2767</v>
      </c>
      <c r="B161" s="512">
        <v>43675</v>
      </c>
      <c r="C161" s="501">
        <v>42947</v>
      </c>
      <c r="D161" s="323">
        <v>142755</v>
      </c>
      <c r="E161" s="323" t="s">
        <v>2768</v>
      </c>
      <c r="F161" s="504">
        <v>1000</v>
      </c>
      <c r="G161" s="323">
        <v>4</v>
      </c>
      <c r="H161" s="586"/>
      <c r="I161" s="323"/>
      <c r="J161" s="323"/>
      <c r="K161" s="504">
        <v>29.2</v>
      </c>
      <c r="L161" s="586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</row>
    <row r="162" spans="1:27" x14ac:dyDescent="0.2">
      <c r="A162" s="503" t="s">
        <v>2749</v>
      </c>
      <c r="B162" s="533">
        <v>43826</v>
      </c>
      <c r="C162" s="533">
        <v>43607</v>
      </c>
      <c r="D162" s="525">
        <v>191385</v>
      </c>
      <c r="E162" s="323" t="s">
        <v>2769</v>
      </c>
      <c r="F162" s="323" t="s">
        <v>2770</v>
      </c>
      <c r="G162" s="323">
        <v>31</v>
      </c>
      <c r="H162" s="586"/>
      <c r="I162" s="323"/>
      <c r="J162" s="323"/>
      <c r="K162" s="323"/>
      <c r="L162" s="586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</row>
    <row r="163" spans="1:27" x14ac:dyDescent="0.2">
      <c r="A163" s="323"/>
      <c r="B163" s="323"/>
      <c r="C163" s="323"/>
      <c r="D163" s="323"/>
      <c r="E163" s="323"/>
      <c r="F163" s="323"/>
      <c r="G163" s="323"/>
      <c r="H163" s="323"/>
      <c r="I163" s="323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</row>
    <row r="164" spans="1:27" x14ac:dyDescent="0.2">
      <c r="A164" s="503" t="s">
        <v>2488</v>
      </c>
      <c r="B164" s="512">
        <v>43675</v>
      </c>
      <c r="C164" s="533">
        <v>42735</v>
      </c>
      <c r="D164" s="323">
        <v>222152</v>
      </c>
      <c r="E164" s="323" t="s">
        <v>2771</v>
      </c>
      <c r="F164" s="323" t="s">
        <v>2484</v>
      </c>
      <c r="G164" s="323">
        <v>2</v>
      </c>
      <c r="H164" s="506">
        <f>L164*G164</f>
        <v>31.16</v>
      </c>
      <c r="I164" s="532"/>
      <c r="J164" s="502" t="s">
        <v>2772</v>
      </c>
      <c r="K164" s="532">
        <v>8.44</v>
      </c>
      <c r="L164" s="506">
        <v>15.58</v>
      </c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</row>
    <row r="165" spans="1:27" ht="78.75" x14ac:dyDescent="0.25">
      <c r="A165" s="475"/>
      <c r="B165" s="32"/>
      <c r="C165" s="463">
        <v>44123</v>
      </c>
      <c r="D165" s="502">
        <v>223002</v>
      </c>
      <c r="E165" s="147" t="s">
        <v>2773</v>
      </c>
      <c r="F165" s="32" t="s">
        <v>2685</v>
      </c>
      <c r="G165" s="442" t="s">
        <v>2774</v>
      </c>
      <c r="H165" s="474">
        <v>437.24</v>
      </c>
      <c r="I165" s="32" t="s">
        <v>2775</v>
      </c>
      <c r="J165" s="534" t="s">
        <v>2485</v>
      </c>
      <c r="K165" s="535" t="s">
        <v>2776</v>
      </c>
      <c r="L165" s="463">
        <v>44232</v>
      </c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ht="60" x14ac:dyDescent="0.2">
      <c r="A166" s="536" t="s">
        <v>2777</v>
      </c>
      <c r="B166" s="585"/>
      <c r="C166" s="537">
        <v>42815</v>
      </c>
      <c r="D166" s="538" t="s">
        <v>2778</v>
      </c>
      <c r="E166" s="539" t="s">
        <v>2779</v>
      </c>
      <c r="F166" s="540">
        <v>1100</v>
      </c>
      <c r="G166" s="540">
        <v>3</v>
      </c>
      <c r="H166" s="586"/>
      <c r="I166" s="323"/>
      <c r="J166" s="323"/>
      <c r="K166" s="323"/>
      <c r="L166" s="586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</row>
    <row r="167" spans="1:27" x14ac:dyDescent="0.2">
      <c r="A167" s="536" t="s">
        <v>2777</v>
      </c>
      <c r="B167" s="323"/>
      <c r="C167" s="541">
        <v>44118</v>
      </c>
      <c r="D167" s="542" t="s">
        <v>2780</v>
      </c>
      <c r="E167" s="532"/>
      <c r="F167" s="323"/>
      <c r="G167" s="323"/>
      <c r="H167" s="586"/>
      <c r="I167" s="323"/>
      <c r="J167" s="323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</row>
    <row r="168" spans="1:27" x14ac:dyDescent="0.2">
      <c r="A168" s="584"/>
      <c r="B168" s="323"/>
      <c r="C168" s="323"/>
      <c r="D168" s="323"/>
      <c r="E168" s="323"/>
      <c r="F168" s="323"/>
      <c r="G168" s="323"/>
      <c r="H168" s="586"/>
      <c r="I168" s="323"/>
      <c r="J168" s="532"/>
      <c r="K168" s="323"/>
      <c r="L168" s="586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</row>
    <row r="169" spans="1:27" ht="30" x14ac:dyDescent="0.2">
      <c r="A169" s="503" t="s">
        <v>2781</v>
      </c>
      <c r="B169" s="512">
        <v>43676</v>
      </c>
      <c r="C169" s="323"/>
      <c r="D169" s="323"/>
      <c r="E169" s="543" t="s">
        <v>2782</v>
      </c>
      <c r="F169" s="529" t="s">
        <v>2783</v>
      </c>
      <c r="G169" s="323" t="s">
        <v>2784</v>
      </c>
      <c r="H169" s="586"/>
      <c r="I169" s="532"/>
      <c r="J169" s="532" t="s">
        <v>2785</v>
      </c>
      <c r="K169" s="532"/>
      <c r="L169" s="587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</row>
    <row r="170" spans="1:27" ht="75" x14ac:dyDescent="0.2">
      <c r="A170" s="521" t="s">
        <v>2786</v>
      </c>
      <c r="B170" s="527">
        <v>43948</v>
      </c>
      <c r="C170" s="527">
        <v>43948</v>
      </c>
      <c r="D170" s="521" t="s">
        <v>2787</v>
      </c>
      <c r="E170" s="544" t="s">
        <v>2788</v>
      </c>
      <c r="F170" s="545" t="s">
        <v>2484</v>
      </c>
      <c r="G170" s="523" t="s">
        <v>2789</v>
      </c>
      <c r="H170" s="586"/>
      <c r="I170" s="546">
        <v>7030</v>
      </c>
      <c r="J170" s="547" t="s">
        <v>2790</v>
      </c>
      <c r="K170" s="548">
        <v>44235</v>
      </c>
      <c r="L170" s="591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</row>
    <row r="171" spans="1:27" ht="120" x14ac:dyDescent="0.2">
      <c r="A171" s="521" t="s">
        <v>2786</v>
      </c>
      <c r="B171" s="527">
        <v>44181</v>
      </c>
      <c r="C171" s="527">
        <v>43948</v>
      </c>
      <c r="D171" s="521" t="s">
        <v>2787</v>
      </c>
      <c r="E171" s="524" t="s">
        <v>2788</v>
      </c>
      <c r="F171" s="545" t="s">
        <v>2484</v>
      </c>
      <c r="G171" s="524" t="s">
        <v>2791</v>
      </c>
      <c r="H171" s="586"/>
      <c r="I171" s="546">
        <v>7030</v>
      </c>
      <c r="J171" s="547" t="s">
        <v>2792</v>
      </c>
      <c r="K171" s="323" t="s">
        <v>2793</v>
      </c>
      <c r="L171" s="591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</row>
    <row r="172" spans="1:27" x14ac:dyDescent="0.2">
      <c r="A172" s="521" t="s">
        <v>2409</v>
      </c>
      <c r="B172" s="527">
        <v>43826</v>
      </c>
      <c r="C172" s="527">
        <v>43635</v>
      </c>
      <c r="D172" s="524">
        <v>101444</v>
      </c>
      <c r="E172" s="323" t="s">
        <v>2794</v>
      </c>
      <c r="F172" s="524" t="s">
        <v>2536</v>
      </c>
      <c r="G172" s="524">
        <v>8</v>
      </c>
      <c r="H172" s="586"/>
      <c r="I172" s="323"/>
      <c r="J172" s="524" t="s">
        <v>2795</v>
      </c>
      <c r="K172" s="323" t="s">
        <v>2796</v>
      </c>
      <c r="L172" s="586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</row>
    <row r="173" spans="1:27" x14ac:dyDescent="0.2">
      <c r="A173" s="584"/>
      <c r="B173" s="323"/>
      <c r="C173" s="509">
        <v>44232</v>
      </c>
      <c r="D173" s="523">
        <v>101336</v>
      </c>
      <c r="E173" s="524" t="s">
        <v>2797</v>
      </c>
      <c r="F173" s="524" t="s">
        <v>2625</v>
      </c>
      <c r="G173" s="523">
        <v>11</v>
      </c>
      <c r="H173" s="549">
        <v>392</v>
      </c>
      <c r="I173" s="524" t="s">
        <v>2798</v>
      </c>
      <c r="J173" s="323" t="s">
        <v>2799</v>
      </c>
      <c r="K173" s="323"/>
      <c r="L173" s="586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</row>
    <row r="174" spans="1:27" x14ac:dyDescent="0.2">
      <c r="A174" s="584"/>
      <c r="B174" s="323"/>
      <c r="C174" s="509">
        <v>44232</v>
      </c>
      <c r="D174" s="502">
        <v>223002</v>
      </c>
      <c r="E174" s="532" t="s">
        <v>2800</v>
      </c>
      <c r="F174" s="323"/>
      <c r="G174" s="502">
        <v>14</v>
      </c>
      <c r="H174" s="513">
        <v>1564</v>
      </c>
      <c r="I174" s="323" t="s">
        <v>2801</v>
      </c>
      <c r="J174" s="532" t="s">
        <v>2802</v>
      </c>
      <c r="K174" s="323"/>
      <c r="L174" s="586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</row>
    <row r="175" spans="1:27" x14ac:dyDescent="0.2">
      <c r="A175" s="584"/>
      <c r="B175" s="323"/>
      <c r="C175" s="509">
        <v>44232</v>
      </c>
      <c r="D175" s="502">
        <v>223004</v>
      </c>
      <c r="E175" s="323" t="s">
        <v>2803</v>
      </c>
      <c r="F175" s="323"/>
      <c r="G175" s="502">
        <v>2</v>
      </c>
      <c r="H175" s="513">
        <v>272</v>
      </c>
      <c r="I175" s="323" t="s">
        <v>2804</v>
      </c>
      <c r="J175" s="532" t="s">
        <v>2805</v>
      </c>
      <c r="K175" s="532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</row>
    <row r="176" spans="1:27" x14ac:dyDescent="0.2">
      <c r="A176" s="584"/>
      <c r="B176" s="323"/>
      <c r="C176" s="509">
        <v>44232</v>
      </c>
      <c r="D176" s="502">
        <v>132144</v>
      </c>
      <c r="E176" s="532" t="s">
        <v>2491</v>
      </c>
      <c r="F176" s="323"/>
      <c r="G176" s="502">
        <v>1</v>
      </c>
      <c r="H176" s="513">
        <v>19</v>
      </c>
      <c r="I176" s="532" t="s">
        <v>2806</v>
      </c>
      <c r="J176" s="323"/>
      <c r="K176" s="550">
        <v>44238</v>
      </c>
      <c r="L176" s="586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</row>
    <row r="177" spans="1:27" ht="120" x14ac:dyDescent="0.2">
      <c r="A177" s="503" t="s">
        <v>2436</v>
      </c>
      <c r="B177" s="588"/>
      <c r="C177" s="323"/>
      <c r="D177" s="323">
        <v>103528</v>
      </c>
      <c r="E177" s="543" t="s">
        <v>2807</v>
      </c>
      <c r="F177" s="323">
        <v>500</v>
      </c>
      <c r="G177" s="323">
        <v>8</v>
      </c>
      <c r="H177" s="323"/>
      <c r="I177" s="323"/>
      <c r="J177" s="551" t="s">
        <v>2808</v>
      </c>
      <c r="K177" s="532">
        <v>73.11</v>
      </c>
      <c r="L177" s="504">
        <v>66.95</v>
      </c>
      <c r="M177" s="323"/>
      <c r="N177" s="532" t="s">
        <v>2809</v>
      </c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</row>
    <row r="178" spans="1:27" ht="90" x14ac:dyDescent="0.2">
      <c r="A178" s="552" t="s">
        <v>2810</v>
      </c>
      <c r="B178" s="32"/>
      <c r="C178" s="553">
        <v>43706</v>
      </c>
      <c r="D178" s="523">
        <v>121350</v>
      </c>
      <c r="E178" s="554" t="s">
        <v>2811</v>
      </c>
      <c r="F178" s="219" t="s">
        <v>2812</v>
      </c>
      <c r="G178" s="219"/>
      <c r="H178" s="446">
        <v>1277.2</v>
      </c>
      <c r="I178" s="32"/>
      <c r="J178" s="32" t="s">
        <v>2813</v>
      </c>
      <c r="K178" s="554" t="s">
        <v>2814</v>
      </c>
      <c r="L178" s="555" t="s">
        <v>2815</v>
      </c>
      <c r="M178" s="432" t="s">
        <v>2816</v>
      </c>
      <c r="N178" s="4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ht="60" x14ac:dyDescent="0.2">
      <c r="A179" s="475" t="s">
        <v>2438</v>
      </c>
      <c r="B179" s="556">
        <v>44061</v>
      </c>
      <c r="C179" s="32"/>
      <c r="D179" s="323">
        <v>122007</v>
      </c>
      <c r="E179" s="147" t="s">
        <v>2817</v>
      </c>
      <c r="F179" s="32" t="s">
        <v>2495</v>
      </c>
      <c r="G179" s="442">
        <v>40</v>
      </c>
      <c r="H179" s="487"/>
      <c r="I179" s="16">
        <v>7288</v>
      </c>
      <c r="J179" s="128" t="s">
        <v>2818</v>
      </c>
      <c r="K179" s="32"/>
      <c r="L179" s="446">
        <v>31.93</v>
      </c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">
      <c r="A180" s="475" t="s">
        <v>2483</v>
      </c>
      <c r="B180" s="496">
        <v>43826</v>
      </c>
      <c r="C180" s="556">
        <v>43487</v>
      </c>
      <c r="D180" s="323">
        <v>141517</v>
      </c>
      <c r="E180" s="32" t="s">
        <v>2819</v>
      </c>
      <c r="F180" s="32" t="s">
        <v>2520</v>
      </c>
      <c r="G180" s="32">
        <v>20</v>
      </c>
      <c r="H180" s="474">
        <v>168.1</v>
      </c>
      <c r="I180" s="487"/>
      <c r="J180" s="557" t="s">
        <v>2820</v>
      </c>
      <c r="K180" s="188"/>
      <c r="L180" s="558">
        <v>44239</v>
      </c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">
      <c r="A181" s="475"/>
      <c r="B181" s="32"/>
      <c r="C181" s="32"/>
      <c r="D181" s="502">
        <v>141537</v>
      </c>
      <c r="E181" s="32" t="s">
        <v>2519</v>
      </c>
      <c r="F181" s="32" t="s">
        <v>2520</v>
      </c>
      <c r="G181" s="32">
        <v>1</v>
      </c>
      <c r="H181" s="474">
        <v>12</v>
      </c>
      <c r="I181" s="432" t="s">
        <v>2821</v>
      </c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ht="45" x14ac:dyDescent="0.2">
      <c r="A182" s="475"/>
      <c r="B182" s="463">
        <v>44235</v>
      </c>
      <c r="C182" s="32"/>
      <c r="D182" s="502">
        <v>183065</v>
      </c>
      <c r="E182" s="432" t="s">
        <v>2822</v>
      </c>
      <c r="F182" s="32"/>
      <c r="G182" s="32">
        <v>1</v>
      </c>
      <c r="H182" s="474">
        <v>61</v>
      </c>
      <c r="I182" s="32"/>
      <c r="J182" s="559" t="s">
        <v>2823</v>
      </c>
      <c r="K182" s="464" t="s">
        <v>2824</v>
      </c>
      <c r="L182" s="249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x14ac:dyDescent="0.2">
      <c r="A183" s="475"/>
      <c r="B183" s="463">
        <v>44235</v>
      </c>
      <c r="C183" s="32"/>
      <c r="D183" s="16">
        <v>222053</v>
      </c>
      <c r="E183" s="32" t="s">
        <v>2825</v>
      </c>
      <c r="F183" s="32" t="s">
        <v>2637</v>
      </c>
      <c r="G183" s="16">
        <v>0.4</v>
      </c>
      <c r="H183" s="474">
        <v>31.17</v>
      </c>
      <c r="I183" s="32"/>
      <c r="J183" s="32" t="s">
        <v>2826</v>
      </c>
      <c r="K183" s="32" t="s">
        <v>2497</v>
      </c>
      <c r="L183" s="432" t="s">
        <v>2827</v>
      </c>
      <c r="M183" s="4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">
      <c r="A184" s="475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">
      <c r="A185" s="577"/>
      <c r="B185" s="578"/>
      <c r="C185" s="578"/>
      <c r="D185" s="578"/>
      <c r="E185" s="578"/>
      <c r="F185" s="578"/>
      <c r="G185" s="578"/>
      <c r="H185" s="578"/>
      <c r="I185" s="578"/>
      <c r="J185" s="578"/>
      <c r="K185" s="578"/>
      <c r="L185" s="578"/>
      <c r="M185" s="578"/>
      <c r="N185" s="578"/>
      <c r="O185" s="578"/>
      <c r="P185" s="578"/>
      <c r="Q185" s="578"/>
      <c r="R185" s="578"/>
      <c r="S185" s="578"/>
      <c r="T185" s="578"/>
      <c r="U185" s="578"/>
      <c r="V185" s="578"/>
      <c r="W185" s="578"/>
      <c r="X185" s="578"/>
      <c r="Y185" s="578"/>
      <c r="Z185" s="578"/>
      <c r="AA185" s="578"/>
    </row>
    <row r="186" spans="1:27" x14ac:dyDescent="0.2">
      <c r="A186" s="475"/>
      <c r="B186" s="32"/>
      <c r="C186" s="32"/>
      <c r="D186" s="32"/>
      <c r="E186" s="560" t="s">
        <v>2828</v>
      </c>
      <c r="F186" s="32"/>
      <c r="G186" s="32"/>
      <c r="H186" s="32"/>
      <c r="I186" s="32"/>
      <c r="J186" s="32"/>
      <c r="K186" s="432" t="s">
        <v>2829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ht="30" x14ac:dyDescent="0.2">
      <c r="A187" s="552" t="s">
        <v>2830</v>
      </c>
      <c r="B187" s="455">
        <v>43949</v>
      </c>
      <c r="C187" s="553">
        <v>43899</v>
      </c>
      <c r="D187" s="502">
        <v>195902</v>
      </c>
      <c r="E187" s="128" t="s">
        <v>2831</v>
      </c>
      <c r="F187" s="32" t="s">
        <v>2832</v>
      </c>
      <c r="G187" s="30">
        <v>42</v>
      </c>
      <c r="H187" s="487"/>
      <c r="I187" s="32" t="s">
        <v>2509</v>
      </c>
      <c r="J187" s="561" t="s">
        <v>2833</v>
      </c>
      <c r="K187" s="562">
        <v>44232</v>
      </c>
      <c r="L187" s="487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30" x14ac:dyDescent="0.2">
      <c r="A188" s="475"/>
      <c r="B188" s="32"/>
      <c r="C188" s="32"/>
      <c r="D188" s="16">
        <v>121123</v>
      </c>
      <c r="E188" s="32" t="s">
        <v>2834</v>
      </c>
      <c r="F188" s="32" t="s">
        <v>2832</v>
      </c>
      <c r="G188" s="16">
        <v>1</v>
      </c>
      <c r="H188" s="32"/>
      <c r="I188" s="32" t="s">
        <v>2509</v>
      </c>
      <c r="J188" s="561" t="s">
        <v>2833</v>
      </c>
      <c r="K188" s="562">
        <v>44232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30" x14ac:dyDescent="0.2">
      <c r="A189" s="475"/>
      <c r="B189" s="32"/>
      <c r="C189" s="32"/>
      <c r="D189" s="16">
        <v>101412</v>
      </c>
      <c r="E189" s="32" t="s">
        <v>2835</v>
      </c>
      <c r="F189" s="32" t="s">
        <v>2832</v>
      </c>
      <c r="G189" s="32"/>
      <c r="H189" s="32"/>
      <c r="I189" s="32" t="s">
        <v>2509</v>
      </c>
      <c r="J189" s="561" t="s">
        <v>2833</v>
      </c>
      <c r="K189" s="562">
        <v>44232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ht="30" x14ac:dyDescent="0.2">
      <c r="A190" s="475"/>
      <c r="B190" s="32"/>
      <c r="C190" s="32"/>
      <c r="D190" s="502">
        <v>182193</v>
      </c>
      <c r="E190" s="32" t="s">
        <v>2836</v>
      </c>
      <c r="F190" s="32" t="s">
        <v>2832</v>
      </c>
      <c r="G190" s="32">
        <v>1</v>
      </c>
      <c r="H190" s="474">
        <v>36</v>
      </c>
      <c r="I190" s="32" t="s">
        <v>2509</v>
      </c>
      <c r="J190" s="561" t="s">
        <v>2833</v>
      </c>
      <c r="K190" s="562">
        <v>44232</v>
      </c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ht="78.75" x14ac:dyDescent="0.25">
      <c r="A191" s="475"/>
      <c r="B191" s="32"/>
      <c r="C191" s="32"/>
      <c r="D191" s="32">
        <v>182184</v>
      </c>
      <c r="E191" s="432" t="s">
        <v>2837</v>
      </c>
      <c r="F191" s="32"/>
      <c r="G191" s="442">
        <v>47</v>
      </c>
      <c r="H191" s="474">
        <v>1086</v>
      </c>
      <c r="I191" s="32"/>
      <c r="J191" s="563" t="s">
        <v>2485</v>
      </c>
      <c r="K191" s="463">
        <v>44277</v>
      </c>
      <c r="L191" s="32"/>
      <c r="M191" s="249"/>
      <c r="N191" s="249"/>
      <c r="O191" s="249"/>
      <c r="P191" s="32"/>
      <c r="Q191" s="32"/>
      <c r="R191" s="32"/>
      <c r="S191" s="32"/>
      <c r="T191" s="16">
        <v>201036</v>
      </c>
      <c r="U191" s="32" t="s">
        <v>2838</v>
      </c>
      <c r="V191" s="30">
        <v>10</v>
      </c>
      <c r="W191" s="474">
        <v>643</v>
      </c>
      <c r="X191" s="463">
        <v>44099</v>
      </c>
      <c r="Y191" s="32"/>
      <c r="Z191" s="32"/>
      <c r="AA191" s="32"/>
    </row>
    <row r="192" spans="1:27" ht="15.75" x14ac:dyDescent="0.25">
      <c r="A192" s="475"/>
      <c r="B192" s="32"/>
      <c r="C192" s="455">
        <v>44274</v>
      </c>
      <c r="D192" s="32">
        <v>122003</v>
      </c>
      <c r="E192" s="432" t="s">
        <v>2477</v>
      </c>
      <c r="F192" s="32"/>
      <c r="G192" s="32">
        <v>40</v>
      </c>
      <c r="H192" s="456">
        <v>1350</v>
      </c>
      <c r="I192" s="32" t="s">
        <v>2384</v>
      </c>
      <c r="J192" s="32"/>
      <c r="K192" s="432" t="s">
        <v>2839</v>
      </c>
      <c r="L192" s="592"/>
      <c r="M192" s="32"/>
      <c r="N192" s="32"/>
      <c r="O192" s="32"/>
      <c r="P192" s="32"/>
      <c r="Q192" s="32"/>
      <c r="R192" s="32"/>
      <c r="S192" s="32"/>
      <c r="T192" s="16">
        <v>222070</v>
      </c>
      <c r="U192" s="32" t="s">
        <v>2494</v>
      </c>
      <c r="V192" s="30">
        <v>20</v>
      </c>
      <c r="W192" s="564">
        <v>1843</v>
      </c>
      <c r="X192" s="463">
        <v>43949</v>
      </c>
      <c r="Y192" s="32"/>
      <c r="Z192" s="32"/>
      <c r="AA192" s="32"/>
    </row>
    <row r="193" spans="1:27" x14ac:dyDescent="0.2">
      <c r="A193" s="577"/>
      <c r="B193" s="593"/>
      <c r="C193" s="593"/>
      <c r="D193" s="578"/>
      <c r="E193" s="578"/>
      <c r="F193" s="578"/>
      <c r="G193" s="578"/>
      <c r="H193" s="594"/>
      <c r="I193" s="578"/>
      <c r="J193" s="578"/>
      <c r="K193" s="578"/>
      <c r="L193" s="594"/>
      <c r="M193" s="578"/>
      <c r="N193" s="578"/>
      <c r="O193" s="578"/>
      <c r="P193" s="578"/>
      <c r="Q193" s="578"/>
      <c r="R193" s="578"/>
      <c r="S193" s="578"/>
      <c r="T193" s="578"/>
      <c r="U193" s="578"/>
      <c r="V193" s="578"/>
      <c r="W193" s="578"/>
      <c r="X193" s="578"/>
      <c r="Y193" s="578"/>
      <c r="Z193" s="578"/>
      <c r="AA193" s="578"/>
    </row>
    <row r="194" spans="1:27" ht="90" x14ac:dyDescent="0.2">
      <c r="A194" s="565" t="s">
        <v>2492</v>
      </c>
      <c r="B194" s="588"/>
      <c r="C194" s="566">
        <v>44067</v>
      </c>
      <c r="D194" s="510">
        <v>103430</v>
      </c>
      <c r="E194" s="567" t="s">
        <v>2840</v>
      </c>
      <c r="F194" s="510">
        <v>500</v>
      </c>
      <c r="G194" s="510">
        <v>3</v>
      </c>
      <c r="H194" s="568">
        <f t="shared" ref="H194:H195" si="5">L194*G194</f>
        <v>94.679999999999993</v>
      </c>
      <c r="I194" s="547" t="s">
        <v>2841</v>
      </c>
      <c r="J194" s="543" t="s">
        <v>2842</v>
      </c>
      <c r="K194" s="510">
        <v>33.299999999999997</v>
      </c>
      <c r="L194" s="569">
        <v>31.56</v>
      </c>
      <c r="M194" s="323"/>
      <c r="N194" s="323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ht="90" x14ac:dyDescent="0.2">
      <c r="A195" s="565" t="s">
        <v>2492</v>
      </c>
      <c r="B195" s="588"/>
      <c r="C195" s="566">
        <v>44067</v>
      </c>
      <c r="D195" s="510">
        <v>103430</v>
      </c>
      <c r="E195" s="567" t="s">
        <v>2840</v>
      </c>
      <c r="F195" s="510">
        <v>500</v>
      </c>
      <c r="G195" s="510">
        <v>74</v>
      </c>
      <c r="H195" s="568">
        <f t="shared" si="5"/>
        <v>2335.44</v>
      </c>
      <c r="I195" s="547" t="s">
        <v>2841</v>
      </c>
      <c r="J195" s="543" t="s">
        <v>2842</v>
      </c>
      <c r="K195" s="510">
        <v>33.299999999999997</v>
      </c>
      <c r="L195" s="569">
        <v>31.56</v>
      </c>
      <c r="M195" s="532" t="s">
        <v>2843</v>
      </c>
      <c r="N195" s="323"/>
      <c r="O195" s="32"/>
      <c r="P195" s="32"/>
      <c r="Q195" s="32"/>
      <c r="R195" s="32"/>
      <c r="S195" s="570" t="s">
        <v>2844</v>
      </c>
      <c r="T195" s="16">
        <v>101324</v>
      </c>
      <c r="U195" s="32" t="s">
        <v>2845</v>
      </c>
      <c r="V195" s="30">
        <v>3</v>
      </c>
      <c r="W195" s="474">
        <v>71</v>
      </c>
      <c r="X195" s="463">
        <v>43836</v>
      </c>
      <c r="Y195" s="497" t="s">
        <v>2846</v>
      </c>
      <c r="Z195" s="32"/>
      <c r="AA195" s="32"/>
    </row>
    <row r="196" spans="1:27" x14ac:dyDescent="0.2">
      <c r="A196" s="584"/>
      <c r="B196" s="323"/>
      <c r="C196" s="323"/>
      <c r="D196" s="323"/>
      <c r="E196" s="323"/>
      <c r="F196" s="323"/>
      <c r="G196" s="323"/>
      <c r="H196" s="586"/>
      <c r="I196" s="323"/>
      <c r="J196" s="323"/>
      <c r="K196" s="323"/>
      <c r="L196" s="586"/>
      <c r="M196" s="323"/>
      <c r="N196" s="323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">
      <c r="A197" s="503" t="s">
        <v>2786</v>
      </c>
      <c r="B197" s="323"/>
      <c r="C197" s="571">
        <v>44274</v>
      </c>
      <c r="D197" s="504">
        <v>225054</v>
      </c>
      <c r="E197" s="532" t="s">
        <v>2847</v>
      </c>
      <c r="F197" s="323"/>
      <c r="G197" s="502">
        <v>1</v>
      </c>
      <c r="H197" s="513">
        <v>40</v>
      </c>
      <c r="I197" s="323"/>
      <c r="J197" s="532" t="s">
        <v>2848</v>
      </c>
      <c r="K197" s="323"/>
      <c r="L197" s="323" t="s">
        <v>2849</v>
      </c>
      <c r="M197" s="323"/>
      <c r="N197" s="323"/>
      <c r="O197" s="32"/>
      <c r="P197" s="32"/>
      <c r="Q197" s="32"/>
      <c r="R197" s="32"/>
      <c r="S197" s="455">
        <v>44274</v>
      </c>
      <c r="T197" s="16">
        <v>122923</v>
      </c>
      <c r="U197" s="32" t="s">
        <v>2850</v>
      </c>
      <c r="V197" s="30">
        <v>1</v>
      </c>
      <c r="W197" s="572">
        <v>13</v>
      </c>
      <c r="X197" s="463">
        <v>43906</v>
      </c>
      <c r="Y197" s="32" t="s">
        <v>2851</v>
      </c>
      <c r="Z197" s="32"/>
      <c r="AA197" s="32"/>
    </row>
    <row r="198" spans="1:27" x14ac:dyDescent="0.2">
      <c r="A198" s="475"/>
      <c r="B198" s="32"/>
      <c r="C198" s="32"/>
      <c r="D198" s="323"/>
      <c r="E198" s="32"/>
      <c r="F198" s="32"/>
      <c r="G198" s="32"/>
      <c r="H198" s="487"/>
      <c r="I198" s="32"/>
      <c r="J198" s="32"/>
      <c r="K198" s="32"/>
      <c r="L198" s="487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">
      <c r="A199" s="475"/>
      <c r="B199" s="32"/>
      <c r="C199" s="32"/>
      <c r="D199" s="323"/>
      <c r="E199" s="32"/>
      <c r="F199" s="32"/>
      <c r="G199" s="32"/>
      <c r="H199" s="487"/>
      <c r="I199" s="32"/>
      <c r="J199" s="32"/>
      <c r="K199" s="32"/>
      <c r="L199" s="487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">
      <c r="A200" s="475"/>
      <c r="B200" s="32"/>
      <c r="C200" s="32"/>
      <c r="D200" s="323"/>
      <c r="E200" s="32"/>
      <c r="F200" s="32"/>
      <c r="G200" s="32"/>
      <c r="H200" s="487"/>
      <c r="I200" s="32"/>
      <c r="J200" s="32"/>
      <c r="K200" s="32"/>
      <c r="L200" s="487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">
      <c r="A201" s="475"/>
      <c r="B201" s="32"/>
      <c r="C201" s="32"/>
      <c r="D201" s="323"/>
      <c r="E201" s="32"/>
      <c r="F201" s="32"/>
      <c r="G201" s="32"/>
      <c r="H201" s="487"/>
      <c r="I201" s="32"/>
      <c r="J201" s="32"/>
      <c r="K201" s="32"/>
      <c r="L201" s="487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">
      <c r="A202" s="475"/>
      <c r="B202" s="32"/>
      <c r="C202" s="32"/>
      <c r="D202" s="323"/>
      <c r="E202" s="32"/>
      <c r="F202" s="32"/>
      <c r="G202" s="32"/>
      <c r="H202" s="487"/>
      <c r="I202" s="32"/>
      <c r="J202" s="32"/>
      <c r="K202" s="32"/>
      <c r="L202" s="487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">
      <c r="A203" s="475"/>
      <c r="B203" s="32"/>
      <c r="C203" s="32"/>
      <c r="D203" s="323"/>
      <c r="E203" s="32"/>
      <c r="F203" s="32"/>
      <c r="G203" s="32"/>
      <c r="H203" s="487"/>
      <c r="I203" s="32"/>
      <c r="J203" s="32"/>
      <c r="K203" s="32"/>
      <c r="L203" s="487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">
      <c r="A204" s="475"/>
      <c r="B204" s="32"/>
      <c r="C204" s="32"/>
      <c r="D204" s="323"/>
      <c r="E204" s="32"/>
      <c r="F204" s="32"/>
      <c r="G204" s="32"/>
      <c r="H204" s="487"/>
      <c r="I204" s="32"/>
      <c r="J204" s="32"/>
      <c r="K204" s="32"/>
      <c r="L204" s="487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">
      <c r="A205" s="475"/>
      <c r="B205" s="32"/>
      <c r="C205" s="32"/>
      <c r="D205" s="323"/>
      <c r="E205" s="32"/>
      <c r="F205" s="32"/>
      <c r="G205" s="32"/>
      <c r="H205" s="487"/>
      <c r="I205" s="32"/>
      <c r="J205" s="32"/>
      <c r="K205" s="32"/>
      <c r="L205" s="487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">
      <c r="A206" s="475"/>
      <c r="B206" s="32"/>
      <c r="C206" s="32"/>
      <c r="D206" s="323"/>
      <c r="E206" s="32"/>
      <c r="F206" s="32"/>
      <c r="G206" s="32"/>
      <c r="H206" s="487"/>
      <c r="I206" s="32"/>
      <c r="J206" s="32"/>
      <c r="K206" s="32"/>
      <c r="L206" s="487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">
      <c r="A207" s="475"/>
      <c r="B207" s="32"/>
      <c r="C207" s="32"/>
      <c r="D207" s="323"/>
      <c r="E207" s="32"/>
      <c r="F207" s="32"/>
      <c r="G207" s="32"/>
      <c r="H207" s="487"/>
      <c r="I207" s="32"/>
      <c r="J207" s="32"/>
      <c r="K207" s="32"/>
      <c r="L207" s="487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">
      <c r="A208" s="475"/>
      <c r="B208" s="32"/>
      <c r="C208" s="32"/>
      <c r="D208" s="323"/>
      <c r="E208" s="32"/>
      <c r="F208" s="32"/>
      <c r="G208" s="32"/>
      <c r="H208" s="487"/>
      <c r="I208" s="32"/>
      <c r="J208" s="32"/>
      <c r="K208" s="32"/>
      <c r="L208" s="487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">
      <c r="A209" s="475"/>
      <c r="B209" s="32"/>
      <c r="C209" s="32"/>
      <c r="D209" s="323"/>
      <c r="E209" s="32"/>
      <c r="F209" s="32"/>
      <c r="G209" s="32"/>
      <c r="H209" s="487"/>
      <c r="I209" s="32"/>
      <c r="J209" s="32"/>
      <c r="K209" s="32"/>
      <c r="L209" s="487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">
      <c r="A210" s="475"/>
      <c r="B210" s="32"/>
      <c r="C210" s="32"/>
      <c r="D210" s="323"/>
      <c r="E210" s="32"/>
      <c r="F210" s="32"/>
      <c r="G210" s="32"/>
      <c r="H210" s="487"/>
      <c r="I210" s="32"/>
      <c r="J210" s="32"/>
      <c r="K210" s="32"/>
      <c r="L210" s="487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">
      <c r="A211" s="475"/>
      <c r="B211" s="32"/>
      <c r="C211" s="32"/>
      <c r="D211" s="323"/>
      <c r="E211" s="32"/>
      <c r="F211" s="32"/>
      <c r="G211" s="32"/>
      <c r="H211" s="487"/>
      <c r="I211" s="32"/>
      <c r="J211" s="32"/>
      <c r="K211" s="32"/>
      <c r="L211" s="487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">
      <c r="A212" s="475"/>
      <c r="B212" s="32"/>
      <c r="C212" s="32"/>
      <c r="D212" s="323"/>
      <c r="E212" s="32"/>
      <c r="F212" s="32"/>
      <c r="G212" s="32"/>
      <c r="H212" s="487"/>
      <c r="I212" s="32"/>
      <c r="J212" s="32"/>
      <c r="K212" s="32"/>
      <c r="L212" s="487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">
      <c r="A213" s="475"/>
      <c r="B213" s="32"/>
      <c r="C213" s="32"/>
      <c r="D213" s="323"/>
      <c r="E213" s="32"/>
      <c r="F213" s="32"/>
      <c r="G213" s="32"/>
      <c r="H213" s="487"/>
      <c r="I213" s="32"/>
      <c r="J213" s="32"/>
      <c r="K213" s="32"/>
      <c r="L213" s="487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">
      <c r="A214" s="475"/>
      <c r="B214" s="32"/>
      <c r="C214" s="32"/>
      <c r="D214" s="323"/>
      <c r="E214" s="32"/>
      <c r="F214" s="32"/>
      <c r="G214" s="32"/>
      <c r="H214" s="487"/>
      <c r="I214" s="32"/>
      <c r="J214" s="32"/>
      <c r="K214" s="32"/>
      <c r="L214" s="487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">
      <c r="A215" s="475"/>
      <c r="B215" s="32"/>
      <c r="C215" s="32"/>
      <c r="D215" s="323"/>
      <c r="E215" s="32"/>
      <c r="F215" s="32"/>
      <c r="G215" s="32"/>
      <c r="H215" s="487"/>
      <c r="I215" s="32"/>
      <c r="J215" s="32"/>
      <c r="K215" s="32"/>
      <c r="L215" s="487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">
      <c r="A216" s="475"/>
      <c r="B216" s="32"/>
      <c r="C216" s="32"/>
      <c r="D216" s="323"/>
      <c r="E216" s="32"/>
      <c r="F216" s="32"/>
      <c r="G216" s="32"/>
      <c r="H216" s="487"/>
      <c r="I216" s="32"/>
      <c r="J216" s="32"/>
      <c r="K216" s="32"/>
      <c r="L216" s="487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">
      <c r="A217" s="475"/>
      <c r="B217" s="32"/>
      <c r="C217" s="32"/>
      <c r="D217" s="323"/>
      <c r="E217" s="32"/>
      <c r="F217" s="32"/>
      <c r="G217" s="32"/>
      <c r="H217" s="487"/>
      <c r="I217" s="32"/>
      <c r="J217" s="32"/>
      <c r="K217" s="32"/>
      <c r="L217" s="487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">
      <c r="A218" s="475"/>
      <c r="B218" s="32"/>
      <c r="C218" s="32"/>
      <c r="D218" s="323"/>
      <c r="E218" s="32"/>
      <c r="F218" s="32"/>
      <c r="G218" s="32"/>
      <c r="H218" s="487"/>
      <c r="I218" s="32"/>
      <c r="J218" s="32"/>
      <c r="K218" s="32"/>
      <c r="L218" s="487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">
      <c r="A219" s="475"/>
      <c r="B219" s="32"/>
      <c r="C219" s="32"/>
      <c r="D219" s="323"/>
      <c r="E219" s="32"/>
      <c r="F219" s="32"/>
      <c r="G219" s="32"/>
      <c r="H219" s="487"/>
      <c r="I219" s="32"/>
      <c r="J219" s="32"/>
      <c r="K219" s="32"/>
      <c r="L219" s="487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">
      <c r="A220" s="475"/>
      <c r="B220" s="32"/>
      <c r="C220" s="32"/>
      <c r="D220" s="323"/>
      <c r="E220" s="32"/>
      <c r="F220" s="32"/>
      <c r="G220" s="32"/>
      <c r="H220" s="487"/>
      <c r="I220" s="32"/>
      <c r="J220" s="32"/>
      <c r="K220" s="32"/>
      <c r="L220" s="487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">
      <c r="A221" s="475"/>
      <c r="B221" s="32"/>
      <c r="C221" s="32"/>
      <c r="D221" s="323"/>
      <c r="E221" s="32"/>
      <c r="F221" s="32"/>
      <c r="G221" s="32"/>
      <c r="H221" s="487"/>
      <c r="I221" s="32"/>
      <c r="J221" s="32"/>
      <c r="K221" s="32"/>
      <c r="L221" s="487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">
      <c r="A222" s="475"/>
      <c r="B222" s="32"/>
      <c r="C222" s="32"/>
      <c r="D222" s="323"/>
      <c r="E222" s="32"/>
      <c r="F222" s="32"/>
      <c r="G222" s="32"/>
      <c r="H222" s="487"/>
      <c r="I222" s="32"/>
      <c r="J222" s="32"/>
      <c r="K222" s="32"/>
      <c r="L222" s="487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">
      <c r="A223" s="475"/>
      <c r="B223" s="32"/>
      <c r="C223" s="32"/>
      <c r="D223" s="323"/>
      <c r="E223" s="32"/>
      <c r="F223" s="32"/>
      <c r="G223" s="32"/>
      <c r="H223" s="487"/>
      <c r="I223" s="32"/>
      <c r="J223" s="32"/>
      <c r="K223" s="32"/>
      <c r="L223" s="487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">
      <c r="A224" s="475"/>
      <c r="B224" s="32"/>
      <c r="C224" s="32"/>
      <c r="D224" s="323"/>
      <c r="E224" s="32"/>
      <c r="F224" s="32"/>
      <c r="G224" s="32"/>
      <c r="H224" s="487"/>
      <c r="I224" s="32"/>
      <c r="J224" s="32"/>
      <c r="K224" s="32"/>
      <c r="L224" s="487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">
      <c r="A225" s="475"/>
      <c r="B225" s="32"/>
      <c r="C225" s="32"/>
      <c r="D225" s="323"/>
      <c r="E225" s="32"/>
      <c r="F225" s="32"/>
      <c r="G225" s="32"/>
      <c r="H225" s="487"/>
      <c r="I225" s="32"/>
      <c r="J225" s="32"/>
      <c r="K225" s="32"/>
      <c r="L225" s="487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">
      <c r="A226" s="475"/>
      <c r="B226" s="32"/>
      <c r="C226" s="32"/>
      <c r="D226" s="323"/>
      <c r="E226" s="32"/>
      <c r="F226" s="32"/>
      <c r="G226" s="32"/>
      <c r="H226" s="487"/>
      <c r="I226" s="32"/>
      <c r="J226" s="32"/>
      <c r="K226" s="32"/>
      <c r="L226" s="487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">
      <c r="A227" s="475"/>
      <c r="B227" s="32"/>
      <c r="C227" s="32"/>
      <c r="D227" s="323"/>
      <c r="E227" s="32"/>
      <c r="F227" s="32"/>
      <c r="G227" s="32"/>
      <c r="H227" s="487"/>
      <c r="I227" s="32"/>
      <c r="J227" s="32"/>
      <c r="K227" s="32"/>
      <c r="L227" s="487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">
      <c r="A228" s="475"/>
      <c r="B228" s="32"/>
      <c r="C228" s="32"/>
      <c r="D228" s="323"/>
      <c r="E228" s="32"/>
      <c r="F228" s="32"/>
      <c r="G228" s="32"/>
      <c r="H228" s="487"/>
      <c r="I228" s="32"/>
      <c r="J228" s="32"/>
      <c r="K228" s="32"/>
      <c r="L228" s="487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">
      <c r="A229" s="475"/>
      <c r="B229" s="32"/>
      <c r="C229" s="32"/>
      <c r="D229" s="323"/>
      <c r="E229" s="32"/>
      <c r="F229" s="32"/>
      <c r="G229" s="32"/>
      <c r="H229" s="487"/>
      <c r="I229" s="32"/>
      <c r="J229" s="32"/>
      <c r="K229" s="32"/>
      <c r="L229" s="487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">
      <c r="A230" s="475"/>
      <c r="B230" s="32"/>
      <c r="C230" s="32"/>
      <c r="D230" s="323"/>
      <c r="E230" s="32"/>
      <c r="F230" s="32"/>
      <c r="G230" s="32"/>
      <c r="H230" s="487"/>
      <c r="I230" s="32"/>
      <c r="J230" s="32"/>
      <c r="K230" s="32"/>
      <c r="L230" s="487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">
      <c r="A231" s="475"/>
      <c r="B231" s="32"/>
      <c r="C231" s="32"/>
      <c r="D231" s="323"/>
      <c r="E231" s="32"/>
      <c r="F231" s="32"/>
      <c r="G231" s="32"/>
      <c r="H231" s="487"/>
      <c r="I231" s="32"/>
      <c r="J231" s="32"/>
      <c r="K231" s="32"/>
      <c r="L231" s="487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">
      <c r="A232" s="475"/>
      <c r="B232" s="32"/>
      <c r="C232" s="32"/>
      <c r="D232" s="323"/>
      <c r="E232" s="32"/>
      <c r="F232" s="32"/>
      <c r="G232" s="32"/>
      <c r="H232" s="487"/>
      <c r="I232" s="32"/>
      <c r="J232" s="32"/>
      <c r="K232" s="32"/>
      <c r="L232" s="487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">
      <c r="A233" s="475"/>
      <c r="B233" s="32"/>
      <c r="C233" s="32"/>
      <c r="D233" s="323"/>
      <c r="E233" s="32"/>
      <c r="F233" s="32"/>
      <c r="G233" s="32"/>
      <c r="H233" s="487"/>
      <c r="I233" s="32"/>
      <c r="J233" s="32"/>
      <c r="K233" s="32"/>
      <c r="L233" s="487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">
      <c r="A234" s="475"/>
      <c r="B234" s="32"/>
      <c r="C234" s="32"/>
      <c r="D234" s="323"/>
      <c r="E234" s="32"/>
      <c r="F234" s="147"/>
      <c r="G234" s="32"/>
      <c r="H234" s="487"/>
      <c r="I234" s="32"/>
      <c r="J234" s="32"/>
      <c r="K234" s="32"/>
      <c r="L234" s="487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">
      <c r="A235" s="475"/>
      <c r="B235" s="32"/>
      <c r="C235" s="32"/>
      <c r="D235" s="323"/>
      <c r="E235" s="32"/>
      <c r="F235" s="32"/>
      <c r="G235" s="32"/>
      <c r="H235" s="487"/>
      <c r="I235" s="32"/>
      <c r="J235" s="32"/>
      <c r="K235" s="32"/>
      <c r="L235" s="487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">
      <c r="A236" s="475"/>
      <c r="B236" s="32"/>
      <c r="C236" s="32"/>
      <c r="D236" s="323"/>
      <c r="E236" s="32"/>
      <c r="F236" s="32"/>
      <c r="G236" s="32"/>
      <c r="H236" s="487"/>
      <c r="I236" s="32"/>
      <c r="J236" s="32"/>
      <c r="K236" s="32"/>
      <c r="L236" s="487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">
      <c r="A237" s="475"/>
      <c r="B237" s="32"/>
      <c r="C237" s="32"/>
      <c r="D237" s="323"/>
      <c r="E237" s="32"/>
      <c r="F237" s="32"/>
      <c r="G237" s="32"/>
      <c r="H237" s="487"/>
      <c r="I237" s="32"/>
      <c r="J237" s="32"/>
      <c r="K237" s="32"/>
      <c r="L237" s="487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">
      <c r="A238" s="475"/>
      <c r="B238" s="32"/>
      <c r="C238" s="32"/>
      <c r="D238" s="323"/>
      <c r="E238" s="32"/>
      <c r="F238" s="32"/>
      <c r="G238" s="32"/>
      <c r="H238" s="487"/>
      <c r="I238" s="32"/>
      <c r="J238" s="32"/>
      <c r="K238" s="32"/>
      <c r="L238" s="487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">
      <c r="A239" s="475"/>
      <c r="B239" s="32"/>
      <c r="C239" s="32"/>
      <c r="D239" s="323"/>
      <c r="E239" s="32"/>
      <c r="F239" s="32"/>
      <c r="G239" s="32"/>
      <c r="H239" s="487"/>
      <c r="I239" s="32"/>
      <c r="J239" s="32"/>
      <c r="K239" s="32"/>
      <c r="L239" s="487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">
      <c r="A240" s="475"/>
      <c r="B240" s="32"/>
      <c r="C240" s="32"/>
      <c r="D240" s="323"/>
      <c r="E240" s="32"/>
      <c r="F240" s="32"/>
      <c r="G240" s="32"/>
      <c r="H240" s="487"/>
      <c r="I240" s="32"/>
      <c r="J240" s="32"/>
      <c r="K240" s="32"/>
      <c r="L240" s="487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">
      <c r="A241" s="475"/>
      <c r="B241" s="32"/>
      <c r="C241" s="32"/>
      <c r="D241" s="323"/>
      <c r="E241" s="32"/>
      <c r="F241" s="32"/>
      <c r="G241" s="32"/>
      <c r="H241" s="487"/>
      <c r="I241" s="32"/>
      <c r="J241" s="32"/>
      <c r="K241" s="32"/>
      <c r="L241" s="487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">
      <c r="A242" s="475"/>
      <c r="B242" s="32"/>
      <c r="C242" s="32"/>
      <c r="D242" s="323"/>
      <c r="E242" s="32"/>
      <c r="F242" s="32"/>
      <c r="G242" s="32"/>
      <c r="H242" s="487"/>
      <c r="I242" s="32"/>
      <c r="J242" s="32"/>
      <c r="K242" s="32"/>
      <c r="L242" s="487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">
      <c r="A243" s="475"/>
      <c r="B243" s="32"/>
      <c r="C243" s="32"/>
      <c r="D243" s="323"/>
      <c r="E243" s="32"/>
      <c r="F243" s="32"/>
      <c r="G243" s="32"/>
      <c r="H243" s="487"/>
      <c r="I243" s="32"/>
      <c r="J243" s="32"/>
      <c r="K243" s="32"/>
      <c r="L243" s="487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">
      <c r="A244" s="475"/>
      <c r="B244" s="32"/>
      <c r="C244" s="32"/>
      <c r="D244" s="323"/>
      <c r="E244" s="32"/>
      <c r="F244" s="32"/>
      <c r="G244" s="32"/>
      <c r="H244" s="487"/>
      <c r="I244" s="32"/>
      <c r="J244" s="32"/>
      <c r="K244" s="32"/>
      <c r="L244" s="487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">
      <c r="A245" s="475"/>
      <c r="B245" s="32"/>
      <c r="C245" s="32"/>
      <c r="D245" s="323"/>
      <c r="E245" s="32"/>
      <c r="F245" s="32"/>
      <c r="G245" s="32"/>
      <c r="H245" s="487"/>
      <c r="I245" s="32"/>
      <c r="J245" s="32"/>
      <c r="K245" s="32"/>
      <c r="L245" s="487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">
      <c r="A246" s="475"/>
      <c r="B246" s="32"/>
      <c r="C246" s="32"/>
      <c r="D246" s="323"/>
      <c r="E246" s="32"/>
      <c r="F246" s="32"/>
      <c r="G246" s="32"/>
      <c r="H246" s="487"/>
      <c r="I246" s="32"/>
      <c r="J246" s="32"/>
      <c r="K246" s="32"/>
      <c r="L246" s="487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">
      <c r="A247" s="475"/>
      <c r="B247" s="32"/>
      <c r="C247" s="32"/>
      <c r="D247" s="323"/>
      <c r="E247" s="32"/>
      <c r="F247" s="32"/>
      <c r="G247" s="32"/>
      <c r="H247" s="487"/>
      <c r="I247" s="32"/>
      <c r="J247" s="32"/>
      <c r="K247" s="32"/>
      <c r="L247" s="487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">
      <c r="A248" s="475"/>
      <c r="B248" s="32"/>
      <c r="C248" s="32"/>
      <c r="D248" s="323"/>
      <c r="E248" s="32"/>
      <c r="F248" s="32"/>
      <c r="G248" s="32"/>
      <c r="H248" s="487"/>
      <c r="I248" s="32"/>
      <c r="J248" s="32"/>
      <c r="K248" s="32"/>
      <c r="L248" s="487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">
      <c r="A249" s="475"/>
      <c r="B249" s="32"/>
      <c r="C249" s="32"/>
      <c r="D249" s="323"/>
      <c r="E249" s="32"/>
      <c r="F249" s="32"/>
      <c r="G249" s="32"/>
      <c r="H249" s="487"/>
      <c r="I249" s="32"/>
      <c r="J249" s="32"/>
      <c r="K249" s="32"/>
      <c r="L249" s="487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">
      <c r="A250" s="475"/>
      <c r="B250" s="32"/>
      <c r="C250" s="32"/>
      <c r="D250" s="323"/>
      <c r="E250" s="32"/>
      <c r="F250" s="32"/>
      <c r="G250" s="32"/>
      <c r="H250" s="487"/>
      <c r="I250" s="32"/>
      <c r="J250" s="32"/>
      <c r="K250" s="32"/>
      <c r="L250" s="487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">
      <c r="A251" s="475"/>
      <c r="B251" s="32"/>
      <c r="C251" s="32"/>
      <c r="D251" s="323"/>
      <c r="E251" s="32"/>
      <c r="F251" s="32"/>
      <c r="G251" s="32"/>
      <c r="H251" s="487"/>
      <c r="I251" s="32"/>
      <c r="J251" s="32"/>
      <c r="K251" s="32"/>
      <c r="L251" s="487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">
      <c r="A252" s="475"/>
      <c r="B252" s="32"/>
      <c r="C252" s="32"/>
      <c r="D252" s="323"/>
      <c r="E252" s="32"/>
      <c r="F252" s="32"/>
      <c r="G252" s="32"/>
      <c r="H252" s="487"/>
      <c r="I252" s="32"/>
      <c r="J252" s="32"/>
      <c r="K252" s="32"/>
      <c r="L252" s="487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">
      <c r="A253" s="475"/>
      <c r="B253" s="32"/>
      <c r="C253" s="32"/>
      <c r="D253" s="323"/>
      <c r="E253" s="32"/>
      <c r="F253" s="32"/>
      <c r="G253" s="32"/>
      <c r="H253" s="487"/>
      <c r="I253" s="32"/>
      <c r="J253" s="32"/>
      <c r="K253" s="32"/>
      <c r="L253" s="487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">
      <c r="A254" s="475"/>
      <c r="B254" s="32"/>
      <c r="C254" s="32"/>
      <c r="D254" s="323"/>
      <c r="E254" s="32"/>
      <c r="F254" s="32"/>
      <c r="G254" s="32"/>
      <c r="H254" s="487"/>
      <c r="I254" s="32"/>
      <c r="J254" s="32"/>
      <c r="K254" s="32"/>
      <c r="L254" s="487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">
      <c r="A255" s="475"/>
      <c r="B255" s="32"/>
      <c r="C255" s="32"/>
      <c r="D255" s="323"/>
      <c r="E255" s="32"/>
      <c r="F255" s="32"/>
      <c r="G255" s="32"/>
      <c r="H255" s="487"/>
      <c r="I255" s="32"/>
      <c r="J255" s="32"/>
      <c r="K255" s="32"/>
      <c r="L255" s="487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">
      <c r="A256" s="475"/>
      <c r="B256" s="32"/>
      <c r="C256" s="32"/>
      <c r="D256" s="323"/>
      <c r="E256" s="32"/>
      <c r="F256" s="32"/>
      <c r="G256" s="32"/>
      <c r="H256" s="487"/>
      <c r="I256" s="32"/>
      <c r="J256" s="32"/>
      <c r="K256" s="32"/>
      <c r="L256" s="487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">
      <c r="A257" s="475"/>
      <c r="B257" s="32"/>
      <c r="C257" s="32"/>
      <c r="D257" s="323"/>
      <c r="E257" s="32"/>
      <c r="F257" s="32"/>
      <c r="G257" s="32"/>
      <c r="H257" s="487"/>
      <c r="I257" s="32"/>
      <c r="J257" s="32"/>
      <c r="K257" s="32"/>
      <c r="L257" s="487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">
      <c r="A258" s="475"/>
      <c r="B258" s="32"/>
      <c r="C258" s="32"/>
      <c r="D258" s="323"/>
      <c r="E258" s="32"/>
      <c r="F258" s="32"/>
      <c r="G258" s="32"/>
      <c r="H258" s="487"/>
      <c r="I258" s="32"/>
      <c r="J258" s="32"/>
      <c r="K258" s="32"/>
      <c r="L258" s="487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">
      <c r="A259" s="475"/>
      <c r="B259" s="32"/>
      <c r="C259" s="32"/>
      <c r="D259" s="323"/>
      <c r="E259" s="32"/>
      <c r="F259" s="32"/>
      <c r="G259" s="32"/>
      <c r="H259" s="487"/>
      <c r="I259" s="32"/>
      <c r="J259" s="32"/>
      <c r="K259" s="32"/>
      <c r="L259" s="487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">
      <c r="A260" s="475"/>
      <c r="B260" s="32"/>
      <c r="C260" s="32"/>
      <c r="D260" s="323"/>
      <c r="E260" s="32"/>
      <c r="F260" s="32"/>
      <c r="G260" s="32"/>
      <c r="H260" s="487"/>
      <c r="I260" s="32"/>
      <c r="J260" s="32"/>
      <c r="K260" s="32"/>
      <c r="L260" s="487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">
      <c r="A261" s="475"/>
      <c r="B261" s="32"/>
      <c r="C261" s="32"/>
      <c r="D261" s="323"/>
      <c r="E261" s="32"/>
      <c r="F261" s="32"/>
      <c r="G261" s="32"/>
      <c r="H261" s="487"/>
      <c r="I261" s="32"/>
      <c r="J261" s="32"/>
      <c r="K261" s="32"/>
      <c r="L261" s="487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">
      <c r="A262" s="475"/>
      <c r="B262" s="32"/>
      <c r="C262" s="32"/>
      <c r="D262" s="323"/>
      <c r="E262" s="32"/>
      <c r="F262" s="32"/>
      <c r="G262" s="32"/>
      <c r="H262" s="487"/>
      <c r="I262" s="32"/>
      <c r="J262" s="32"/>
      <c r="K262" s="32"/>
      <c r="L262" s="487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">
      <c r="A263" s="475"/>
      <c r="B263" s="32"/>
      <c r="C263" s="32"/>
      <c r="D263" s="323"/>
      <c r="E263" s="32"/>
      <c r="F263" s="32"/>
      <c r="G263" s="32"/>
      <c r="H263" s="487"/>
      <c r="I263" s="32"/>
      <c r="J263" s="32"/>
      <c r="K263" s="32"/>
      <c r="L263" s="487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">
      <c r="A264" s="475"/>
      <c r="B264" s="32"/>
      <c r="C264" s="32"/>
      <c r="D264" s="323"/>
      <c r="E264" s="32"/>
      <c r="F264" s="32"/>
      <c r="G264" s="32"/>
      <c r="H264" s="487"/>
      <c r="I264" s="32"/>
      <c r="J264" s="32"/>
      <c r="K264" s="32"/>
      <c r="L264" s="487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">
      <c r="A265" s="475"/>
      <c r="B265" s="32"/>
      <c r="C265" s="32"/>
      <c r="D265" s="323"/>
      <c r="E265" s="32"/>
      <c r="F265" s="32"/>
      <c r="G265" s="32"/>
      <c r="H265" s="487"/>
      <c r="I265" s="32"/>
      <c r="J265" s="32"/>
      <c r="K265" s="32"/>
      <c r="L265" s="487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">
      <c r="A266" s="475"/>
      <c r="B266" s="32"/>
      <c r="C266" s="32"/>
      <c r="D266" s="323"/>
      <c r="E266" s="32"/>
      <c r="F266" s="32"/>
      <c r="G266" s="32"/>
      <c r="H266" s="487"/>
      <c r="I266" s="32"/>
      <c r="J266" s="32"/>
      <c r="K266" s="32"/>
      <c r="L266" s="487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">
      <c r="A267" s="475"/>
      <c r="B267" s="32"/>
      <c r="C267" s="32"/>
      <c r="D267" s="323"/>
      <c r="E267" s="32"/>
      <c r="F267" s="32"/>
      <c r="G267" s="32"/>
      <c r="H267" s="487"/>
      <c r="I267" s="32"/>
      <c r="J267" s="32"/>
      <c r="K267" s="32"/>
      <c r="L267" s="487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">
      <c r="A268" s="475"/>
      <c r="B268" s="32"/>
      <c r="C268" s="32"/>
      <c r="D268" s="323"/>
      <c r="E268" s="32"/>
      <c r="F268" s="32"/>
      <c r="G268" s="32"/>
      <c r="H268" s="487"/>
      <c r="I268" s="32"/>
      <c r="J268" s="32"/>
      <c r="K268" s="32"/>
      <c r="L268" s="487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">
      <c r="A269" s="475"/>
      <c r="B269" s="32"/>
      <c r="C269" s="32"/>
      <c r="D269" s="323"/>
      <c r="E269" s="32"/>
      <c r="F269" s="32"/>
      <c r="G269" s="32"/>
      <c r="H269" s="487"/>
      <c r="I269" s="32"/>
      <c r="J269" s="32"/>
      <c r="K269" s="32"/>
      <c r="L269" s="487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">
      <c r="A270" s="475"/>
      <c r="B270" s="32"/>
      <c r="C270" s="32"/>
      <c r="D270" s="323"/>
      <c r="E270" s="32"/>
      <c r="F270" s="32"/>
      <c r="G270" s="32"/>
      <c r="H270" s="487"/>
      <c r="I270" s="32"/>
      <c r="J270" s="32"/>
      <c r="K270" s="32"/>
      <c r="L270" s="487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">
      <c r="A271" s="475"/>
      <c r="B271" s="32"/>
      <c r="C271" s="32"/>
      <c r="D271" s="323"/>
      <c r="E271" s="32"/>
      <c r="F271" s="32"/>
      <c r="G271" s="32"/>
      <c r="H271" s="487"/>
      <c r="I271" s="32"/>
      <c r="J271" s="32"/>
      <c r="K271" s="32"/>
      <c r="L271" s="487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">
      <c r="A272" s="475"/>
      <c r="B272" s="32"/>
      <c r="C272" s="32"/>
      <c r="D272" s="323"/>
      <c r="E272" s="32"/>
      <c r="F272" s="32"/>
      <c r="G272" s="32"/>
      <c r="H272" s="487"/>
      <c r="I272" s="32"/>
      <c r="J272" s="32"/>
      <c r="K272" s="32"/>
      <c r="L272" s="487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">
      <c r="A273" s="475"/>
      <c r="B273" s="32"/>
      <c r="C273" s="32"/>
      <c r="D273" s="323"/>
      <c r="E273" s="32"/>
      <c r="F273" s="32"/>
      <c r="G273" s="32"/>
      <c r="H273" s="487"/>
      <c r="I273" s="32"/>
      <c r="J273" s="32"/>
      <c r="K273" s="32"/>
      <c r="L273" s="487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">
      <c r="A274" s="475"/>
      <c r="B274" s="32"/>
      <c r="C274" s="32"/>
      <c r="D274" s="323"/>
      <c r="E274" s="32"/>
      <c r="F274" s="32"/>
      <c r="G274" s="32"/>
      <c r="H274" s="487"/>
      <c r="I274" s="32"/>
      <c r="J274" s="32"/>
      <c r="K274" s="32"/>
      <c r="L274" s="487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">
      <c r="A275" s="475"/>
      <c r="B275" s="32"/>
      <c r="C275" s="32"/>
      <c r="D275" s="323"/>
      <c r="E275" s="32"/>
      <c r="F275" s="32"/>
      <c r="G275" s="32"/>
      <c r="H275" s="487"/>
      <c r="I275" s="32"/>
      <c r="J275" s="32"/>
      <c r="K275" s="32"/>
      <c r="L275" s="487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">
      <c r="A276" s="475"/>
      <c r="B276" s="32"/>
      <c r="C276" s="32"/>
      <c r="D276" s="323"/>
      <c r="E276" s="32"/>
      <c r="F276" s="32"/>
      <c r="G276" s="32"/>
      <c r="H276" s="487"/>
      <c r="I276" s="32"/>
      <c r="J276" s="32"/>
      <c r="K276" s="32"/>
      <c r="L276" s="487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">
      <c r="A277" s="475"/>
      <c r="B277" s="32"/>
      <c r="C277" s="32"/>
      <c r="D277" s="323"/>
      <c r="E277" s="32"/>
      <c r="F277" s="32"/>
      <c r="G277" s="32"/>
      <c r="H277" s="487"/>
      <c r="I277" s="32"/>
      <c r="J277" s="32"/>
      <c r="K277" s="32"/>
      <c r="L277" s="487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">
      <c r="A278" s="475"/>
      <c r="B278" s="32"/>
      <c r="C278" s="32"/>
      <c r="D278" s="323"/>
      <c r="E278" s="32"/>
      <c r="F278" s="32"/>
      <c r="G278" s="32"/>
      <c r="H278" s="487"/>
      <c r="I278" s="32"/>
      <c r="J278" s="32"/>
      <c r="K278" s="32"/>
      <c r="L278" s="487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">
      <c r="A279" s="475"/>
      <c r="B279" s="32"/>
      <c r="C279" s="32"/>
      <c r="D279" s="323"/>
      <c r="E279" s="32"/>
      <c r="F279" s="32"/>
      <c r="G279" s="32"/>
      <c r="H279" s="487"/>
      <c r="I279" s="32"/>
      <c r="J279" s="32"/>
      <c r="K279" s="32"/>
      <c r="L279" s="487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">
      <c r="A280" s="475"/>
      <c r="B280" s="32"/>
      <c r="C280" s="32"/>
      <c r="D280" s="323"/>
      <c r="E280" s="32"/>
      <c r="F280" s="32"/>
      <c r="G280" s="32"/>
      <c r="H280" s="487"/>
      <c r="I280" s="32"/>
      <c r="J280" s="32"/>
      <c r="K280" s="32"/>
      <c r="L280" s="487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">
      <c r="A281" s="475"/>
      <c r="B281" s="32"/>
      <c r="C281" s="32"/>
      <c r="D281" s="323"/>
      <c r="E281" s="32"/>
      <c r="F281" s="32"/>
      <c r="G281" s="32"/>
      <c r="H281" s="487"/>
      <c r="I281" s="32"/>
      <c r="J281" s="32"/>
      <c r="K281" s="32"/>
      <c r="L281" s="487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">
      <c r="A282" s="475"/>
      <c r="B282" s="32"/>
      <c r="C282" s="32"/>
      <c r="D282" s="323"/>
      <c r="E282" s="32"/>
      <c r="F282" s="32"/>
      <c r="G282" s="32"/>
      <c r="H282" s="487"/>
      <c r="I282" s="32"/>
      <c r="J282" s="32"/>
      <c r="K282" s="32"/>
      <c r="L282" s="487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">
      <c r="A283" s="475"/>
      <c r="B283" s="32"/>
      <c r="C283" s="32"/>
      <c r="D283" s="323"/>
      <c r="E283" s="32"/>
      <c r="F283" s="32"/>
      <c r="G283" s="32"/>
      <c r="H283" s="487"/>
      <c r="I283" s="32"/>
      <c r="J283" s="32"/>
      <c r="K283" s="32"/>
      <c r="L283" s="487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">
      <c r="A284" s="475"/>
      <c r="B284" s="32"/>
      <c r="C284" s="32"/>
      <c r="D284" s="323"/>
      <c r="E284" s="32"/>
      <c r="F284" s="32"/>
      <c r="G284" s="32"/>
      <c r="H284" s="487"/>
      <c r="I284" s="32"/>
      <c r="J284" s="32"/>
      <c r="K284" s="32"/>
      <c r="L284" s="487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">
      <c r="A285" s="475"/>
      <c r="B285" s="32"/>
      <c r="C285" s="32"/>
      <c r="D285" s="323"/>
      <c r="E285" s="32"/>
      <c r="F285" s="32"/>
      <c r="G285" s="32"/>
      <c r="H285" s="487"/>
      <c r="I285" s="32"/>
      <c r="J285" s="32"/>
      <c r="K285" s="32"/>
      <c r="L285" s="487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">
      <c r="A286" s="475"/>
      <c r="B286" s="32"/>
      <c r="C286" s="32"/>
      <c r="D286" s="323"/>
      <c r="E286" s="32"/>
      <c r="F286" s="32"/>
      <c r="G286" s="32"/>
      <c r="H286" s="487"/>
      <c r="I286" s="32"/>
      <c r="J286" s="32"/>
      <c r="K286" s="32"/>
      <c r="L286" s="487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">
      <c r="A287" s="475"/>
      <c r="B287" s="32"/>
      <c r="C287" s="32"/>
      <c r="D287" s="323"/>
      <c r="E287" s="32"/>
      <c r="F287" s="32"/>
      <c r="G287" s="32"/>
      <c r="H287" s="487"/>
      <c r="I287" s="32"/>
      <c r="J287" s="32"/>
      <c r="K287" s="32"/>
      <c r="L287" s="487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">
      <c r="A288" s="475"/>
      <c r="B288" s="32"/>
      <c r="C288" s="32"/>
      <c r="D288" s="323"/>
      <c r="E288" s="32"/>
      <c r="F288" s="32"/>
      <c r="G288" s="32"/>
      <c r="H288" s="487"/>
      <c r="I288" s="32"/>
      <c r="J288" s="32"/>
      <c r="K288" s="32"/>
      <c r="L288" s="487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">
      <c r="A289" s="475"/>
      <c r="B289" s="32"/>
      <c r="C289" s="32"/>
      <c r="D289" s="323"/>
      <c r="E289" s="32"/>
      <c r="F289" s="32"/>
      <c r="G289" s="32"/>
      <c r="H289" s="487"/>
      <c r="I289" s="32"/>
      <c r="J289" s="32"/>
      <c r="K289" s="32"/>
      <c r="L289" s="487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">
      <c r="A290" s="475"/>
      <c r="B290" s="32"/>
      <c r="C290" s="32"/>
      <c r="D290" s="323"/>
      <c r="E290" s="32"/>
      <c r="F290" s="32"/>
      <c r="G290" s="32"/>
      <c r="H290" s="487"/>
      <c r="I290" s="32"/>
      <c r="J290" s="32"/>
      <c r="K290" s="32"/>
      <c r="L290" s="487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">
      <c r="A291" s="475"/>
      <c r="B291" s="32"/>
      <c r="C291" s="32"/>
      <c r="D291" s="323"/>
      <c r="E291" s="32"/>
      <c r="F291" s="32"/>
      <c r="G291" s="32"/>
      <c r="H291" s="487"/>
      <c r="I291" s="32"/>
      <c r="J291" s="32"/>
      <c r="K291" s="32"/>
      <c r="L291" s="487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">
      <c r="A292" s="475"/>
      <c r="B292" s="32"/>
      <c r="C292" s="32"/>
      <c r="D292" s="323"/>
      <c r="E292" s="32"/>
      <c r="F292" s="32"/>
      <c r="G292" s="32"/>
      <c r="H292" s="487"/>
      <c r="I292" s="32"/>
      <c r="J292" s="32"/>
      <c r="K292" s="32"/>
      <c r="L292" s="487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">
      <c r="A293" s="475"/>
      <c r="B293" s="32"/>
      <c r="C293" s="32"/>
      <c r="D293" s="323"/>
      <c r="E293" s="32"/>
      <c r="F293" s="32"/>
      <c r="G293" s="32"/>
      <c r="H293" s="487"/>
      <c r="I293" s="32"/>
      <c r="J293" s="32"/>
      <c r="K293" s="32"/>
      <c r="L293" s="487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">
      <c r="A294" s="475"/>
      <c r="B294" s="32"/>
      <c r="C294" s="32"/>
      <c r="D294" s="323"/>
      <c r="E294" s="32"/>
      <c r="F294" s="32"/>
      <c r="G294" s="32"/>
      <c r="H294" s="487"/>
      <c r="I294" s="32"/>
      <c r="J294" s="32"/>
      <c r="K294" s="32"/>
      <c r="L294" s="487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">
      <c r="A295" s="475"/>
      <c r="B295" s="32"/>
      <c r="C295" s="32"/>
      <c r="D295" s="323"/>
      <c r="E295" s="32"/>
      <c r="F295" s="32"/>
      <c r="G295" s="32"/>
      <c r="H295" s="487"/>
      <c r="I295" s="32"/>
      <c r="J295" s="32"/>
      <c r="K295" s="32"/>
      <c r="L295" s="487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">
      <c r="A296" s="475"/>
      <c r="B296" s="32"/>
      <c r="C296" s="32"/>
      <c r="D296" s="323"/>
      <c r="E296" s="32"/>
      <c r="F296" s="32"/>
      <c r="G296" s="32"/>
      <c r="H296" s="487"/>
      <c r="I296" s="32"/>
      <c r="J296" s="32"/>
      <c r="K296" s="32"/>
      <c r="L296" s="487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">
      <c r="A297" s="475"/>
      <c r="B297" s="32"/>
      <c r="C297" s="32"/>
      <c r="D297" s="323"/>
      <c r="E297" s="32"/>
      <c r="F297" s="32"/>
      <c r="G297" s="32"/>
      <c r="H297" s="487"/>
      <c r="I297" s="32"/>
      <c r="J297" s="32"/>
      <c r="K297" s="32"/>
      <c r="L297" s="487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">
      <c r="A298" s="475"/>
      <c r="B298" s="32"/>
      <c r="C298" s="32"/>
      <c r="D298" s="323"/>
      <c r="E298" s="32"/>
      <c r="F298" s="32"/>
      <c r="G298" s="32"/>
      <c r="H298" s="487"/>
      <c r="I298" s="32"/>
      <c r="J298" s="32"/>
      <c r="K298" s="32"/>
      <c r="L298" s="487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">
      <c r="A299" s="475"/>
      <c r="B299" s="32"/>
      <c r="C299" s="32"/>
      <c r="D299" s="323"/>
      <c r="E299" s="32"/>
      <c r="F299" s="32"/>
      <c r="G299" s="32"/>
      <c r="H299" s="487"/>
      <c r="I299" s="32"/>
      <c r="J299" s="32"/>
      <c r="K299" s="32"/>
      <c r="L299" s="487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">
      <c r="A300" s="475"/>
      <c r="B300" s="32"/>
      <c r="C300" s="32"/>
      <c r="D300" s="323"/>
      <c r="E300" s="32"/>
      <c r="F300" s="32"/>
      <c r="G300" s="32"/>
      <c r="H300" s="487"/>
      <c r="I300" s="32"/>
      <c r="J300" s="32"/>
      <c r="K300" s="32"/>
      <c r="L300" s="487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">
      <c r="A301" s="475"/>
      <c r="B301" s="32"/>
      <c r="C301" s="32"/>
      <c r="D301" s="323"/>
      <c r="E301" s="32"/>
      <c r="F301" s="32"/>
      <c r="G301" s="32"/>
      <c r="H301" s="487"/>
      <c r="I301" s="32"/>
      <c r="J301" s="32"/>
      <c r="K301" s="32"/>
      <c r="L301" s="487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">
      <c r="A302" s="475"/>
      <c r="B302" s="32"/>
      <c r="C302" s="32"/>
      <c r="D302" s="323"/>
      <c r="E302" s="32"/>
      <c r="F302" s="32"/>
      <c r="G302" s="32"/>
      <c r="H302" s="487"/>
      <c r="I302" s="32"/>
      <c r="J302" s="32"/>
      <c r="K302" s="32"/>
      <c r="L302" s="487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">
      <c r="A303" s="475"/>
      <c r="B303" s="32"/>
      <c r="C303" s="32"/>
      <c r="D303" s="323"/>
      <c r="E303" s="32"/>
      <c r="F303" s="32"/>
      <c r="G303" s="32"/>
      <c r="H303" s="487"/>
      <c r="I303" s="32"/>
      <c r="J303" s="32"/>
      <c r="K303" s="32"/>
      <c r="L303" s="487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">
      <c r="A304" s="475"/>
      <c r="B304" s="32"/>
      <c r="C304" s="32"/>
      <c r="D304" s="323"/>
      <c r="E304" s="32"/>
      <c r="F304" s="32"/>
      <c r="G304" s="32"/>
      <c r="H304" s="487"/>
      <c r="I304" s="32"/>
      <c r="J304" s="32"/>
      <c r="K304" s="32"/>
      <c r="L304" s="487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">
      <c r="A305" s="475"/>
      <c r="B305" s="32"/>
      <c r="C305" s="32"/>
      <c r="D305" s="323"/>
      <c r="E305" s="32"/>
      <c r="F305" s="32"/>
      <c r="G305" s="32"/>
      <c r="H305" s="487"/>
      <c r="I305" s="32"/>
      <c r="J305" s="32"/>
      <c r="K305" s="32"/>
      <c r="L305" s="487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">
      <c r="A306" s="475"/>
      <c r="B306" s="32"/>
      <c r="C306" s="32"/>
      <c r="D306" s="323"/>
      <c r="E306" s="32"/>
      <c r="F306" s="32"/>
      <c r="G306" s="32"/>
      <c r="H306" s="487"/>
      <c r="I306" s="32"/>
      <c r="J306" s="32"/>
      <c r="K306" s="32"/>
      <c r="L306" s="487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">
      <c r="A307" s="475"/>
      <c r="B307" s="32"/>
      <c r="C307" s="32"/>
      <c r="D307" s="323"/>
      <c r="E307" s="32"/>
      <c r="F307" s="32"/>
      <c r="G307" s="32"/>
      <c r="H307" s="487"/>
      <c r="I307" s="32"/>
      <c r="J307" s="32"/>
      <c r="K307" s="32"/>
      <c r="L307" s="487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">
      <c r="A308" s="475"/>
      <c r="B308" s="32"/>
      <c r="C308" s="32"/>
      <c r="D308" s="323"/>
      <c r="E308" s="32"/>
      <c r="F308" s="32"/>
      <c r="G308" s="32"/>
      <c r="H308" s="487"/>
      <c r="I308" s="32"/>
      <c r="J308" s="32"/>
      <c r="K308" s="32"/>
      <c r="L308" s="487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">
      <c r="A309" s="475"/>
      <c r="B309" s="32"/>
      <c r="C309" s="32"/>
      <c r="D309" s="323"/>
      <c r="E309" s="32"/>
      <c r="F309" s="32"/>
      <c r="G309" s="32"/>
      <c r="H309" s="487"/>
      <c r="I309" s="32"/>
      <c r="J309" s="32"/>
      <c r="K309" s="32"/>
      <c r="L309" s="487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">
      <c r="A310" s="475"/>
      <c r="B310" s="32"/>
      <c r="C310" s="32"/>
      <c r="D310" s="323"/>
      <c r="E310" s="32"/>
      <c r="F310" s="32"/>
      <c r="G310" s="32"/>
      <c r="H310" s="487"/>
      <c r="I310" s="32"/>
      <c r="J310" s="32"/>
      <c r="K310" s="32"/>
      <c r="L310" s="487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">
      <c r="A311" s="475"/>
      <c r="B311" s="32"/>
      <c r="C311" s="32"/>
      <c r="D311" s="323"/>
      <c r="E311" s="32"/>
      <c r="F311" s="32"/>
      <c r="G311" s="32"/>
      <c r="H311" s="487"/>
      <c r="I311" s="32"/>
      <c r="J311" s="32"/>
      <c r="K311" s="32"/>
      <c r="L311" s="487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">
      <c r="A312" s="475"/>
      <c r="B312" s="32"/>
      <c r="C312" s="32"/>
      <c r="D312" s="323"/>
      <c r="E312" s="32"/>
      <c r="F312" s="32"/>
      <c r="G312" s="32"/>
      <c r="H312" s="487"/>
      <c r="I312" s="32"/>
      <c r="J312" s="32"/>
      <c r="K312" s="32"/>
      <c r="L312" s="487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">
      <c r="A313" s="475"/>
      <c r="B313" s="32"/>
      <c r="C313" s="32"/>
      <c r="D313" s="323"/>
      <c r="E313" s="32"/>
      <c r="F313" s="32"/>
      <c r="G313" s="32"/>
      <c r="H313" s="487"/>
      <c r="I313" s="32"/>
      <c r="J313" s="32"/>
      <c r="K313" s="32"/>
      <c r="L313" s="487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">
      <c r="A314" s="475"/>
      <c r="B314" s="32"/>
      <c r="C314" s="32"/>
      <c r="D314" s="323"/>
      <c r="E314" s="32"/>
      <c r="F314" s="32"/>
      <c r="G314" s="32"/>
      <c r="H314" s="487"/>
      <c r="I314" s="32"/>
      <c r="J314" s="32"/>
      <c r="K314" s="32"/>
      <c r="L314" s="487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">
      <c r="A315" s="475"/>
      <c r="B315" s="32"/>
      <c r="C315" s="32"/>
      <c r="D315" s="323"/>
      <c r="E315" s="32"/>
      <c r="F315" s="32"/>
      <c r="G315" s="32"/>
      <c r="H315" s="487"/>
      <c r="I315" s="32"/>
      <c r="J315" s="32"/>
      <c r="K315" s="32"/>
      <c r="L315" s="487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">
      <c r="A316" s="475"/>
      <c r="B316" s="32"/>
      <c r="C316" s="32"/>
      <c r="D316" s="323"/>
      <c r="E316" s="32"/>
      <c r="F316" s="32"/>
      <c r="G316" s="32"/>
      <c r="H316" s="487"/>
      <c r="I316" s="32"/>
      <c r="J316" s="32"/>
      <c r="K316" s="32"/>
      <c r="L316" s="487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">
      <c r="A317" s="475"/>
      <c r="B317" s="32"/>
      <c r="C317" s="32"/>
      <c r="D317" s="323"/>
      <c r="E317" s="32"/>
      <c r="F317" s="32"/>
      <c r="G317" s="32"/>
      <c r="H317" s="487"/>
      <c r="I317" s="32"/>
      <c r="J317" s="32"/>
      <c r="K317" s="32"/>
      <c r="L317" s="487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">
      <c r="A318" s="475"/>
      <c r="B318" s="32"/>
      <c r="C318" s="32"/>
      <c r="D318" s="323"/>
      <c r="E318" s="32"/>
      <c r="F318" s="32"/>
      <c r="G318" s="32"/>
      <c r="H318" s="487"/>
      <c r="I318" s="32"/>
      <c r="J318" s="32"/>
      <c r="K318" s="32"/>
      <c r="L318" s="487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">
      <c r="A319" s="475"/>
      <c r="B319" s="32"/>
      <c r="C319" s="32"/>
      <c r="D319" s="323"/>
      <c r="E319" s="32"/>
      <c r="F319" s="32"/>
      <c r="G319" s="32"/>
      <c r="H319" s="487"/>
      <c r="I319" s="32"/>
      <c r="J319" s="32"/>
      <c r="K319" s="32"/>
      <c r="L319" s="487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">
      <c r="A320" s="475"/>
      <c r="B320" s="32"/>
      <c r="C320" s="32"/>
      <c r="D320" s="323"/>
      <c r="E320" s="32"/>
      <c r="F320" s="32"/>
      <c r="G320" s="32"/>
      <c r="H320" s="487"/>
      <c r="I320" s="32"/>
      <c r="J320" s="32"/>
      <c r="K320" s="32"/>
      <c r="L320" s="487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">
      <c r="A321" s="475"/>
      <c r="B321" s="32"/>
      <c r="C321" s="32"/>
      <c r="D321" s="323"/>
      <c r="E321" s="32"/>
      <c r="F321" s="32"/>
      <c r="G321" s="32"/>
      <c r="H321" s="487"/>
      <c r="I321" s="32"/>
      <c r="J321" s="32"/>
      <c r="K321" s="32"/>
      <c r="L321" s="487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">
      <c r="A322" s="475"/>
      <c r="B322" s="32"/>
      <c r="C322" s="32"/>
      <c r="D322" s="323"/>
      <c r="E322" s="32"/>
      <c r="F322" s="32"/>
      <c r="G322" s="32"/>
      <c r="H322" s="487"/>
      <c r="I322" s="32"/>
      <c r="J322" s="32"/>
      <c r="K322" s="32"/>
      <c r="L322" s="487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">
      <c r="A323" s="475"/>
      <c r="B323" s="32"/>
      <c r="C323" s="32"/>
      <c r="D323" s="323"/>
      <c r="E323" s="32"/>
      <c r="F323" s="32"/>
      <c r="G323" s="32"/>
      <c r="H323" s="487"/>
      <c r="I323" s="32"/>
      <c r="J323" s="32"/>
      <c r="K323" s="32"/>
      <c r="L323" s="487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">
      <c r="A324" s="475"/>
      <c r="B324" s="32"/>
      <c r="C324" s="32"/>
      <c r="D324" s="323"/>
      <c r="E324" s="32"/>
      <c r="F324" s="32"/>
      <c r="G324" s="32"/>
      <c r="H324" s="487"/>
      <c r="I324" s="32"/>
      <c r="J324" s="32"/>
      <c r="K324" s="32"/>
      <c r="L324" s="487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">
      <c r="A325" s="475"/>
      <c r="B325" s="32"/>
      <c r="C325" s="32"/>
      <c r="D325" s="323"/>
      <c r="E325" s="32"/>
      <c r="F325" s="32"/>
      <c r="G325" s="32"/>
      <c r="H325" s="487"/>
      <c r="I325" s="32"/>
      <c r="J325" s="32"/>
      <c r="K325" s="32"/>
      <c r="L325" s="487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">
      <c r="A326" s="475"/>
      <c r="B326" s="32"/>
      <c r="C326" s="32"/>
      <c r="D326" s="323"/>
      <c r="E326" s="32"/>
      <c r="F326" s="32"/>
      <c r="G326" s="32"/>
      <c r="H326" s="487"/>
      <c r="I326" s="32"/>
      <c r="J326" s="32"/>
      <c r="K326" s="32"/>
      <c r="L326" s="487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">
      <c r="A327" s="475"/>
      <c r="B327" s="32"/>
      <c r="C327" s="32"/>
      <c r="D327" s="323"/>
      <c r="E327" s="32"/>
      <c r="F327" s="32"/>
      <c r="G327" s="32"/>
      <c r="H327" s="487"/>
      <c r="I327" s="32"/>
      <c r="J327" s="32"/>
      <c r="K327" s="32"/>
      <c r="L327" s="487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">
      <c r="A328" s="475"/>
      <c r="B328" s="32"/>
      <c r="C328" s="32"/>
      <c r="D328" s="323"/>
      <c r="E328" s="32"/>
      <c r="F328" s="32"/>
      <c r="G328" s="32"/>
      <c r="H328" s="487"/>
      <c r="I328" s="32"/>
      <c r="J328" s="32"/>
      <c r="K328" s="32"/>
      <c r="L328" s="487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">
      <c r="A329" s="475"/>
      <c r="B329" s="32"/>
      <c r="C329" s="32"/>
      <c r="D329" s="323"/>
      <c r="E329" s="32"/>
      <c r="F329" s="32"/>
      <c r="G329" s="32"/>
      <c r="H329" s="487"/>
      <c r="I329" s="32"/>
      <c r="J329" s="32"/>
      <c r="K329" s="32"/>
      <c r="L329" s="487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">
      <c r="A330" s="475"/>
      <c r="B330" s="32"/>
      <c r="C330" s="32"/>
      <c r="D330" s="323"/>
      <c r="E330" s="32"/>
      <c r="F330" s="32"/>
      <c r="G330" s="32"/>
      <c r="H330" s="487"/>
      <c r="I330" s="32"/>
      <c r="J330" s="32"/>
      <c r="K330" s="32"/>
      <c r="L330" s="487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">
      <c r="A331" s="475"/>
      <c r="B331" s="32"/>
      <c r="C331" s="32"/>
      <c r="D331" s="323"/>
      <c r="E331" s="32"/>
      <c r="F331" s="32"/>
      <c r="G331" s="32"/>
      <c r="H331" s="487"/>
      <c r="I331" s="32"/>
      <c r="J331" s="32"/>
      <c r="K331" s="32"/>
      <c r="L331" s="487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">
      <c r="A332" s="475"/>
      <c r="B332" s="32"/>
      <c r="C332" s="32"/>
      <c r="D332" s="323"/>
      <c r="E332" s="32"/>
      <c r="F332" s="32"/>
      <c r="G332" s="32"/>
      <c r="H332" s="487"/>
      <c r="I332" s="32"/>
      <c r="J332" s="32"/>
      <c r="K332" s="32"/>
      <c r="L332" s="487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">
      <c r="A333" s="475"/>
      <c r="B333" s="32"/>
      <c r="C333" s="32"/>
      <c r="D333" s="323"/>
      <c r="E333" s="32"/>
      <c r="F333" s="32"/>
      <c r="G333" s="32"/>
      <c r="H333" s="487"/>
      <c r="I333" s="32"/>
      <c r="J333" s="32"/>
      <c r="K333" s="32"/>
      <c r="L333" s="487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">
      <c r="A334" s="475"/>
      <c r="B334" s="32"/>
      <c r="C334" s="32"/>
      <c r="D334" s="323"/>
      <c r="E334" s="32"/>
      <c r="F334" s="32"/>
      <c r="G334" s="32"/>
      <c r="H334" s="487"/>
      <c r="I334" s="32"/>
      <c r="J334" s="32"/>
      <c r="K334" s="32"/>
      <c r="L334" s="487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">
      <c r="A335" s="475"/>
      <c r="B335" s="32"/>
      <c r="C335" s="32"/>
      <c r="D335" s="323"/>
      <c r="E335" s="32"/>
      <c r="F335" s="32"/>
      <c r="G335" s="32"/>
      <c r="H335" s="487"/>
      <c r="I335" s="32"/>
      <c r="J335" s="32"/>
      <c r="K335" s="32"/>
      <c r="L335" s="487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">
      <c r="A336" s="475"/>
      <c r="B336" s="32"/>
      <c r="C336" s="32"/>
      <c r="D336" s="323"/>
      <c r="E336" s="32"/>
      <c r="F336" s="32"/>
      <c r="G336" s="32"/>
      <c r="H336" s="487"/>
      <c r="I336" s="32"/>
      <c r="J336" s="32"/>
      <c r="K336" s="32"/>
      <c r="L336" s="487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">
      <c r="A337" s="475"/>
      <c r="B337" s="32"/>
      <c r="C337" s="32"/>
      <c r="D337" s="323"/>
      <c r="E337" s="32"/>
      <c r="F337" s="32"/>
      <c r="G337" s="32"/>
      <c r="H337" s="487"/>
      <c r="I337" s="32"/>
      <c r="J337" s="32"/>
      <c r="K337" s="32"/>
      <c r="L337" s="487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">
      <c r="A338" s="475"/>
      <c r="B338" s="32"/>
      <c r="C338" s="32"/>
      <c r="D338" s="323"/>
      <c r="E338" s="32"/>
      <c r="F338" s="32"/>
      <c r="G338" s="32"/>
      <c r="H338" s="487"/>
      <c r="I338" s="32"/>
      <c r="J338" s="32"/>
      <c r="K338" s="32"/>
      <c r="L338" s="487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">
      <c r="A339" s="475"/>
      <c r="B339" s="32"/>
      <c r="C339" s="32"/>
      <c r="D339" s="323"/>
      <c r="E339" s="32"/>
      <c r="F339" s="32"/>
      <c r="G339" s="32"/>
      <c r="H339" s="487"/>
      <c r="I339" s="32"/>
      <c r="J339" s="32"/>
      <c r="K339" s="32"/>
      <c r="L339" s="487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">
      <c r="A340" s="475"/>
      <c r="B340" s="32"/>
      <c r="C340" s="32"/>
      <c r="D340" s="323"/>
      <c r="E340" s="32"/>
      <c r="F340" s="32"/>
      <c r="G340" s="32"/>
      <c r="H340" s="487"/>
      <c r="I340" s="32"/>
      <c r="J340" s="32"/>
      <c r="K340" s="32"/>
      <c r="L340" s="487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">
      <c r="A341" s="475"/>
      <c r="B341" s="32"/>
      <c r="C341" s="32"/>
      <c r="D341" s="323"/>
      <c r="E341" s="32"/>
      <c r="F341" s="32"/>
      <c r="G341" s="32"/>
      <c r="H341" s="487"/>
      <c r="I341" s="32"/>
      <c r="J341" s="32"/>
      <c r="K341" s="32"/>
      <c r="L341" s="487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">
      <c r="A342" s="475"/>
      <c r="B342" s="32"/>
      <c r="C342" s="32"/>
      <c r="D342" s="323"/>
      <c r="E342" s="32"/>
      <c r="F342" s="32"/>
      <c r="G342" s="32"/>
      <c r="H342" s="487"/>
      <c r="I342" s="32"/>
      <c r="J342" s="32"/>
      <c r="K342" s="32"/>
      <c r="L342" s="487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">
      <c r="A343" s="475"/>
      <c r="B343" s="32"/>
      <c r="C343" s="32"/>
      <c r="D343" s="323"/>
      <c r="E343" s="32"/>
      <c r="F343" s="32"/>
      <c r="G343" s="32"/>
      <c r="H343" s="487"/>
      <c r="I343" s="32"/>
      <c r="J343" s="32"/>
      <c r="K343" s="32"/>
      <c r="L343" s="487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">
      <c r="A344" s="475"/>
      <c r="B344" s="32"/>
      <c r="C344" s="32"/>
      <c r="D344" s="323"/>
      <c r="E344" s="32"/>
      <c r="F344" s="32"/>
      <c r="G344" s="32"/>
      <c r="H344" s="487"/>
      <c r="I344" s="32"/>
      <c r="J344" s="32"/>
      <c r="K344" s="32"/>
      <c r="L344" s="487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">
      <c r="A345" s="475"/>
      <c r="B345" s="32"/>
      <c r="C345" s="32"/>
      <c r="D345" s="323"/>
      <c r="E345" s="32"/>
      <c r="F345" s="32"/>
      <c r="G345" s="32"/>
      <c r="H345" s="487"/>
      <c r="I345" s="32"/>
      <c r="J345" s="32"/>
      <c r="K345" s="32"/>
      <c r="L345" s="487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">
      <c r="A346" s="475"/>
      <c r="B346" s="32"/>
      <c r="C346" s="32"/>
      <c r="D346" s="323"/>
      <c r="E346" s="32"/>
      <c r="F346" s="32"/>
      <c r="G346" s="32"/>
      <c r="H346" s="487"/>
      <c r="I346" s="32"/>
      <c r="J346" s="32"/>
      <c r="K346" s="32"/>
      <c r="L346" s="487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">
      <c r="A347" s="475"/>
      <c r="B347" s="32"/>
      <c r="C347" s="32"/>
      <c r="D347" s="323"/>
      <c r="E347" s="32"/>
      <c r="F347" s="32"/>
      <c r="G347" s="32"/>
      <c r="H347" s="487"/>
      <c r="I347" s="32"/>
      <c r="J347" s="32"/>
      <c r="K347" s="32"/>
      <c r="L347" s="487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">
      <c r="A348" s="475"/>
      <c r="B348" s="32"/>
      <c r="C348" s="32"/>
      <c r="D348" s="323"/>
      <c r="E348" s="32"/>
      <c r="F348" s="32"/>
      <c r="G348" s="32"/>
      <c r="H348" s="487"/>
      <c r="I348" s="32"/>
      <c r="J348" s="32"/>
      <c r="K348" s="32"/>
      <c r="L348" s="487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">
      <c r="A349" s="475"/>
      <c r="B349" s="32"/>
      <c r="C349" s="32"/>
      <c r="D349" s="323"/>
      <c r="E349" s="32"/>
      <c r="F349" s="32"/>
      <c r="G349" s="32"/>
      <c r="H349" s="487"/>
      <c r="I349" s="32"/>
      <c r="J349" s="32"/>
      <c r="K349" s="32"/>
      <c r="L349" s="487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">
      <c r="A350" s="475"/>
      <c r="B350" s="32"/>
      <c r="C350" s="32"/>
      <c r="D350" s="323"/>
      <c r="E350" s="32"/>
      <c r="F350" s="32"/>
      <c r="G350" s="32"/>
      <c r="H350" s="487"/>
      <c r="I350" s="32"/>
      <c r="J350" s="32"/>
      <c r="K350" s="32"/>
      <c r="L350" s="487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">
      <c r="A351" s="475"/>
      <c r="B351" s="32"/>
      <c r="C351" s="32"/>
      <c r="D351" s="323"/>
      <c r="E351" s="32"/>
      <c r="F351" s="32"/>
      <c r="G351" s="32"/>
      <c r="H351" s="487"/>
      <c r="I351" s="32"/>
      <c r="J351" s="32"/>
      <c r="K351" s="32"/>
      <c r="L351" s="487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">
      <c r="A352" s="475"/>
      <c r="B352" s="32"/>
      <c r="C352" s="32"/>
      <c r="D352" s="323"/>
      <c r="E352" s="32"/>
      <c r="F352" s="32"/>
      <c r="G352" s="32"/>
      <c r="H352" s="487"/>
      <c r="I352" s="32"/>
      <c r="J352" s="32"/>
      <c r="K352" s="32"/>
      <c r="L352" s="487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">
      <c r="A353" s="475"/>
      <c r="B353" s="32"/>
      <c r="C353" s="32"/>
      <c r="D353" s="323"/>
      <c r="E353" s="32"/>
      <c r="F353" s="32"/>
      <c r="G353" s="32"/>
      <c r="H353" s="487"/>
      <c r="I353" s="32"/>
      <c r="J353" s="32"/>
      <c r="K353" s="32"/>
      <c r="L353" s="487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">
      <c r="A354" s="475"/>
      <c r="B354" s="32"/>
      <c r="C354" s="32"/>
      <c r="D354" s="323"/>
      <c r="E354" s="32"/>
      <c r="F354" s="32"/>
      <c r="G354" s="32"/>
      <c r="H354" s="487"/>
      <c r="I354" s="32"/>
      <c r="J354" s="32"/>
      <c r="K354" s="32"/>
      <c r="L354" s="487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">
      <c r="A355" s="475"/>
      <c r="B355" s="32"/>
      <c r="C355" s="32"/>
      <c r="D355" s="323"/>
      <c r="E355" s="32"/>
      <c r="F355" s="32"/>
      <c r="G355" s="32"/>
      <c r="H355" s="487"/>
      <c r="I355" s="32"/>
      <c r="J355" s="32"/>
      <c r="K355" s="32"/>
      <c r="L355" s="487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">
      <c r="A356" s="475"/>
      <c r="B356" s="32"/>
      <c r="C356" s="32"/>
      <c r="D356" s="323"/>
      <c r="E356" s="32"/>
      <c r="F356" s="32"/>
      <c r="G356" s="32"/>
      <c r="H356" s="487"/>
      <c r="I356" s="32"/>
      <c r="J356" s="32"/>
      <c r="K356" s="32"/>
      <c r="L356" s="487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">
      <c r="A357" s="475"/>
      <c r="B357" s="32"/>
      <c r="C357" s="32"/>
      <c r="D357" s="323"/>
      <c r="E357" s="32"/>
      <c r="F357" s="32"/>
      <c r="G357" s="32"/>
      <c r="H357" s="487"/>
      <c r="I357" s="32"/>
      <c r="J357" s="32"/>
      <c r="K357" s="32"/>
      <c r="L357" s="487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">
      <c r="A358" s="475"/>
      <c r="B358" s="32"/>
      <c r="C358" s="32"/>
      <c r="D358" s="323"/>
      <c r="E358" s="32"/>
      <c r="F358" s="32"/>
      <c r="G358" s="32"/>
      <c r="H358" s="487"/>
      <c r="I358" s="32"/>
      <c r="J358" s="32"/>
      <c r="K358" s="32"/>
      <c r="L358" s="487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">
      <c r="A359" s="475"/>
      <c r="B359" s="32"/>
      <c r="C359" s="32"/>
      <c r="D359" s="323"/>
      <c r="E359" s="32"/>
      <c r="F359" s="32"/>
      <c r="G359" s="32"/>
      <c r="H359" s="487"/>
      <c r="I359" s="32"/>
      <c r="J359" s="32"/>
      <c r="K359" s="32"/>
      <c r="L359" s="487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">
      <c r="A360" s="475"/>
      <c r="B360" s="32"/>
      <c r="C360" s="32"/>
      <c r="D360" s="323"/>
      <c r="E360" s="32"/>
      <c r="F360" s="32"/>
      <c r="G360" s="32"/>
      <c r="H360" s="487"/>
      <c r="I360" s="32"/>
      <c r="J360" s="32"/>
      <c r="K360" s="32"/>
      <c r="L360" s="487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">
      <c r="A361" s="475"/>
      <c r="B361" s="32"/>
      <c r="C361" s="32"/>
      <c r="D361" s="323"/>
      <c r="E361" s="32"/>
      <c r="F361" s="32"/>
      <c r="G361" s="32"/>
      <c r="H361" s="487"/>
      <c r="I361" s="32"/>
      <c r="J361" s="32"/>
      <c r="K361" s="32"/>
      <c r="L361" s="487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">
      <c r="A362" s="475"/>
      <c r="B362" s="32"/>
      <c r="C362" s="32"/>
      <c r="D362" s="323"/>
      <c r="E362" s="32"/>
      <c r="F362" s="32"/>
      <c r="G362" s="32"/>
      <c r="H362" s="487"/>
      <c r="I362" s="32"/>
      <c r="J362" s="32"/>
      <c r="K362" s="32"/>
      <c r="L362" s="487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">
      <c r="A363" s="475"/>
      <c r="B363" s="32"/>
      <c r="C363" s="32"/>
      <c r="D363" s="323"/>
      <c r="E363" s="32"/>
      <c r="F363" s="32"/>
      <c r="G363" s="32"/>
      <c r="H363" s="487"/>
      <c r="I363" s="32"/>
      <c r="J363" s="32"/>
      <c r="K363" s="32"/>
      <c r="L363" s="487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">
      <c r="A364" s="475"/>
      <c r="B364" s="32"/>
      <c r="C364" s="32"/>
      <c r="D364" s="323"/>
      <c r="E364" s="32"/>
      <c r="F364" s="32"/>
      <c r="G364" s="32"/>
      <c r="H364" s="487"/>
      <c r="I364" s="32"/>
      <c r="J364" s="32"/>
      <c r="K364" s="32"/>
      <c r="L364" s="487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">
      <c r="A365" s="475"/>
      <c r="B365" s="32"/>
      <c r="C365" s="32"/>
      <c r="D365" s="323"/>
      <c r="E365" s="32"/>
      <c r="F365" s="32"/>
      <c r="G365" s="32"/>
      <c r="H365" s="487"/>
      <c r="I365" s="32"/>
      <c r="J365" s="32"/>
      <c r="K365" s="32"/>
      <c r="L365" s="487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">
      <c r="A366" s="475"/>
      <c r="B366" s="32"/>
      <c r="C366" s="32"/>
      <c r="D366" s="323"/>
      <c r="E366" s="32"/>
      <c r="F366" s="32"/>
      <c r="G366" s="32"/>
      <c r="H366" s="487"/>
      <c r="I366" s="32"/>
      <c r="J366" s="32"/>
      <c r="K366" s="32"/>
      <c r="L366" s="487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">
      <c r="A367" s="475"/>
      <c r="B367" s="32"/>
      <c r="C367" s="32"/>
      <c r="D367" s="323"/>
      <c r="E367" s="32"/>
      <c r="F367" s="32"/>
      <c r="G367" s="32"/>
      <c r="H367" s="487"/>
      <c r="I367" s="32"/>
      <c r="J367" s="32"/>
      <c r="K367" s="32"/>
      <c r="L367" s="487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">
      <c r="A368" s="475"/>
      <c r="B368" s="32"/>
      <c r="C368" s="32"/>
      <c r="D368" s="323"/>
      <c r="E368" s="32"/>
      <c r="F368" s="32"/>
      <c r="G368" s="32"/>
      <c r="H368" s="487"/>
      <c r="I368" s="32"/>
      <c r="J368" s="32"/>
      <c r="K368" s="32"/>
      <c r="L368" s="487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">
      <c r="A369" s="475"/>
      <c r="B369" s="32"/>
      <c r="C369" s="32"/>
      <c r="D369" s="323"/>
      <c r="E369" s="32"/>
      <c r="F369" s="32"/>
      <c r="G369" s="32"/>
      <c r="H369" s="487"/>
      <c r="I369" s="32"/>
      <c r="J369" s="32"/>
      <c r="K369" s="32"/>
      <c r="L369" s="487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">
      <c r="A370" s="475"/>
      <c r="B370" s="32"/>
      <c r="C370" s="32"/>
      <c r="D370" s="323"/>
      <c r="E370" s="32"/>
      <c r="F370" s="32"/>
      <c r="G370" s="32"/>
      <c r="H370" s="487"/>
      <c r="I370" s="32"/>
      <c r="J370" s="32"/>
      <c r="K370" s="32"/>
      <c r="L370" s="487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">
      <c r="A371" s="475"/>
      <c r="B371" s="32"/>
      <c r="C371" s="32"/>
      <c r="D371" s="323"/>
      <c r="E371" s="32"/>
      <c r="F371" s="32"/>
      <c r="G371" s="32"/>
      <c r="H371" s="487"/>
      <c r="I371" s="32"/>
      <c r="J371" s="32"/>
      <c r="K371" s="32"/>
      <c r="L371" s="487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">
      <c r="A372" s="475"/>
      <c r="B372" s="32"/>
      <c r="C372" s="32"/>
      <c r="D372" s="323"/>
      <c r="E372" s="32"/>
      <c r="F372" s="32"/>
      <c r="G372" s="32"/>
      <c r="H372" s="487"/>
      <c r="I372" s="32"/>
      <c r="J372" s="32"/>
      <c r="K372" s="32"/>
      <c r="L372" s="487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">
      <c r="A373" s="475"/>
      <c r="B373" s="32"/>
      <c r="C373" s="32"/>
      <c r="D373" s="323"/>
      <c r="E373" s="32"/>
      <c r="F373" s="32"/>
      <c r="G373" s="32"/>
      <c r="H373" s="487"/>
      <c r="I373" s="32"/>
      <c r="J373" s="32"/>
      <c r="K373" s="32"/>
      <c r="L373" s="487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">
      <c r="A374" s="475"/>
      <c r="B374" s="32"/>
      <c r="C374" s="32"/>
      <c r="D374" s="323"/>
      <c r="E374" s="32"/>
      <c r="F374" s="32"/>
      <c r="G374" s="32"/>
      <c r="H374" s="487"/>
      <c r="I374" s="32"/>
      <c r="J374" s="32"/>
      <c r="K374" s="32"/>
      <c r="L374" s="487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">
      <c r="A375" s="475"/>
      <c r="B375" s="32"/>
      <c r="C375" s="32"/>
      <c r="D375" s="323"/>
      <c r="E375" s="32"/>
      <c r="F375" s="32"/>
      <c r="G375" s="32"/>
      <c r="H375" s="487"/>
      <c r="I375" s="32"/>
      <c r="J375" s="32"/>
      <c r="K375" s="32"/>
      <c r="L375" s="487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">
      <c r="A376" s="475"/>
      <c r="B376" s="32"/>
      <c r="C376" s="32"/>
      <c r="D376" s="323"/>
      <c r="E376" s="32"/>
      <c r="F376" s="32"/>
      <c r="G376" s="32"/>
      <c r="H376" s="487"/>
      <c r="I376" s="32"/>
      <c r="J376" s="32"/>
      <c r="K376" s="32"/>
      <c r="L376" s="487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x14ac:dyDescent="0.2">
      <c r="A377" s="475"/>
      <c r="B377" s="32"/>
      <c r="C377" s="32"/>
      <c r="D377" s="323"/>
      <c r="E377" s="32"/>
      <c r="F377" s="32"/>
      <c r="G377" s="32"/>
      <c r="H377" s="487"/>
      <c r="I377" s="32"/>
      <c r="J377" s="32"/>
      <c r="K377" s="32"/>
      <c r="L377" s="487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x14ac:dyDescent="0.2">
      <c r="A378" s="475"/>
      <c r="B378" s="32"/>
      <c r="C378" s="32"/>
      <c r="D378" s="323"/>
      <c r="E378" s="32"/>
      <c r="F378" s="32"/>
      <c r="G378" s="32"/>
      <c r="H378" s="487"/>
      <c r="I378" s="32"/>
      <c r="J378" s="32"/>
      <c r="K378" s="32"/>
      <c r="L378" s="487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x14ac:dyDescent="0.2">
      <c r="A379" s="475"/>
      <c r="B379" s="32"/>
      <c r="C379" s="32"/>
      <c r="D379" s="323"/>
      <c r="E379" s="32"/>
      <c r="F379" s="32"/>
      <c r="G379" s="32"/>
      <c r="H379" s="487"/>
      <c r="I379" s="32"/>
      <c r="J379" s="32"/>
      <c r="K379" s="32"/>
      <c r="L379" s="487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x14ac:dyDescent="0.2">
      <c r="A380" s="475"/>
      <c r="B380" s="32"/>
      <c r="C380" s="32"/>
      <c r="D380" s="323"/>
      <c r="E380" s="32"/>
      <c r="F380" s="32"/>
      <c r="G380" s="32"/>
      <c r="H380" s="487"/>
      <c r="I380" s="32"/>
      <c r="J380" s="32"/>
      <c r="K380" s="32"/>
      <c r="L380" s="487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x14ac:dyDescent="0.2">
      <c r="A381" s="475"/>
      <c r="B381" s="32"/>
      <c r="C381" s="32"/>
      <c r="D381" s="323"/>
      <c r="E381" s="32"/>
      <c r="F381" s="32"/>
      <c r="G381" s="32"/>
      <c r="H381" s="487"/>
      <c r="I381" s="32"/>
      <c r="J381" s="32"/>
      <c r="K381" s="32"/>
      <c r="L381" s="487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x14ac:dyDescent="0.2">
      <c r="A382" s="475"/>
      <c r="B382" s="32"/>
      <c r="C382" s="32"/>
      <c r="D382" s="323"/>
      <c r="E382" s="32"/>
      <c r="F382" s="32"/>
      <c r="G382" s="32"/>
      <c r="H382" s="487"/>
      <c r="I382" s="32"/>
      <c r="J382" s="32"/>
      <c r="K382" s="32"/>
      <c r="L382" s="487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x14ac:dyDescent="0.2">
      <c r="A383" s="475"/>
      <c r="B383" s="32"/>
      <c r="C383" s="32"/>
      <c r="D383" s="323"/>
      <c r="E383" s="32"/>
      <c r="F383" s="32"/>
      <c r="G383" s="32"/>
      <c r="H383" s="487"/>
      <c r="I383" s="32"/>
      <c r="J383" s="32"/>
      <c r="K383" s="32"/>
      <c r="L383" s="487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x14ac:dyDescent="0.2">
      <c r="A384" s="475"/>
      <c r="B384" s="32"/>
      <c r="C384" s="32"/>
      <c r="D384" s="323"/>
      <c r="E384" s="32"/>
      <c r="F384" s="32"/>
      <c r="G384" s="32"/>
      <c r="H384" s="487"/>
      <c r="I384" s="32"/>
      <c r="J384" s="32"/>
      <c r="K384" s="32"/>
      <c r="L384" s="487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x14ac:dyDescent="0.2">
      <c r="A385" s="475"/>
      <c r="B385" s="32"/>
      <c r="C385" s="32"/>
      <c r="D385" s="323"/>
      <c r="E385" s="32"/>
      <c r="F385" s="32"/>
      <c r="G385" s="32"/>
      <c r="H385" s="487"/>
      <c r="I385" s="32"/>
      <c r="J385" s="32"/>
      <c r="K385" s="32"/>
      <c r="L385" s="487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x14ac:dyDescent="0.2">
      <c r="A386" s="475"/>
      <c r="B386" s="32"/>
      <c r="C386" s="32"/>
      <c r="D386" s="323"/>
      <c r="E386" s="32"/>
      <c r="F386" s="32"/>
      <c r="G386" s="32"/>
      <c r="H386" s="487"/>
      <c r="I386" s="32"/>
      <c r="J386" s="32"/>
      <c r="K386" s="32"/>
      <c r="L386" s="487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x14ac:dyDescent="0.2">
      <c r="A387" s="475"/>
      <c r="B387" s="32"/>
      <c r="C387" s="32"/>
      <c r="D387" s="323"/>
      <c r="E387" s="32"/>
      <c r="F387" s="32"/>
      <c r="G387" s="32"/>
      <c r="H387" s="487"/>
      <c r="I387" s="32"/>
      <c r="J387" s="32"/>
      <c r="K387" s="32"/>
      <c r="L387" s="487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x14ac:dyDescent="0.2">
      <c r="A388" s="475"/>
      <c r="B388" s="32"/>
      <c r="C388" s="32"/>
      <c r="D388" s="323"/>
      <c r="E388" s="32"/>
      <c r="F388" s="32"/>
      <c r="G388" s="32"/>
      <c r="H388" s="487"/>
      <c r="I388" s="32"/>
      <c r="J388" s="32"/>
      <c r="K388" s="32"/>
      <c r="L388" s="487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x14ac:dyDescent="0.2">
      <c r="A389" s="475"/>
      <c r="B389" s="32"/>
      <c r="C389" s="32"/>
      <c r="D389" s="323"/>
      <c r="E389" s="32"/>
      <c r="F389" s="32"/>
      <c r="G389" s="32"/>
      <c r="H389" s="487"/>
      <c r="I389" s="32"/>
      <c r="J389" s="32"/>
      <c r="K389" s="32"/>
      <c r="L389" s="487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x14ac:dyDescent="0.2">
      <c r="A390" s="475"/>
      <c r="B390" s="32"/>
      <c r="C390" s="32"/>
      <c r="D390" s="323"/>
      <c r="E390" s="32"/>
      <c r="F390" s="32"/>
      <c r="G390" s="32"/>
      <c r="H390" s="487"/>
      <c r="I390" s="32"/>
      <c r="J390" s="32"/>
      <c r="K390" s="32"/>
      <c r="L390" s="487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x14ac:dyDescent="0.2">
      <c r="A391" s="475"/>
      <c r="B391" s="32"/>
      <c r="C391" s="32"/>
      <c r="D391" s="323"/>
      <c r="E391" s="32"/>
      <c r="F391" s="32"/>
      <c r="G391" s="32"/>
      <c r="H391" s="487"/>
      <c r="I391" s="32"/>
      <c r="J391" s="32"/>
      <c r="K391" s="32"/>
      <c r="L391" s="487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x14ac:dyDescent="0.2">
      <c r="A392" s="475"/>
      <c r="B392" s="32"/>
      <c r="C392" s="32"/>
      <c r="D392" s="323"/>
      <c r="E392" s="32"/>
      <c r="F392" s="32"/>
      <c r="G392" s="32"/>
      <c r="H392" s="487"/>
      <c r="I392" s="32"/>
      <c r="J392" s="32"/>
      <c r="K392" s="32"/>
      <c r="L392" s="487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x14ac:dyDescent="0.2">
      <c r="A393" s="475"/>
      <c r="B393" s="32"/>
      <c r="C393" s="32"/>
      <c r="D393" s="323"/>
      <c r="E393" s="32"/>
      <c r="F393" s="32"/>
      <c r="G393" s="32"/>
      <c r="H393" s="487"/>
      <c r="I393" s="32"/>
      <c r="J393" s="32"/>
      <c r="K393" s="32"/>
      <c r="L393" s="487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x14ac:dyDescent="0.2">
      <c r="A394" s="475"/>
      <c r="B394" s="32"/>
      <c r="C394" s="32"/>
      <c r="D394" s="323"/>
      <c r="E394" s="32"/>
      <c r="F394" s="32"/>
      <c r="G394" s="32"/>
      <c r="H394" s="487"/>
      <c r="I394" s="32"/>
      <c r="J394" s="32"/>
      <c r="K394" s="32"/>
      <c r="L394" s="487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x14ac:dyDescent="0.2">
      <c r="A395" s="475"/>
      <c r="B395" s="32"/>
      <c r="C395" s="32"/>
      <c r="D395" s="323"/>
      <c r="E395" s="32"/>
      <c r="F395" s="32"/>
      <c r="G395" s="32"/>
      <c r="H395" s="487"/>
      <c r="I395" s="32"/>
      <c r="J395" s="32"/>
      <c r="K395" s="32"/>
      <c r="L395" s="487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x14ac:dyDescent="0.2">
      <c r="A396" s="475"/>
      <c r="B396" s="32"/>
      <c r="C396" s="32"/>
      <c r="D396" s="323"/>
      <c r="E396" s="32"/>
      <c r="F396" s="32"/>
      <c r="G396" s="32"/>
      <c r="H396" s="487"/>
      <c r="I396" s="32"/>
      <c r="J396" s="32"/>
      <c r="K396" s="32"/>
      <c r="L396" s="487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x14ac:dyDescent="0.2">
      <c r="A397" s="475"/>
      <c r="B397" s="32"/>
      <c r="C397" s="32"/>
      <c r="D397" s="323"/>
      <c r="E397" s="32"/>
      <c r="F397" s="32"/>
      <c r="G397" s="32"/>
      <c r="H397" s="487"/>
      <c r="I397" s="32"/>
      <c r="J397" s="32"/>
      <c r="K397" s="32"/>
      <c r="L397" s="487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x14ac:dyDescent="0.2">
      <c r="A398" s="475"/>
      <c r="B398" s="32"/>
      <c r="C398" s="32"/>
      <c r="D398" s="323"/>
      <c r="E398" s="32"/>
      <c r="F398" s="32"/>
      <c r="G398" s="32"/>
      <c r="H398" s="487"/>
      <c r="I398" s="32"/>
      <c r="J398" s="32"/>
      <c r="K398" s="32"/>
      <c r="L398" s="487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x14ac:dyDescent="0.2">
      <c r="A399" s="475"/>
      <c r="B399" s="32"/>
      <c r="C399" s="32"/>
      <c r="D399" s="323"/>
      <c r="E399" s="32"/>
      <c r="F399" s="32"/>
      <c r="G399" s="32"/>
      <c r="H399" s="487"/>
      <c r="I399" s="32"/>
      <c r="J399" s="32"/>
      <c r="K399" s="32"/>
      <c r="L399" s="487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x14ac:dyDescent="0.2">
      <c r="A400" s="475"/>
      <c r="B400" s="32"/>
      <c r="C400" s="32"/>
      <c r="D400" s="323"/>
      <c r="E400" s="32"/>
      <c r="F400" s="32"/>
      <c r="G400" s="32"/>
      <c r="H400" s="487"/>
      <c r="I400" s="32"/>
      <c r="J400" s="32"/>
      <c r="K400" s="32"/>
      <c r="L400" s="487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x14ac:dyDescent="0.2">
      <c r="A401" s="475"/>
      <c r="B401" s="32"/>
      <c r="C401" s="32"/>
      <c r="D401" s="323"/>
      <c r="E401" s="32"/>
      <c r="F401" s="32"/>
      <c r="G401" s="32"/>
      <c r="H401" s="487"/>
      <c r="I401" s="32"/>
      <c r="J401" s="32"/>
      <c r="K401" s="32"/>
      <c r="L401" s="487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x14ac:dyDescent="0.2">
      <c r="A402" s="475"/>
      <c r="B402" s="32"/>
      <c r="C402" s="32"/>
      <c r="D402" s="323"/>
      <c r="E402" s="32"/>
      <c r="F402" s="32"/>
      <c r="G402" s="32"/>
      <c r="H402" s="487"/>
      <c r="I402" s="32"/>
      <c r="J402" s="32"/>
      <c r="K402" s="32"/>
      <c r="L402" s="487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x14ac:dyDescent="0.2">
      <c r="A403" s="475"/>
      <c r="B403" s="32"/>
      <c r="C403" s="32"/>
      <c r="D403" s="323"/>
      <c r="E403" s="32"/>
      <c r="F403" s="32"/>
      <c r="G403" s="32"/>
      <c r="H403" s="487"/>
      <c r="I403" s="32"/>
      <c r="J403" s="32"/>
      <c r="K403" s="32"/>
      <c r="L403" s="487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x14ac:dyDescent="0.2">
      <c r="A404" s="475"/>
      <c r="B404" s="32"/>
      <c r="C404" s="32"/>
      <c r="D404" s="323"/>
      <c r="E404" s="32"/>
      <c r="F404" s="32"/>
      <c r="G404" s="32"/>
      <c r="H404" s="487"/>
      <c r="I404" s="32"/>
      <c r="J404" s="32"/>
      <c r="K404" s="32"/>
      <c r="L404" s="487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x14ac:dyDescent="0.2">
      <c r="A405" s="475"/>
      <c r="B405" s="32"/>
      <c r="C405" s="32"/>
      <c r="D405" s="323"/>
      <c r="E405" s="32"/>
      <c r="F405" s="32"/>
      <c r="G405" s="32"/>
      <c r="H405" s="487"/>
      <c r="I405" s="32"/>
      <c r="J405" s="32"/>
      <c r="K405" s="32"/>
      <c r="L405" s="487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x14ac:dyDescent="0.2">
      <c r="A406" s="475"/>
      <c r="B406" s="32"/>
      <c r="C406" s="32"/>
      <c r="D406" s="323"/>
      <c r="E406" s="32"/>
      <c r="F406" s="32"/>
      <c r="G406" s="32"/>
      <c r="H406" s="487"/>
      <c r="I406" s="32"/>
      <c r="J406" s="32"/>
      <c r="K406" s="32"/>
      <c r="L406" s="487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x14ac:dyDescent="0.2">
      <c r="A407" s="475"/>
      <c r="B407" s="32"/>
      <c r="C407" s="32"/>
      <c r="D407" s="323"/>
      <c r="E407" s="32"/>
      <c r="F407" s="32"/>
      <c r="G407" s="32"/>
      <c r="H407" s="487"/>
      <c r="I407" s="32"/>
      <c r="J407" s="32"/>
      <c r="K407" s="32"/>
      <c r="L407" s="487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x14ac:dyDescent="0.2">
      <c r="A408" s="475"/>
      <c r="B408" s="32"/>
      <c r="C408" s="32"/>
      <c r="D408" s="323"/>
      <c r="E408" s="32"/>
      <c r="F408" s="32"/>
      <c r="G408" s="32"/>
      <c r="H408" s="487"/>
      <c r="I408" s="32"/>
      <c r="J408" s="32"/>
      <c r="K408" s="32"/>
      <c r="L408" s="487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x14ac:dyDescent="0.2">
      <c r="A409" s="475"/>
      <c r="B409" s="32"/>
      <c r="C409" s="32"/>
      <c r="D409" s="323"/>
      <c r="E409" s="32"/>
      <c r="F409" s="32"/>
      <c r="G409" s="32"/>
      <c r="H409" s="487"/>
      <c r="I409" s="32"/>
      <c r="J409" s="32"/>
      <c r="K409" s="32"/>
      <c r="L409" s="487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x14ac:dyDescent="0.2">
      <c r="A410" s="475"/>
      <c r="B410" s="32"/>
      <c r="C410" s="32"/>
      <c r="D410" s="323"/>
      <c r="E410" s="32"/>
      <c r="F410" s="32"/>
      <c r="G410" s="32"/>
      <c r="H410" s="487"/>
      <c r="I410" s="32"/>
      <c r="J410" s="32"/>
      <c r="K410" s="32"/>
      <c r="L410" s="487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x14ac:dyDescent="0.2">
      <c r="A411" s="475"/>
      <c r="B411" s="32"/>
      <c r="C411" s="32"/>
      <c r="D411" s="323"/>
      <c r="E411" s="32"/>
      <c r="F411" s="32"/>
      <c r="G411" s="32"/>
      <c r="H411" s="487"/>
      <c r="I411" s="32"/>
      <c r="J411" s="32"/>
      <c r="K411" s="32"/>
      <c r="L411" s="487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x14ac:dyDescent="0.2">
      <c r="A412" s="475"/>
      <c r="B412" s="32"/>
      <c r="C412" s="32"/>
      <c r="D412" s="323"/>
      <c r="E412" s="32"/>
      <c r="F412" s="32"/>
      <c r="G412" s="32"/>
      <c r="H412" s="487"/>
      <c r="I412" s="32"/>
      <c r="J412" s="32"/>
      <c r="K412" s="32"/>
      <c r="L412" s="487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x14ac:dyDescent="0.2">
      <c r="A413" s="475"/>
      <c r="B413" s="32"/>
      <c r="C413" s="32"/>
      <c r="D413" s="323"/>
      <c r="E413" s="32"/>
      <c r="F413" s="32"/>
      <c r="G413" s="32"/>
      <c r="H413" s="487"/>
      <c r="I413" s="32"/>
      <c r="J413" s="32"/>
      <c r="K413" s="32"/>
      <c r="L413" s="487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x14ac:dyDescent="0.2">
      <c r="A414" s="475"/>
      <c r="B414" s="32"/>
      <c r="C414" s="32"/>
      <c r="D414" s="323"/>
      <c r="E414" s="32"/>
      <c r="F414" s="32"/>
      <c r="G414" s="32"/>
      <c r="H414" s="487"/>
      <c r="I414" s="32"/>
      <c r="J414" s="32"/>
      <c r="K414" s="32"/>
      <c r="L414" s="487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x14ac:dyDescent="0.2">
      <c r="A415" s="475"/>
      <c r="B415" s="32"/>
      <c r="C415" s="32"/>
      <c r="D415" s="323"/>
      <c r="E415" s="32"/>
      <c r="F415" s="32"/>
      <c r="G415" s="32"/>
      <c r="H415" s="487"/>
      <c r="I415" s="32"/>
      <c r="J415" s="32"/>
      <c r="K415" s="32"/>
      <c r="L415" s="487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x14ac:dyDescent="0.2">
      <c r="A416" s="475"/>
      <c r="B416" s="32"/>
      <c r="C416" s="32"/>
      <c r="D416" s="323"/>
      <c r="E416" s="32"/>
      <c r="F416" s="32"/>
      <c r="G416" s="32"/>
      <c r="H416" s="487"/>
      <c r="I416" s="32"/>
      <c r="J416" s="32"/>
      <c r="K416" s="32"/>
      <c r="L416" s="487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x14ac:dyDescent="0.2">
      <c r="A417" s="475"/>
      <c r="B417" s="32"/>
      <c r="C417" s="32"/>
      <c r="D417" s="323"/>
      <c r="E417" s="32"/>
      <c r="F417" s="32"/>
      <c r="G417" s="32"/>
      <c r="H417" s="487"/>
      <c r="I417" s="32"/>
      <c r="J417" s="32"/>
      <c r="K417" s="32"/>
      <c r="L417" s="487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x14ac:dyDescent="0.2">
      <c r="A418" s="475"/>
      <c r="B418" s="32"/>
      <c r="C418" s="32"/>
      <c r="D418" s="323"/>
      <c r="E418" s="32"/>
      <c r="F418" s="32"/>
      <c r="G418" s="32"/>
      <c r="H418" s="487"/>
      <c r="I418" s="32"/>
      <c r="J418" s="32"/>
      <c r="K418" s="32"/>
      <c r="L418" s="487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x14ac:dyDescent="0.2">
      <c r="A419" s="475"/>
      <c r="B419" s="32"/>
      <c r="C419" s="32"/>
      <c r="D419" s="323"/>
      <c r="E419" s="32"/>
      <c r="F419" s="32"/>
      <c r="G419" s="32"/>
      <c r="H419" s="487"/>
      <c r="I419" s="32"/>
      <c r="J419" s="32"/>
      <c r="K419" s="32"/>
      <c r="L419" s="487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x14ac:dyDescent="0.2">
      <c r="A420" s="475"/>
      <c r="B420" s="32"/>
      <c r="C420" s="32"/>
      <c r="D420" s="323"/>
      <c r="E420" s="32"/>
      <c r="F420" s="32"/>
      <c r="G420" s="32"/>
      <c r="H420" s="487"/>
      <c r="I420" s="32"/>
      <c r="J420" s="32"/>
      <c r="K420" s="32"/>
      <c r="L420" s="487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x14ac:dyDescent="0.2">
      <c r="A421" s="475"/>
      <c r="B421" s="32"/>
      <c r="C421" s="32"/>
      <c r="D421" s="323"/>
      <c r="E421" s="32"/>
      <c r="F421" s="32"/>
      <c r="G421" s="32"/>
      <c r="H421" s="487"/>
      <c r="I421" s="32"/>
      <c r="J421" s="32"/>
      <c r="K421" s="32"/>
      <c r="L421" s="487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x14ac:dyDescent="0.2">
      <c r="A422" s="475"/>
      <c r="B422" s="32"/>
      <c r="C422" s="32"/>
      <c r="D422" s="323"/>
      <c r="E422" s="32"/>
      <c r="F422" s="32"/>
      <c r="G422" s="32"/>
      <c r="H422" s="487"/>
      <c r="I422" s="32"/>
      <c r="J422" s="32"/>
      <c r="K422" s="32"/>
      <c r="L422" s="487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x14ac:dyDescent="0.2">
      <c r="A423" s="475"/>
      <c r="B423" s="32"/>
      <c r="C423" s="32"/>
      <c r="D423" s="323"/>
      <c r="E423" s="32"/>
      <c r="F423" s="32"/>
      <c r="G423" s="32"/>
      <c r="H423" s="487"/>
      <c r="I423" s="32"/>
      <c r="J423" s="32"/>
      <c r="K423" s="32"/>
      <c r="L423" s="487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x14ac:dyDescent="0.2">
      <c r="A424" s="475"/>
      <c r="B424" s="32"/>
      <c r="C424" s="32"/>
      <c r="D424" s="323"/>
      <c r="E424" s="32"/>
      <c r="F424" s="32"/>
      <c r="G424" s="32"/>
      <c r="H424" s="487"/>
      <c r="I424" s="32"/>
      <c r="J424" s="32"/>
      <c r="K424" s="32"/>
      <c r="L424" s="487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x14ac:dyDescent="0.2">
      <c r="A425" s="475"/>
      <c r="B425" s="32"/>
      <c r="C425" s="32"/>
      <c r="D425" s="323"/>
      <c r="E425" s="32"/>
      <c r="F425" s="32"/>
      <c r="G425" s="32"/>
      <c r="H425" s="487"/>
      <c r="I425" s="32"/>
      <c r="J425" s="32"/>
      <c r="K425" s="32"/>
      <c r="L425" s="487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x14ac:dyDescent="0.2">
      <c r="A426" s="475"/>
      <c r="B426" s="32"/>
      <c r="C426" s="32"/>
      <c r="D426" s="323"/>
      <c r="E426" s="32"/>
      <c r="F426" s="32"/>
      <c r="G426" s="32"/>
      <c r="H426" s="487"/>
      <c r="I426" s="32"/>
      <c r="J426" s="32"/>
      <c r="K426" s="32"/>
      <c r="L426" s="487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x14ac:dyDescent="0.2">
      <c r="A427" s="475"/>
      <c r="B427" s="32"/>
      <c r="C427" s="32"/>
      <c r="D427" s="323"/>
      <c r="E427" s="32"/>
      <c r="F427" s="32"/>
      <c r="G427" s="32"/>
      <c r="H427" s="487"/>
      <c r="I427" s="32"/>
      <c r="J427" s="32"/>
      <c r="K427" s="32"/>
      <c r="L427" s="487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x14ac:dyDescent="0.2">
      <c r="A428" s="475"/>
      <c r="B428" s="32"/>
      <c r="C428" s="32"/>
      <c r="D428" s="323"/>
      <c r="E428" s="32"/>
      <c r="F428" s="32"/>
      <c r="G428" s="32"/>
      <c r="H428" s="487"/>
      <c r="I428" s="32"/>
      <c r="J428" s="32"/>
      <c r="K428" s="32"/>
      <c r="L428" s="487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x14ac:dyDescent="0.2">
      <c r="A429" s="475"/>
      <c r="B429" s="32"/>
      <c r="C429" s="32"/>
      <c r="D429" s="323"/>
      <c r="E429" s="32"/>
      <c r="F429" s="32"/>
      <c r="G429" s="32"/>
      <c r="H429" s="487"/>
      <c r="I429" s="32"/>
      <c r="J429" s="32"/>
      <c r="K429" s="32"/>
      <c r="L429" s="487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x14ac:dyDescent="0.2">
      <c r="A430" s="475"/>
      <c r="B430" s="32"/>
      <c r="C430" s="32"/>
      <c r="D430" s="323"/>
      <c r="E430" s="32"/>
      <c r="F430" s="32"/>
      <c r="G430" s="32"/>
      <c r="H430" s="487"/>
      <c r="I430" s="32"/>
      <c r="J430" s="32"/>
      <c r="K430" s="32"/>
      <c r="L430" s="487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x14ac:dyDescent="0.2">
      <c r="A431" s="475"/>
      <c r="B431" s="32"/>
      <c r="C431" s="32"/>
      <c r="D431" s="323"/>
      <c r="E431" s="32"/>
      <c r="F431" s="32"/>
      <c r="G431" s="32"/>
      <c r="H431" s="487"/>
      <c r="I431" s="32"/>
      <c r="J431" s="32"/>
      <c r="K431" s="32"/>
      <c r="L431" s="487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x14ac:dyDescent="0.2">
      <c r="A432" s="475"/>
      <c r="B432" s="32"/>
      <c r="C432" s="32"/>
      <c r="D432" s="323"/>
      <c r="E432" s="32"/>
      <c r="F432" s="32"/>
      <c r="G432" s="32"/>
      <c r="H432" s="487"/>
      <c r="I432" s="32"/>
      <c r="J432" s="32"/>
      <c r="K432" s="32"/>
      <c r="L432" s="487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x14ac:dyDescent="0.2">
      <c r="A433" s="475"/>
      <c r="B433" s="32"/>
      <c r="C433" s="32"/>
      <c r="D433" s="323"/>
      <c r="E433" s="32"/>
      <c r="F433" s="32"/>
      <c r="G433" s="32"/>
      <c r="H433" s="487"/>
      <c r="I433" s="32"/>
      <c r="J433" s="32"/>
      <c r="K433" s="32"/>
      <c r="L433" s="487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x14ac:dyDescent="0.2">
      <c r="A434" s="475"/>
      <c r="B434" s="32"/>
      <c r="C434" s="32"/>
      <c r="D434" s="323"/>
      <c r="E434" s="32"/>
      <c r="F434" s="32"/>
      <c r="G434" s="32"/>
      <c r="H434" s="487"/>
      <c r="I434" s="32"/>
      <c r="J434" s="32"/>
      <c r="K434" s="32"/>
      <c r="L434" s="487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x14ac:dyDescent="0.2">
      <c r="A435" s="475"/>
      <c r="B435" s="32"/>
      <c r="C435" s="32"/>
      <c r="D435" s="323"/>
      <c r="E435" s="32"/>
      <c r="F435" s="32"/>
      <c r="G435" s="32"/>
      <c r="H435" s="487"/>
      <c r="I435" s="32"/>
      <c r="J435" s="32"/>
      <c r="K435" s="32"/>
      <c r="L435" s="487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x14ac:dyDescent="0.2">
      <c r="A436" s="475"/>
      <c r="B436" s="32"/>
      <c r="C436" s="32"/>
      <c r="D436" s="323"/>
      <c r="E436" s="32"/>
      <c r="F436" s="32"/>
      <c r="G436" s="32"/>
      <c r="H436" s="487"/>
      <c r="I436" s="32"/>
      <c r="J436" s="32"/>
      <c r="K436" s="32"/>
      <c r="L436" s="487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x14ac:dyDescent="0.2">
      <c r="A437" s="475"/>
      <c r="B437" s="32"/>
      <c r="C437" s="32"/>
      <c r="D437" s="323"/>
      <c r="E437" s="32"/>
      <c r="F437" s="32"/>
      <c r="G437" s="32"/>
      <c r="H437" s="487"/>
      <c r="I437" s="32"/>
      <c r="J437" s="32"/>
      <c r="K437" s="32"/>
      <c r="L437" s="487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x14ac:dyDescent="0.2">
      <c r="A438" s="475"/>
      <c r="B438" s="32"/>
      <c r="C438" s="32"/>
      <c r="D438" s="323"/>
      <c r="E438" s="32"/>
      <c r="F438" s="32"/>
      <c r="G438" s="32"/>
      <c r="H438" s="487"/>
      <c r="I438" s="32"/>
      <c r="J438" s="32"/>
      <c r="K438" s="32"/>
      <c r="L438" s="487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x14ac:dyDescent="0.2">
      <c r="A439" s="475"/>
      <c r="B439" s="32"/>
      <c r="C439" s="32"/>
      <c r="D439" s="323"/>
      <c r="E439" s="32"/>
      <c r="F439" s="32"/>
      <c r="G439" s="32"/>
      <c r="H439" s="487"/>
      <c r="I439" s="32"/>
      <c r="J439" s="32"/>
      <c r="K439" s="32"/>
      <c r="L439" s="487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x14ac:dyDescent="0.2">
      <c r="A440" s="475"/>
      <c r="B440" s="32"/>
      <c r="C440" s="32"/>
      <c r="D440" s="323"/>
      <c r="E440" s="32"/>
      <c r="F440" s="32"/>
      <c r="G440" s="32"/>
      <c r="H440" s="487"/>
      <c r="I440" s="32"/>
      <c r="J440" s="32"/>
      <c r="K440" s="32"/>
      <c r="L440" s="487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x14ac:dyDescent="0.2">
      <c r="A441" s="475"/>
      <c r="B441" s="32"/>
      <c r="C441" s="32"/>
      <c r="D441" s="323"/>
      <c r="E441" s="32"/>
      <c r="F441" s="32"/>
      <c r="G441" s="32"/>
      <c r="H441" s="487"/>
      <c r="I441" s="32"/>
      <c r="J441" s="32"/>
      <c r="K441" s="32"/>
      <c r="L441" s="487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x14ac:dyDescent="0.2">
      <c r="A442" s="475"/>
      <c r="B442" s="32"/>
      <c r="C442" s="32"/>
      <c r="D442" s="323"/>
      <c r="E442" s="32"/>
      <c r="F442" s="32"/>
      <c r="G442" s="32"/>
      <c r="H442" s="487"/>
      <c r="I442" s="32"/>
      <c r="J442" s="32"/>
      <c r="K442" s="32"/>
      <c r="L442" s="487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x14ac:dyDescent="0.2">
      <c r="A443" s="475"/>
      <c r="B443" s="32"/>
      <c r="C443" s="32"/>
      <c r="D443" s="323"/>
      <c r="E443" s="32"/>
      <c r="F443" s="32"/>
      <c r="G443" s="32"/>
      <c r="H443" s="487"/>
      <c r="I443" s="32"/>
      <c r="J443" s="32"/>
      <c r="K443" s="32"/>
      <c r="L443" s="487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x14ac:dyDescent="0.2">
      <c r="A444" s="475"/>
      <c r="B444" s="32"/>
      <c r="C444" s="32"/>
      <c r="D444" s="323"/>
      <c r="E444" s="32"/>
      <c r="F444" s="32"/>
      <c r="G444" s="32"/>
      <c r="H444" s="487"/>
      <c r="I444" s="32"/>
      <c r="J444" s="32"/>
      <c r="K444" s="32"/>
      <c r="L444" s="487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x14ac:dyDescent="0.2">
      <c r="A445" s="475"/>
      <c r="B445" s="32"/>
      <c r="C445" s="32"/>
      <c r="D445" s="323"/>
      <c r="E445" s="32"/>
      <c r="F445" s="32"/>
      <c r="G445" s="32"/>
      <c r="H445" s="487"/>
      <c r="I445" s="32"/>
      <c r="J445" s="32"/>
      <c r="K445" s="32"/>
      <c r="L445" s="487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x14ac:dyDescent="0.2">
      <c r="A446" s="475"/>
      <c r="B446" s="32"/>
      <c r="C446" s="32"/>
      <c r="D446" s="323"/>
      <c r="E446" s="32"/>
      <c r="F446" s="32"/>
      <c r="G446" s="32"/>
      <c r="H446" s="487"/>
      <c r="I446" s="32"/>
      <c r="J446" s="32"/>
      <c r="K446" s="32"/>
      <c r="L446" s="487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x14ac:dyDescent="0.2">
      <c r="A447" s="475"/>
      <c r="B447" s="32"/>
      <c r="C447" s="32"/>
      <c r="D447" s="323"/>
      <c r="E447" s="32"/>
      <c r="F447" s="32"/>
      <c r="G447" s="32"/>
      <c r="H447" s="487"/>
      <c r="I447" s="32"/>
      <c r="J447" s="32"/>
      <c r="K447" s="32"/>
      <c r="L447" s="487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x14ac:dyDescent="0.2">
      <c r="A448" s="475"/>
      <c r="B448" s="32"/>
      <c r="C448" s="32"/>
      <c r="D448" s="323"/>
      <c r="E448" s="32"/>
      <c r="F448" s="32"/>
      <c r="G448" s="32"/>
      <c r="H448" s="487"/>
      <c r="I448" s="32"/>
      <c r="J448" s="32"/>
      <c r="K448" s="32"/>
      <c r="L448" s="487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x14ac:dyDescent="0.2">
      <c r="A449" s="475"/>
      <c r="B449" s="32"/>
      <c r="C449" s="32"/>
      <c r="D449" s="323"/>
      <c r="E449" s="32"/>
      <c r="F449" s="32"/>
      <c r="G449" s="32"/>
      <c r="H449" s="487"/>
      <c r="I449" s="32"/>
      <c r="J449" s="32"/>
      <c r="K449" s="32"/>
      <c r="L449" s="487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x14ac:dyDescent="0.2">
      <c r="A450" s="475"/>
      <c r="B450" s="32"/>
      <c r="C450" s="32"/>
      <c r="D450" s="323"/>
      <c r="E450" s="32"/>
      <c r="F450" s="32"/>
      <c r="G450" s="32"/>
      <c r="H450" s="487"/>
      <c r="I450" s="32"/>
      <c r="J450" s="32"/>
      <c r="K450" s="32"/>
      <c r="L450" s="487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x14ac:dyDescent="0.2">
      <c r="A451" s="475"/>
      <c r="B451" s="32"/>
      <c r="C451" s="32"/>
      <c r="D451" s="323"/>
      <c r="E451" s="32"/>
      <c r="F451" s="32"/>
      <c r="G451" s="32"/>
      <c r="H451" s="487"/>
      <c r="I451" s="32"/>
      <c r="J451" s="32"/>
      <c r="K451" s="32"/>
      <c r="L451" s="487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x14ac:dyDescent="0.2">
      <c r="A452" s="475"/>
      <c r="B452" s="32"/>
      <c r="C452" s="32"/>
      <c r="D452" s="323"/>
      <c r="E452" s="32"/>
      <c r="F452" s="32"/>
      <c r="G452" s="32"/>
      <c r="H452" s="487"/>
      <c r="I452" s="32"/>
      <c r="J452" s="32"/>
      <c r="K452" s="32"/>
      <c r="L452" s="487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x14ac:dyDescent="0.2">
      <c r="A453" s="475"/>
      <c r="B453" s="32"/>
      <c r="C453" s="32"/>
      <c r="D453" s="323"/>
      <c r="E453" s="32"/>
      <c r="F453" s="32"/>
      <c r="G453" s="32"/>
      <c r="H453" s="487"/>
      <c r="I453" s="32"/>
      <c r="J453" s="32"/>
      <c r="K453" s="32"/>
      <c r="L453" s="487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x14ac:dyDescent="0.2">
      <c r="A454" s="475"/>
      <c r="B454" s="32"/>
      <c r="C454" s="32"/>
      <c r="D454" s="323"/>
      <c r="E454" s="32"/>
      <c r="F454" s="32"/>
      <c r="G454" s="32"/>
      <c r="H454" s="487"/>
      <c r="I454" s="32"/>
      <c r="J454" s="32"/>
      <c r="K454" s="32"/>
      <c r="L454" s="487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x14ac:dyDescent="0.2">
      <c r="A455" s="475"/>
      <c r="B455" s="32"/>
      <c r="C455" s="32"/>
      <c r="D455" s="323"/>
      <c r="E455" s="32"/>
      <c r="F455" s="32"/>
      <c r="G455" s="32"/>
      <c r="H455" s="487"/>
      <c r="I455" s="32"/>
      <c r="J455" s="32"/>
      <c r="K455" s="32"/>
      <c r="L455" s="487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x14ac:dyDescent="0.2">
      <c r="A456" s="475"/>
      <c r="B456" s="32"/>
      <c r="C456" s="32"/>
      <c r="D456" s="323"/>
      <c r="E456" s="32"/>
      <c r="F456" s="32"/>
      <c r="G456" s="32"/>
      <c r="H456" s="487"/>
      <c r="I456" s="32"/>
      <c r="J456" s="32"/>
      <c r="K456" s="32"/>
      <c r="L456" s="487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x14ac:dyDescent="0.2">
      <c r="A457" s="475"/>
      <c r="B457" s="32"/>
      <c r="C457" s="32"/>
      <c r="D457" s="323"/>
      <c r="E457" s="32"/>
      <c r="F457" s="32"/>
      <c r="G457" s="32"/>
      <c r="H457" s="487"/>
      <c r="I457" s="32"/>
      <c r="J457" s="32"/>
      <c r="K457" s="32"/>
      <c r="L457" s="487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x14ac:dyDescent="0.2">
      <c r="A458" s="475"/>
      <c r="B458" s="32"/>
      <c r="C458" s="32"/>
      <c r="D458" s="323"/>
      <c r="E458" s="32"/>
      <c r="F458" s="32"/>
      <c r="G458" s="32"/>
      <c r="H458" s="487"/>
      <c r="I458" s="32"/>
      <c r="J458" s="32"/>
      <c r="K458" s="32"/>
      <c r="L458" s="487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x14ac:dyDescent="0.2">
      <c r="A459" s="475"/>
      <c r="B459" s="32"/>
      <c r="C459" s="32"/>
      <c r="D459" s="323"/>
      <c r="E459" s="32"/>
      <c r="F459" s="32"/>
      <c r="G459" s="32"/>
      <c r="H459" s="487"/>
      <c r="I459" s="32"/>
      <c r="J459" s="32"/>
      <c r="K459" s="32"/>
      <c r="L459" s="487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x14ac:dyDescent="0.2">
      <c r="A460" s="475"/>
      <c r="B460" s="32"/>
      <c r="C460" s="32"/>
      <c r="D460" s="323"/>
      <c r="E460" s="32"/>
      <c r="F460" s="32"/>
      <c r="G460" s="32"/>
      <c r="H460" s="487"/>
      <c r="I460" s="32"/>
      <c r="J460" s="32"/>
      <c r="K460" s="32"/>
      <c r="L460" s="487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x14ac:dyDescent="0.2">
      <c r="A461" s="475"/>
      <c r="B461" s="32"/>
      <c r="C461" s="32"/>
      <c r="D461" s="323"/>
      <c r="E461" s="32"/>
      <c r="F461" s="32"/>
      <c r="G461" s="32"/>
      <c r="H461" s="487"/>
      <c r="I461" s="32"/>
      <c r="J461" s="32"/>
      <c r="K461" s="32"/>
      <c r="L461" s="487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x14ac:dyDescent="0.2">
      <c r="A462" s="475"/>
      <c r="B462" s="32"/>
      <c r="C462" s="32"/>
      <c r="D462" s="323"/>
      <c r="E462" s="32"/>
      <c r="F462" s="32"/>
      <c r="G462" s="32"/>
      <c r="H462" s="487"/>
      <c r="I462" s="32"/>
      <c r="J462" s="32"/>
      <c r="K462" s="32"/>
      <c r="L462" s="487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x14ac:dyDescent="0.2">
      <c r="A463" s="475"/>
      <c r="B463" s="32"/>
      <c r="C463" s="32"/>
      <c r="D463" s="323"/>
      <c r="E463" s="32"/>
      <c r="F463" s="32"/>
      <c r="G463" s="32"/>
      <c r="H463" s="487"/>
      <c r="I463" s="32"/>
      <c r="J463" s="32"/>
      <c r="K463" s="32"/>
      <c r="L463" s="487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x14ac:dyDescent="0.2">
      <c r="A464" s="475"/>
      <c r="B464" s="32"/>
      <c r="C464" s="32"/>
      <c r="D464" s="323"/>
      <c r="E464" s="32"/>
      <c r="F464" s="32"/>
      <c r="G464" s="32"/>
      <c r="H464" s="487"/>
      <c r="I464" s="32"/>
      <c r="J464" s="32"/>
      <c r="K464" s="32"/>
      <c r="L464" s="487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x14ac:dyDescent="0.2">
      <c r="A465" s="475"/>
      <c r="B465" s="32"/>
      <c r="C465" s="32"/>
      <c r="D465" s="323"/>
      <c r="E465" s="32"/>
      <c r="F465" s="32"/>
      <c r="G465" s="32"/>
      <c r="H465" s="487"/>
      <c r="I465" s="32"/>
      <c r="J465" s="32"/>
      <c r="K465" s="32"/>
      <c r="L465" s="487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x14ac:dyDescent="0.2">
      <c r="A466" s="475"/>
      <c r="B466" s="32"/>
      <c r="C466" s="32"/>
      <c r="D466" s="323"/>
      <c r="E466" s="32"/>
      <c r="F466" s="32"/>
      <c r="G466" s="32"/>
      <c r="H466" s="487"/>
      <c r="I466" s="32"/>
      <c r="J466" s="32"/>
      <c r="K466" s="32"/>
      <c r="L466" s="487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x14ac:dyDescent="0.2">
      <c r="A467" s="475"/>
      <c r="B467" s="32"/>
      <c r="C467" s="32"/>
      <c r="D467" s="323"/>
      <c r="E467" s="32"/>
      <c r="F467" s="32"/>
      <c r="G467" s="32"/>
      <c r="H467" s="487"/>
      <c r="I467" s="32"/>
      <c r="J467" s="32"/>
      <c r="K467" s="32"/>
      <c r="L467" s="487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x14ac:dyDescent="0.2">
      <c r="A468" s="475"/>
      <c r="B468" s="32"/>
      <c r="C468" s="32"/>
      <c r="D468" s="323"/>
      <c r="E468" s="32"/>
      <c r="F468" s="32"/>
      <c r="G468" s="32"/>
      <c r="H468" s="487"/>
      <c r="I468" s="32"/>
      <c r="J468" s="32"/>
      <c r="K468" s="32"/>
      <c r="L468" s="487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x14ac:dyDescent="0.2">
      <c r="A469" s="475"/>
      <c r="B469" s="32"/>
      <c r="C469" s="32"/>
      <c r="D469" s="323"/>
      <c r="E469" s="32"/>
      <c r="F469" s="32"/>
      <c r="G469" s="32"/>
      <c r="H469" s="487"/>
      <c r="I469" s="32"/>
      <c r="J469" s="32"/>
      <c r="K469" s="32"/>
      <c r="L469" s="487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x14ac:dyDescent="0.2">
      <c r="A470" s="475"/>
      <c r="B470" s="32"/>
      <c r="C470" s="32"/>
      <c r="D470" s="323"/>
      <c r="E470" s="32"/>
      <c r="F470" s="32"/>
      <c r="G470" s="32"/>
      <c r="H470" s="487"/>
      <c r="I470" s="32"/>
      <c r="J470" s="32"/>
      <c r="K470" s="32"/>
      <c r="L470" s="487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x14ac:dyDescent="0.2">
      <c r="A471" s="475"/>
      <c r="B471" s="32"/>
      <c r="C471" s="32"/>
      <c r="D471" s="323"/>
      <c r="E471" s="32"/>
      <c r="F471" s="32"/>
      <c r="G471" s="32"/>
      <c r="H471" s="487"/>
      <c r="I471" s="32"/>
      <c r="J471" s="32"/>
      <c r="K471" s="32"/>
      <c r="L471" s="487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x14ac:dyDescent="0.2">
      <c r="A472" s="475"/>
      <c r="B472" s="32"/>
      <c r="C472" s="32"/>
      <c r="D472" s="323"/>
      <c r="E472" s="32"/>
      <c r="F472" s="32"/>
      <c r="G472" s="32"/>
      <c r="H472" s="487"/>
      <c r="I472" s="32"/>
      <c r="J472" s="32"/>
      <c r="K472" s="32"/>
      <c r="L472" s="487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x14ac:dyDescent="0.2">
      <c r="A473" s="475"/>
      <c r="B473" s="32"/>
      <c r="C473" s="32"/>
      <c r="D473" s="323"/>
      <c r="E473" s="32"/>
      <c r="F473" s="32"/>
      <c r="G473" s="32"/>
      <c r="H473" s="487"/>
      <c r="I473" s="32"/>
      <c r="J473" s="32"/>
      <c r="K473" s="32"/>
      <c r="L473" s="487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x14ac:dyDescent="0.2">
      <c r="A474" s="475"/>
      <c r="B474" s="32"/>
      <c r="C474" s="32"/>
      <c r="D474" s="323"/>
      <c r="E474" s="32"/>
      <c r="F474" s="32"/>
      <c r="G474" s="32"/>
      <c r="H474" s="487"/>
      <c r="I474" s="32"/>
      <c r="J474" s="32"/>
      <c r="K474" s="32"/>
      <c r="L474" s="487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x14ac:dyDescent="0.2">
      <c r="A475" s="475"/>
      <c r="B475" s="32"/>
      <c r="C475" s="32"/>
      <c r="D475" s="323"/>
      <c r="E475" s="32"/>
      <c r="F475" s="32"/>
      <c r="G475" s="32"/>
      <c r="H475" s="487"/>
      <c r="I475" s="32"/>
      <c r="J475" s="32"/>
      <c r="K475" s="32"/>
      <c r="L475" s="487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x14ac:dyDescent="0.2">
      <c r="A476" s="475"/>
      <c r="B476" s="32"/>
      <c r="C476" s="32"/>
      <c r="D476" s="323"/>
      <c r="E476" s="32"/>
      <c r="F476" s="32"/>
      <c r="G476" s="32"/>
      <c r="H476" s="487"/>
      <c r="I476" s="32"/>
      <c r="J476" s="32"/>
      <c r="K476" s="32"/>
      <c r="L476" s="487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x14ac:dyDescent="0.2">
      <c r="A477" s="475"/>
      <c r="B477" s="32"/>
      <c r="C477" s="32"/>
      <c r="D477" s="323"/>
      <c r="E477" s="32"/>
      <c r="F477" s="32"/>
      <c r="G477" s="32"/>
      <c r="H477" s="487"/>
      <c r="I477" s="32"/>
      <c r="J477" s="32"/>
      <c r="K477" s="32"/>
      <c r="L477" s="487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x14ac:dyDescent="0.2">
      <c r="A478" s="475"/>
      <c r="B478" s="32"/>
      <c r="C478" s="32"/>
      <c r="D478" s="323"/>
      <c r="E478" s="32"/>
      <c r="F478" s="32"/>
      <c r="G478" s="32"/>
      <c r="H478" s="487"/>
      <c r="I478" s="32"/>
      <c r="J478" s="32"/>
      <c r="K478" s="32"/>
      <c r="L478" s="487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x14ac:dyDescent="0.2">
      <c r="A479" s="475"/>
      <c r="B479" s="32"/>
      <c r="C479" s="32"/>
      <c r="D479" s="323"/>
      <c r="E479" s="32"/>
      <c r="F479" s="32"/>
      <c r="G479" s="32"/>
      <c r="H479" s="487"/>
      <c r="I479" s="32"/>
      <c r="J479" s="32"/>
      <c r="K479" s="32"/>
      <c r="L479" s="487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x14ac:dyDescent="0.2">
      <c r="A480" s="475"/>
      <c r="B480" s="32"/>
      <c r="C480" s="32"/>
      <c r="D480" s="323"/>
      <c r="E480" s="32"/>
      <c r="F480" s="32"/>
      <c r="G480" s="32"/>
      <c r="H480" s="487"/>
      <c r="I480" s="32"/>
      <c r="J480" s="32"/>
      <c r="K480" s="32"/>
      <c r="L480" s="487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x14ac:dyDescent="0.2">
      <c r="A481" s="475"/>
      <c r="B481" s="32"/>
      <c r="C481" s="32"/>
      <c r="D481" s="323"/>
      <c r="E481" s="32"/>
      <c r="F481" s="32"/>
      <c r="G481" s="32"/>
      <c r="H481" s="487"/>
      <c r="I481" s="32"/>
      <c r="J481" s="32"/>
      <c r="K481" s="32"/>
      <c r="L481" s="487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x14ac:dyDescent="0.2">
      <c r="A482" s="475"/>
      <c r="B482" s="32"/>
      <c r="C482" s="32"/>
      <c r="D482" s="323"/>
      <c r="E482" s="32"/>
      <c r="F482" s="32"/>
      <c r="G482" s="32"/>
      <c r="H482" s="487"/>
      <c r="I482" s="32"/>
      <c r="J482" s="32"/>
      <c r="K482" s="32"/>
      <c r="L482" s="487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x14ac:dyDescent="0.2">
      <c r="A483" s="475"/>
      <c r="B483" s="32"/>
      <c r="C483" s="32"/>
      <c r="D483" s="323"/>
      <c r="E483" s="32"/>
      <c r="F483" s="32"/>
      <c r="G483" s="32"/>
      <c r="H483" s="487"/>
      <c r="I483" s="32"/>
      <c r="J483" s="32"/>
      <c r="K483" s="32"/>
      <c r="L483" s="487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x14ac:dyDescent="0.2">
      <c r="A484" s="475"/>
      <c r="B484" s="32"/>
      <c r="C484" s="32"/>
      <c r="D484" s="323"/>
      <c r="E484" s="32"/>
      <c r="F484" s="32"/>
      <c r="G484" s="32"/>
      <c r="H484" s="487"/>
      <c r="I484" s="32"/>
      <c r="J484" s="32"/>
      <c r="K484" s="32"/>
      <c r="L484" s="487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x14ac:dyDescent="0.2">
      <c r="A485" s="475"/>
      <c r="B485" s="32"/>
      <c r="C485" s="32"/>
      <c r="D485" s="323"/>
      <c r="E485" s="32"/>
      <c r="F485" s="32"/>
      <c r="G485" s="32"/>
      <c r="H485" s="487"/>
      <c r="I485" s="32"/>
      <c r="J485" s="32"/>
      <c r="K485" s="32"/>
      <c r="L485" s="487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x14ac:dyDescent="0.2">
      <c r="A486" s="475"/>
      <c r="B486" s="32"/>
      <c r="C486" s="32"/>
      <c r="D486" s="323"/>
      <c r="E486" s="32"/>
      <c r="F486" s="32"/>
      <c r="G486" s="32"/>
      <c r="H486" s="487"/>
      <c r="I486" s="32"/>
      <c r="J486" s="32"/>
      <c r="K486" s="32"/>
      <c r="L486" s="487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x14ac:dyDescent="0.2">
      <c r="A487" s="475"/>
      <c r="B487" s="32"/>
      <c r="C487" s="32"/>
      <c r="D487" s="323"/>
      <c r="E487" s="32"/>
      <c r="F487" s="32"/>
      <c r="G487" s="32"/>
      <c r="H487" s="487"/>
      <c r="I487" s="32"/>
      <c r="J487" s="32"/>
      <c r="K487" s="32"/>
      <c r="L487" s="487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x14ac:dyDescent="0.2">
      <c r="A488" s="475"/>
      <c r="B488" s="32"/>
      <c r="C488" s="32"/>
      <c r="D488" s="323"/>
      <c r="E488" s="32"/>
      <c r="F488" s="32"/>
      <c r="G488" s="32"/>
      <c r="H488" s="487"/>
      <c r="I488" s="32"/>
      <c r="J488" s="32"/>
      <c r="K488" s="32"/>
      <c r="L488" s="487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x14ac:dyDescent="0.2">
      <c r="A489" s="475"/>
      <c r="B489" s="32"/>
      <c r="C489" s="32"/>
      <c r="D489" s="323"/>
      <c r="E489" s="32"/>
      <c r="F489" s="32"/>
      <c r="G489" s="32"/>
      <c r="H489" s="487"/>
      <c r="I489" s="32"/>
      <c r="J489" s="32"/>
      <c r="K489" s="32"/>
      <c r="L489" s="487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x14ac:dyDescent="0.2">
      <c r="A490" s="475"/>
      <c r="B490" s="32"/>
      <c r="C490" s="32"/>
      <c r="D490" s="323"/>
      <c r="E490" s="32"/>
      <c r="F490" s="32"/>
      <c r="G490" s="32"/>
      <c r="H490" s="487"/>
      <c r="I490" s="32"/>
      <c r="J490" s="32"/>
      <c r="K490" s="32"/>
      <c r="L490" s="487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x14ac:dyDescent="0.2">
      <c r="A491" s="475"/>
      <c r="B491" s="32"/>
      <c r="C491" s="32"/>
      <c r="D491" s="323"/>
      <c r="E491" s="32"/>
      <c r="F491" s="32"/>
      <c r="G491" s="32"/>
      <c r="H491" s="487"/>
      <c r="I491" s="32"/>
      <c r="J491" s="32"/>
      <c r="K491" s="32"/>
      <c r="L491" s="487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x14ac:dyDescent="0.2">
      <c r="A492" s="475"/>
      <c r="B492" s="32"/>
      <c r="C492" s="32"/>
      <c r="D492" s="323"/>
      <c r="E492" s="32"/>
      <c r="F492" s="32"/>
      <c r="G492" s="32"/>
      <c r="H492" s="487"/>
      <c r="I492" s="32"/>
      <c r="J492" s="32"/>
      <c r="K492" s="32"/>
      <c r="L492" s="487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x14ac:dyDescent="0.2">
      <c r="A493" s="475"/>
      <c r="B493" s="32"/>
      <c r="C493" s="32"/>
      <c r="D493" s="323"/>
      <c r="E493" s="32"/>
      <c r="F493" s="32"/>
      <c r="G493" s="32"/>
      <c r="H493" s="487"/>
      <c r="I493" s="32"/>
      <c r="J493" s="32"/>
      <c r="K493" s="32"/>
      <c r="L493" s="487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x14ac:dyDescent="0.2">
      <c r="A494" s="475"/>
      <c r="B494" s="32"/>
      <c r="C494" s="32"/>
      <c r="D494" s="323"/>
      <c r="E494" s="32"/>
      <c r="F494" s="32"/>
      <c r="G494" s="32"/>
      <c r="H494" s="487"/>
      <c r="I494" s="32"/>
      <c r="J494" s="32"/>
      <c r="K494" s="32"/>
      <c r="L494" s="487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x14ac:dyDescent="0.2">
      <c r="A495" s="475"/>
      <c r="B495" s="32"/>
      <c r="C495" s="32"/>
      <c r="D495" s="323"/>
      <c r="E495" s="32"/>
      <c r="F495" s="32"/>
      <c r="G495" s="32"/>
      <c r="H495" s="487"/>
      <c r="I495" s="32"/>
      <c r="J495" s="32"/>
      <c r="K495" s="32"/>
      <c r="L495" s="487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x14ac:dyDescent="0.2">
      <c r="A496" s="475"/>
      <c r="B496" s="32"/>
      <c r="C496" s="32"/>
      <c r="D496" s="323"/>
      <c r="E496" s="32"/>
      <c r="F496" s="32"/>
      <c r="G496" s="32"/>
      <c r="H496" s="487"/>
      <c r="I496" s="32"/>
      <c r="J496" s="32"/>
      <c r="K496" s="32"/>
      <c r="L496" s="487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x14ac:dyDescent="0.2">
      <c r="A497" s="475"/>
      <c r="B497" s="32"/>
      <c r="C497" s="32"/>
      <c r="D497" s="323"/>
      <c r="E497" s="32"/>
      <c r="F497" s="32"/>
      <c r="G497" s="32"/>
      <c r="H497" s="487"/>
      <c r="I497" s="32"/>
      <c r="J497" s="32"/>
      <c r="K497" s="32"/>
      <c r="L497" s="487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x14ac:dyDescent="0.2">
      <c r="A498" s="475"/>
      <c r="B498" s="32"/>
      <c r="C498" s="32"/>
      <c r="D498" s="323"/>
      <c r="E498" s="32"/>
      <c r="F498" s="32"/>
      <c r="G498" s="32"/>
      <c r="H498" s="487"/>
      <c r="I498" s="32"/>
      <c r="J498" s="32"/>
      <c r="K498" s="32"/>
      <c r="L498" s="487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x14ac:dyDescent="0.2">
      <c r="A499" s="475"/>
      <c r="B499" s="32"/>
      <c r="C499" s="32"/>
      <c r="D499" s="323"/>
      <c r="E499" s="32"/>
      <c r="F499" s="32"/>
      <c r="G499" s="32"/>
      <c r="H499" s="487"/>
      <c r="I499" s="32"/>
      <c r="J499" s="32"/>
      <c r="K499" s="32"/>
      <c r="L499" s="487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x14ac:dyDescent="0.2">
      <c r="A500" s="475"/>
      <c r="B500" s="32"/>
      <c r="C500" s="32"/>
      <c r="D500" s="323"/>
      <c r="E500" s="32"/>
      <c r="F500" s="32"/>
      <c r="G500" s="32"/>
      <c r="H500" s="487"/>
      <c r="I500" s="32"/>
      <c r="J500" s="32"/>
      <c r="K500" s="32"/>
      <c r="L500" s="487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x14ac:dyDescent="0.2">
      <c r="A501" s="475"/>
      <c r="B501" s="32"/>
      <c r="C501" s="32"/>
      <c r="D501" s="323"/>
      <c r="E501" s="32"/>
      <c r="F501" s="32"/>
      <c r="G501" s="32"/>
      <c r="H501" s="487"/>
      <c r="I501" s="32"/>
      <c r="J501" s="32"/>
      <c r="K501" s="32"/>
      <c r="L501" s="487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x14ac:dyDescent="0.2">
      <c r="A502" s="475"/>
      <c r="B502" s="32"/>
      <c r="C502" s="32"/>
      <c r="D502" s="323"/>
      <c r="E502" s="32"/>
      <c r="F502" s="32"/>
      <c r="G502" s="32"/>
      <c r="H502" s="487"/>
      <c r="I502" s="32"/>
      <c r="J502" s="32"/>
      <c r="K502" s="32"/>
      <c r="L502" s="487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x14ac:dyDescent="0.2">
      <c r="A503" s="475"/>
      <c r="B503" s="32"/>
      <c r="C503" s="32"/>
      <c r="D503" s="323"/>
      <c r="E503" s="32"/>
      <c r="F503" s="32"/>
      <c r="G503" s="32"/>
      <c r="H503" s="487"/>
      <c r="I503" s="32"/>
      <c r="J503" s="32"/>
      <c r="K503" s="32"/>
      <c r="L503" s="487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x14ac:dyDescent="0.2">
      <c r="A504" s="475"/>
      <c r="B504" s="32"/>
      <c r="C504" s="32"/>
      <c r="D504" s="323"/>
      <c r="E504" s="32"/>
      <c r="F504" s="32"/>
      <c r="G504" s="32"/>
      <c r="H504" s="487"/>
      <c r="I504" s="32"/>
      <c r="J504" s="32"/>
      <c r="K504" s="32"/>
      <c r="L504" s="487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x14ac:dyDescent="0.2">
      <c r="A505" s="475"/>
      <c r="B505" s="32"/>
      <c r="C505" s="32"/>
      <c r="D505" s="323"/>
      <c r="E505" s="32"/>
      <c r="F505" s="32"/>
      <c r="G505" s="32"/>
      <c r="H505" s="487"/>
      <c r="I505" s="32"/>
      <c r="J505" s="32"/>
      <c r="K505" s="32"/>
      <c r="L505" s="487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x14ac:dyDescent="0.2">
      <c r="A506" s="475"/>
      <c r="B506" s="32"/>
      <c r="C506" s="32"/>
      <c r="D506" s="323"/>
      <c r="E506" s="32"/>
      <c r="F506" s="32"/>
      <c r="G506" s="32"/>
      <c r="H506" s="487"/>
      <c r="I506" s="32"/>
      <c r="J506" s="32"/>
      <c r="K506" s="32"/>
      <c r="L506" s="487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x14ac:dyDescent="0.2">
      <c r="A507" s="475"/>
      <c r="B507" s="32"/>
      <c r="C507" s="32"/>
      <c r="D507" s="323"/>
      <c r="E507" s="32"/>
      <c r="F507" s="32"/>
      <c r="G507" s="32"/>
      <c r="H507" s="487"/>
      <c r="I507" s="32"/>
      <c r="J507" s="32"/>
      <c r="K507" s="32"/>
      <c r="L507" s="487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x14ac:dyDescent="0.2">
      <c r="A508" s="475"/>
      <c r="B508" s="32"/>
      <c r="C508" s="32"/>
      <c r="D508" s="323"/>
      <c r="E508" s="32"/>
      <c r="F508" s="32"/>
      <c r="G508" s="32"/>
      <c r="H508" s="487"/>
      <c r="I508" s="32"/>
      <c r="J508" s="32"/>
      <c r="K508" s="32"/>
      <c r="L508" s="487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x14ac:dyDescent="0.2">
      <c r="A509" s="475"/>
      <c r="B509" s="32"/>
      <c r="C509" s="32"/>
      <c r="D509" s="323"/>
      <c r="E509" s="32"/>
      <c r="F509" s="32"/>
      <c r="G509" s="32"/>
      <c r="H509" s="487"/>
      <c r="I509" s="32"/>
      <c r="J509" s="32"/>
      <c r="K509" s="32"/>
      <c r="L509" s="487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x14ac:dyDescent="0.2">
      <c r="A510" s="475"/>
      <c r="B510" s="32"/>
      <c r="C510" s="32"/>
      <c r="D510" s="323"/>
      <c r="E510" s="32"/>
      <c r="F510" s="32"/>
      <c r="G510" s="32"/>
      <c r="H510" s="487"/>
      <c r="I510" s="32"/>
      <c r="J510" s="32"/>
      <c r="K510" s="32"/>
      <c r="L510" s="487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x14ac:dyDescent="0.2">
      <c r="A511" s="475"/>
      <c r="B511" s="32"/>
      <c r="C511" s="32"/>
      <c r="D511" s="323"/>
      <c r="E511" s="32"/>
      <c r="F511" s="32"/>
      <c r="G511" s="32"/>
      <c r="H511" s="487"/>
      <c r="I511" s="32"/>
      <c r="J511" s="32"/>
      <c r="K511" s="32"/>
      <c r="L511" s="487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x14ac:dyDescent="0.2">
      <c r="A512" s="475"/>
      <c r="B512" s="32"/>
      <c r="C512" s="32"/>
      <c r="D512" s="323"/>
      <c r="E512" s="32"/>
      <c r="F512" s="32"/>
      <c r="G512" s="32"/>
      <c r="H512" s="487"/>
      <c r="I512" s="32"/>
      <c r="J512" s="32"/>
      <c r="K512" s="32"/>
      <c r="L512" s="487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x14ac:dyDescent="0.2">
      <c r="A513" s="475"/>
      <c r="B513" s="32"/>
      <c r="C513" s="32"/>
      <c r="D513" s="323"/>
      <c r="E513" s="32"/>
      <c r="F513" s="32"/>
      <c r="G513" s="32"/>
      <c r="H513" s="487"/>
      <c r="I513" s="32"/>
      <c r="J513" s="32"/>
      <c r="K513" s="32"/>
      <c r="L513" s="487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x14ac:dyDescent="0.2">
      <c r="A514" s="475"/>
      <c r="B514" s="32"/>
      <c r="C514" s="32"/>
      <c r="D514" s="323"/>
      <c r="E514" s="32"/>
      <c r="F514" s="32"/>
      <c r="G514" s="32"/>
      <c r="H514" s="487"/>
      <c r="I514" s="32"/>
      <c r="J514" s="32"/>
      <c r="K514" s="32"/>
      <c r="L514" s="487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x14ac:dyDescent="0.2">
      <c r="A515" s="475"/>
      <c r="B515" s="32"/>
      <c r="C515" s="32"/>
      <c r="D515" s="323"/>
      <c r="E515" s="32"/>
      <c r="F515" s="32"/>
      <c r="G515" s="32"/>
      <c r="H515" s="487"/>
      <c r="I515" s="32"/>
      <c r="J515" s="32"/>
      <c r="K515" s="32"/>
      <c r="L515" s="487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x14ac:dyDescent="0.2">
      <c r="A516" s="475"/>
      <c r="B516" s="32"/>
      <c r="C516" s="32"/>
      <c r="D516" s="323"/>
      <c r="E516" s="32"/>
      <c r="F516" s="32"/>
      <c r="G516" s="32"/>
      <c r="H516" s="487"/>
      <c r="I516" s="32"/>
      <c r="J516" s="32"/>
      <c r="K516" s="32"/>
      <c r="L516" s="487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x14ac:dyDescent="0.2">
      <c r="A517" s="475"/>
      <c r="B517" s="32"/>
      <c r="C517" s="32"/>
      <c r="D517" s="323"/>
      <c r="E517" s="32"/>
      <c r="F517" s="32"/>
      <c r="G517" s="32"/>
      <c r="H517" s="487"/>
      <c r="I517" s="32"/>
      <c r="J517" s="32"/>
      <c r="K517" s="32"/>
      <c r="L517" s="487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x14ac:dyDescent="0.2">
      <c r="A518" s="475"/>
      <c r="B518" s="32"/>
      <c r="C518" s="32"/>
      <c r="D518" s="323"/>
      <c r="E518" s="32"/>
      <c r="F518" s="32"/>
      <c r="G518" s="32"/>
      <c r="H518" s="487"/>
      <c r="I518" s="32"/>
      <c r="J518" s="32"/>
      <c r="K518" s="32"/>
      <c r="L518" s="487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x14ac:dyDescent="0.2">
      <c r="A519" s="475"/>
      <c r="B519" s="32"/>
      <c r="C519" s="32"/>
      <c r="D519" s="323"/>
      <c r="E519" s="32"/>
      <c r="F519" s="32"/>
      <c r="G519" s="32"/>
      <c r="H519" s="487"/>
      <c r="I519" s="32"/>
      <c r="J519" s="32"/>
      <c r="K519" s="32"/>
      <c r="L519" s="487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x14ac:dyDescent="0.2">
      <c r="A520" s="475"/>
      <c r="B520" s="32"/>
      <c r="C520" s="32"/>
      <c r="D520" s="323"/>
      <c r="E520" s="32"/>
      <c r="F520" s="32"/>
      <c r="G520" s="32"/>
      <c r="H520" s="487"/>
      <c r="I520" s="32"/>
      <c r="J520" s="32"/>
      <c r="K520" s="32"/>
      <c r="L520" s="487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x14ac:dyDescent="0.2">
      <c r="A521" s="475"/>
      <c r="B521" s="32"/>
      <c r="C521" s="32"/>
      <c r="D521" s="323"/>
      <c r="E521" s="32"/>
      <c r="F521" s="32"/>
      <c r="G521" s="32"/>
      <c r="H521" s="487"/>
      <c r="I521" s="32"/>
      <c r="J521" s="32"/>
      <c r="K521" s="32"/>
      <c r="L521" s="487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x14ac:dyDescent="0.2">
      <c r="A522" s="475"/>
      <c r="B522" s="32"/>
      <c r="C522" s="32"/>
      <c r="D522" s="323"/>
      <c r="E522" s="32"/>
      <c r="F522" s="32"/>
      <c r="G522" s="32"/>
      <c r="H522" s="487"/>
      <c r="I522" s="32"/>
      <c r="J522" s="32"/>
      <c r="K522" s="32"/>
      <c r="L522" s="487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x14ac:dyDescent="0.2">
      <c r="A523" s="475"/>
      <c r="B523" s="32"/>
      <c r="C523" s="32"/>
      <c r="D523" s="323"/>
      <c r="E523" s="32"/>
      <c r="F523" s="32"/>
      <c r="G523" s="32"/>
      <c r="H523" s="487"/>
      <c r="I523" s="32"/>
      <c r="J523" s="32"/>
      <c r="K523" s="32"/>
      <c r="L523" s="487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x14ac:dyDescent="0.2">
      <c r="A524" s="475"/>
      <c r="B524" s="32"/>
      <c r="C524" s="32"/>
      <c r="D524" s="323"/>
      <c r="E524" s="32"/>
      <c r="F524" s="32"/>
      <c r="G524" s="32"/>
      <c r="H524" s="487"/>
      <c r="I524" s="32"/>
      <c r="J524" s="32"/>
      <c r="K524" s="32"/>
      <c r="L524" s="487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x14ac:dyDescent="0.2">
      <c r="A525" s="475"/>
      <c r="B525" s="32"/>
      <c r="C525" s="32"/>
      <c r="D525" s="323"/>
      <c r="E525" s="32"/>
      <c r="F525" s="32"/>
      <c r="G525" s="32"/>
      <c r="H525" s="487"/>
      <c r="I525" s="32"/>
      <c r="J525" s="32"/>
      <c r="K525" s="32"/>
      <c r="L525" s="487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x14ac:dyDescent="0.2">
      <c r="A526" s="475"/>
      <c r="B526" s="32"/>
      <c r="C526" s="32"/>
      <c r="D526" s="323"/>
      <c r="E526" s="32"/>
      <c r="F526" s="32"/>
      <c r="G526" s="32"/>
      <c r="H526" s="487"/>
      <c r="I526" s="32"/>
      <c r="J526" s="32"/>
      <c r="K526" s="32"/>
      <c r="L526" s="487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x14ac:dyDescent="0.2">
      <c r="A527" s="475"/>
      <c r="B527" s="32"/>
      <c r="C527" s="32"/>
      <c r="D527" s="323"/>
      <c r="E527" s="32"/>
      <c r="F527" s="32"/>
      <c r="G527" s="32"/>
      <c r="H527" s="487"/>
      <c r="I527" s="32"/>
      <c r="J527" s="32"/>
      <c r="K527" s="32"/>
      <c r="L527" s="487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x14ac:dyDescent="0.2">
      <c r="A528" s="475"/>
      <c r="B528" s="32"/>
      <c r="C528" s="32"/>
      <c r="D528" s="323"/>
      <c r="E528" s="32"/>
      <c r="F528" s="32"/>
      <c r="G528" s="32"/>
      <c r="H528" s="487"/>
      <c r="I528" s="32"/>
      <c r="J528" s="32"/>
      <c r="K528" s="32"/>
      <c r="L528" s="487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x14ac:dyDescent="0.2">
      <c r="A529" s="475"/>
      <c r="B529" s="32"/>
      <c r="C529" s="32"/>
      <c r="D529" s="323"/>
      <c r="E529" s="32"/>
      <c r="F529" s="32"/>
      <c r="G529" s="32"/>
      <c r="H529" s="487"/>
      <c r="I529" s="32"/>
      <c r="J529" s="32"/>
      <c r="K529" s="32"/>
      <c r="L529" s="487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x14ac:dyDescent="0.2">
      <c r="A530" s="475"/>
      <c r="B530" s="32"/>
      <c r="C530" s="32"/>
      <c r="D530" s="323"/>
      <c r="E530" s="32"/>
      <c r="F530" s="32"/>
      <c r="G530" s="32"/>
      <c r="H530" s="487"/>
      <c r="I530" s="32"/>
      <c r="J530" s="32"/>
      <c r="K530" s="32"/>
      <c r="L530" s="487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x14ac:dyDescent="0.2">
      <c r="A531" s="475"/>
      <c r="B531" s="32"/>
      <c r="C531" s="32"/>
      <c r="D531" s="323"/>
      <c r="E531" s="32"/>
      <c r="F531" s="32"/>
      <c r="G531" s="32"/>
      <c r="H531" s="487"/>
      <c r="I531" s="32"/>
      <c r="J531" s="32"/>
      <c r="K531" s="32"/>
      <c r="L531" s="487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x14ac:dyDescent="0.2">
      <c r="A532" s="475"/>
      <c r="B532" s="32"/>
      <c r="C532" s="32"/>
      <c r="D532" s="323"/>
      <c r="E532" s="32"/>
      <c r="F532" s="32"/>
      <c r="G532" s="32"/>
      <c r="H532" s="487"/>
      <c r="I532" s="32"/>
      <c r="J532" s="32"/>
      <c r="K532" s="32"/>
      <c r="L532" s="487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x14ac:dyDescent="0.2">
      <c r="A533" s="475"/>
      <c r="B533" s="32"/>
      <c r="C533" s="32"/>
      <c r="D533" s="323"/>
      <c r="E533" s="32"/>
      <c r="F533" s="32"/>
      <c r="G533" s="32"/>
      <c r="H533" s="487"/>
      <c r="I533" s="32"/>
      <c r="J533" s="32"/>
      <c r="K533" s="32"/>
      <c r="L533" s="487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x14ac:dyDescent="0.2">
      <c r="A534" s="475"/>
      <c r="B534" s="32"/>
      <c r="C534" s="32"/>
      <c r="D534" s="323"/>
      <c r="E534" s="32"/>
      <c r="F534" s="32"/>
      <c r="G534" s="32"/>
      <c r="H534" s="487"/>
      <c r="I534" s="32"/>
      <c r="J534" s="32"/>
      <c r="K534" s="32"/>
      <c r="L534" s="487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x14ac:dyDescent="0.2">
      <c r="A535" s="475"/>
      <c r="B535" s="32"/>
      <c r="C535" s="32"/>
      <c r="D535" s="323"/>
      <c r="E535" s="32"/>
      <c r="F535" s="32"/>
      <c r="G535" s="32"/>
      <c r="H535" s="487"/>
      <c r="I535" s="32"/>
      <c r="J535" s="32"/>
      <c r="K535" s="32"/>
      <c r="L535" s="487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x14ac:dyDescent="0.2">
      <c r="A536" s="475"/>
      <c r="B536" s="32"/>
      <c r="C536" s="32"/>
      <c r="D536" s="323"/>
      <c r="E536" s="32"/>
      <c r="F536" s="32"/>
      <c r="G536" s="32"/>
      <c r="H536" s="487"/>
      <c r="I536" s="32"/>
      <c r="J536" s="32"/>
      <c r="K536" s="32"/>
      <c r="L536" s="487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x14ac:dyDescent="0.2">
      <c r="A537" s="475"/>
      <c r="B537" s="32"/>
      <c r="C537" s="32"/>
      <c r="D537" s="323"/>
      <c r="E537" s="32"/>
      <c r="F537" s="32"/>
      <c r="G537" s="32"/>
      <c r="H537" s="487"/>
      <c r="I537" s="32"/>
      <c r="J537" s="32"/>
      <c r="K537" s="32"/>
      <c r="L537" s="487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x14ac:dyDescent="0.2">
      <c r="A538" s="475"/>
      <c r="B538" s="32"/>
      <c r="C538" s="32"/>
      <c r="D538" s="323"/>
      <c r="E538" s="32"/>
      <c r="F538" s="32"/>
      <c r="G538" s="32"/>
      <c r="H538" s="487"/>
      <c r="I538" s="32"/>
      <c r="J538" s="32"/>
      <c r="K538" s="32"/>
      <c r="L538" s="487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x14ac:dyDescent="0.2">
      <c r="A539" s="475"/>
      <c r="B539" s="32"/>
      <c r="C539" s="32"/>
      <c r="D539" s="323"/>
      <c r="E539" s="32"/>
      <c r="F539" s="32"/>
      <c r="G539" s="32"/>
      <c r="H539" s="487"/>
      <c r="I539" s="32"/>
      <c r="J539" s="32"/>
      <c r="K539" s="32"/>
      <c r="L539" s="487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x14ac:dyDescent="0.2">
      <c r="A540" s="475"/>
      <c r="B540" s="32"/>
      <c r="C540" s="32"/>
      <c r="D540" s="323"/>
      <c r="E540" s="32"/>
      <c r="F540" s="32"/>
      <c r="G540" s="32"/>
      <c r="H540" s="487"/>
      <c r="I540" s="32"/>
      <c r="J540" s="32"/>
      <c r="K540" s="32"/>
      <c r="L540" s="487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x14ac:dyDescent="0.2">
      <c r="A541" s="475"/>
      <c r="B541" s="32"/>
      <c r="C541" s="32"/>
      <c r="D541" s="323"/>
      <c r="E541" s="32"/>
      <c r="F541" s="32"/>
      <c r="G541" s="32"/>
      <c r="H541" s="487"/>
      <c r="I541" s="32"/>
      <c r="J541" s="32"/>
      <c r="K541" s="32"/>
      <c r="L541" s="487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x14ac:dyDescent="0.2">
      <c r="A542" s="475"/>
      <c r="B542" s="32"/>
      <c r="C542" s="32"/>
      <c r="D542" s="323"/>
      <c r="E542" s="32"/>
      <c r="F542" s="32"/>
      <c r="G542" s="32"/>
      <c r="H542" s="487"/>
      <c r="I542" s="32"/>
      <c r="J542" s="32"/>
      <c r="K542" s="32"/>
      <c r="L542" s="487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x14ac:dyDescent="0.2">
      <c r="A543" s="475"/>
      <c r="B543" s="32"/>
      <c r="C543" s="32"/>
      <c r="D543" s="323"/>
      <c r="E543" s="32"/>
      <c r="F543" s="32"/>
      <c r="G543" s="32"/>
      <c r="H543" s="487"/>
      <c r="I543" s="32"/>
      <c r="J543" s="32"/>
      <c r="K543" s="32"/>
      <c r="L543" s="487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x14ac:dyDescent="0.2">
      <c r="A544" s="475"/>
      <c r="B544" s="32"/>
      <c r="C544" s="32"/>
      <c r="D544" s="323"/>
      <c r="E544" s="32"/>
      <c r="F544" s="32"/>
      <c r="G544" s="32"/>
      <c r="H544" s="487"/>
      <c r="I544" s="32"/>
      <c r="J544" s="32"/>
      <c r="K544" s="32"/>
      <c r="L544" s="487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x14ac:dyDescent="0.2">
      <c r="A545" s="475"/>
      <c r="B545" s="32"/>
      <c r="C545" s="32"/>
      <c r="D545" s="323"/>
      <c r="E545" s="32"/>
      <c r="F545" s="32"/>
      <c r="G545" s="32"/>
      <c r="H545" s="487"/>
      <c r="I545" s="32"/>
      <c r="J545" s="32"/>
      <c r="K545" s="32"/>
      <c r="L545" s="487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x14ac:dyDescent="0.2">
      <c r="A546" s="475"/>
      <c r="B546" s="32"/>
      <c r="C546" s="32"/>
      <c r="D546" s="323"/>
      <c r="E546" s="32"/>
      <c r="F546" s="32"/>
      <c r="G546" s="32"/>
      <c r="H546" s="487"/>
      <c r="I546" s="32"/>
      <c r="J546" s="32"/>
      <c r="K546" s="32"/>
      <c r="L546" s="487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x14ac:dyDescent="0.2">
      <c r="A547" s="475"/>
      <c r="B547" s="32"/>
      <c r="C547" s="32"/>
      <c r="D547" s="323"/>
      <c r="E547" s="32"/>
      <c r="F547" s="32"/>
      <c r="G547" s="32"/>
      <c r="H547" s="487"/>
      <c r="I547" s="32"/>
      <c r="J547" s="32"/>
      <c r="K547" s="32"/>
      <c r="L547" s="487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x14ac:dyDescent="0.2">
      <c r="A548" s="475"/>
      <c r="B548" s="32"/>
      <c r="C548" s="32"/>
      <c r="D548" s="323"/>
      <c r="E548" s="32"/>
      <c r="F548" s="32"/>
      <c r="G548" s="32"/>
      <c r="H548" s="487"/>
      <c r="I548" s="32"/>
      <c r="J548" s="32"/>
      <c r="K548" s="32"/>
      <c r="L548" s="487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x14ac:dyDescent="0.2">
      <c r="A549" s="475"/>
      <c r="B549" s="32"/>
      <c r="C549" s="32"/>
      <c r="D549" s="323"/>
      <c r="E549" s="32"/>
      <c r="F549" s="32"/>
      <c r="G549" s="32"/>
      <c r="H549" s="487"/>
      <c r="I549" s="32"/>
      <c r="J549" s="32"/>
      <c r="K549" s="32"/>
      <c r="L549" s="487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x14ac:dyDescent="0.2">
      <c r="A550" s="475"/>
      <c r="B550" s="32"/>
      <c r="C550" s="32"/>
      <c r="D550" s="323"/>
      <c r="E550" s="32"/>
      <c r="F550" s="32"/>
      <c r="G550" s="32"/>
      <c r="H550" s="487"/>
      <c r="I550" s="32"/>
      <c r="J550" s="32"/>
      <c r="K550" s="32"/>
      <c r="L550" s="487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x14ac:dyDescent="0.2">
      <c r="A551" s="475"/>
      <c r="B551" s="32"/>
      <c r="C551" s="32"/>
      <c r="D551" s="323"/>
      <c r="E551" s="32"/>
      <c r="F551" s="32"/>
      <c r="G551" s="32"/>
      <c r="H551" s="487"/>
      <c r="I551" s="32"/>
      <c r="J551" s="32"/>
      <c r="K551" s="32"/>
      <c r="L551" s="487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x14ac:dyDescent="0.2">
      <c r="A552" s="475"/>
      <c r="B552" s="32"/>
      <c r="C552" s="32"/>
      <c r="D552" s="323"/>
      <c r="E552" s="32"/>
      <c r="F552" s="32"/>
      <c r="G552" s="32"/>
      <c r="H552" s="487"/>
      <c r="I552" s="32"/>
      <c r="J552" s="32"/>
      <c r="K552" s="32"/>
      <c r="L552" s="487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x14ac:dyDescent="0.2">
      <c r="A553" s="475"/>
      <c r="B553" s="32"/>
      <c r="C553" s="32"/>
      <c r="D553" s="323"/>
      <c r="E553" s="32"/>
      <c r="F553" s="32"/>
      <c r="G553" s="32"/>
      <c r="H553" s="487"/>
      <c r="I553" s="32"/>
      <c r="J553" s="32"/>
      <c r="K553" s="32"/>
      <c r="L553" s="487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x14ac:dyDescent="0.2">
      <c r="A554" s="475"/>
      <c r="B554" s="32"/>
      <c r="C554" s="32"/>
      <c r="D554" s="323"/>
      <c r="E554" s="32"/>
      <c r="F554" s="32"/>
      <c r="G554" s="32"/>
      <c r="H554" s="487"/>
      <c r="I554" s="32"/>
      <c r="J554" s="32"/>
      <c r="K554" s="32"/>
      <c r="L554" s="487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x14ac:dyDescent="0.2">
      <c r="A555" s="475"/>
      <c r="B555" s="32"/>
      <c r="C555" s="32"/>
      <c r="D555" s="323"/>
      <c r="E555" s="32"/>
      <c r="F555" s="32"/>
      <c r="G555" s="32"/>
      <c r="H555" s="487"/>
      <c r="I555" s="32"/>
      <c r="J555" s="32"/>
      <c r="K555" s="32"/>
      <c r="L555" s="487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x14ac:dyDescent="0.2">
      <c r="A556" s="475"/>
      <c r="B556" s="32"/>
      <c r="C556" s="32"/>
      <c r="D556" s="323"/>
      <c r="E556" s="32"/>
      <c r="F556" s="32"/>
      <c r="G556" s="32"/>
      <c r="H556" s="487"/>
      <c r="I556" s="32"/>
      <c r="J556" s="32"/>
      <c r="K556" s="32"/>
      <c r="L556" s="487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x14ac:dyDescent="0.2">
      <c r="A557" s="475"/>
      <c r="B557" s="32"/>
      <c r="C557" s="32"/>
      <c r="D557" s="323"/>
      <c r="E557" s="32"/>
      <c r="F557" s="32"/>
      <c r="G557" s="32"/>
      <c r="H557" s="487"/>
      <c r="I557" s="32"/>
      <c r="J557" s="32"/>
      <c r="K557" s="32"/>
      <c r="L557" s="487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x14ac:dyDescent="0.2">
      <c r="A558" s="475"/>
      <c r="B558" s="32"/>
      <c r="C558" s="32"/>
      <c r="D558" s="323"/>
      <c r="E558" s="32"/>
      <c r="F558" s="32"/>
      <c r="G558" s="32"/>
      <c r="H558" s="487"/>
      <c r="I558" s="32"/>
      <c r="J558" s="32"/>
      <c r="K558" s="32"/>
      <c r="L558" s="487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x14ac:dyDescent="0.2">
      <c r="A559" s="475"/>
      <c r="B559" s="32"/>
      <c r="C559" s="32"/>
      <c r="D559" s="323"/>
      <c r="E559" s="32"/>
      <c r="F559" s="32"/>
      <c r="G559" s="32"/>
      <c r="H559" s="487"/>
      <c r="I559" s="32"/>
      <c r="J559" s="32"/>
      <c r="K559" s="32"/>
      <c r="L559" s="487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x14ac:dyDescent="0.2">
      <c r="A560" s="475"/>
      <c r="B560" s="32"/>
      <c r="C560" s="32"/>
      <c r="D560" s="323"/>
      <c r="E560" s="32"/>
      <c r="F560" s="32"/>
      <c r="G560" s="32"/>
      <c r="H560" s="487"/>
      <c r="I560" s="32"/>
      <c r="J560" s="32"/>
      <c r="K560" s="32"/>
      <c r="L560" s="487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x14ac:dyDescent="0.2">
      <c r="A561" s="475"/>
      <c r="B561" s="32"/>
      <c r="C561" s="32"/>
      <c r="D561" s="323"/>
      <c r="E561" s="32"/>
      <c r="F561" s="32"/>
      <c r="G561" s="32"/>
      <c r="H561" s="487"/>
      <c r="I561" s="32"/>
      <c r="J561" s="32"/>
      <c r="K561" s="32"/>
      <c r="L561" s="487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x14ac:dyDescent="0.2">
      <c r="A562" s="475"/>
      <c r="B562" s="32"/>
      <c r="C562" s="32"/>
      <c r="D562" s="323"/>
      <c r="E562" s="32"/>
      <c r="F562" s="32"/>
      <c r="G562" s="32"/>
      <c r="H562" s="487"/>
      <c r="I562" s="32"/>
      <c r="J562" s="32"/>
      <c r="K562" s="32"/>
      <c r="L562" s="487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x14ac:dyDescent="0.2">
      <c r="A563" s="475"/>
      <c r="B563" s="32"/>
      <c r="C563" s="32"/>
      <c r="D563" s="323"/>
      <c r="E563" s="32"/>
      <c r="F563" s="32"/>
      <c r="G563" s="32"/>
      <c r="H563" s="487"/>
      <c r="I563" s="32"/>
      <c r="J563" s="32"/>
      <c r="K563" s="32"/>
      <c r="L563" s="487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x14ac:dyDescent="0.2">
      <c r="A564" s="475"/>
      <c r="B564" s="32"/>
      <c r="C564" s="32"/>
      <c r="D564" s="323"/>
      <c r="E564" s="32"/>
      <c r="F564" s="32"/>
      <c r="G564" s="32"/>
      <c r="H564" s="487"/>
      <c r="I564" s="32"/>
      <c r="J564" s="32"/>
      <c r="K564" s="32"/>
      <c r="L564" s="487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x14ac:dyDescent="0.2">
      <c r="A565" s="475"/>
      <c r="B565" s="32"/>
      <c r="C565" s="32"/>
      <c r="D565" s="323"/>
      <c r="E565" s="32"/>
      <c r="F565" s="32"/>
      <c r="G565" s="32"/>
      <c r="H565" s="487"/>
      <c r="I565" s="32"/>
      <c r="J565" s="32"/>
      <c r="K565" s="32"/>
      <c r="L565" s="487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x14ac:dyDescent="0.2">
      <c r="A566" s="475"/>
      <c r="B566" s="32"/>
      <c r="C566" s="32"/>
      <c r="D566" s="323"/>
      <c r="E566" s="32"/>
      <c r="F566" s="32"/>
      <c r="G566" s="32"/>
      <c r="H566" s="487"/>
      <c r="I566" s="32"/>
      <c r="J566" s="32"/>
      <c r="K566" s="32"/>
      <c r="L566" s="487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x14ac:dyDescent="0.2">
      <c r="A567" s="475"/>
      <c r="B567" s="32"/>
      <c r="C567" s="32"/>
      <c r="D567" s="323"/>
      <c r="E567" s="32"/>
      <c r="F567" s="32"/>
      <c r="G567" s="32"/>
      <c r="H567" s="487"/>
      <c r="I567" s="32"/>
      <c r="J567" s="32"/>
      <c r="K567" s="32"/>
      <c r="L567" s="487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x14ac:dyDescent="0.2">
      <c r="A568" s="475"/>
      <c r="B568" s="32"/>
      <c r="C568" s="32"/>
      <c r="D568" s="323"/>
      <c r="E568" s="32"/>
      <c r="F568" s="32"/>
      <c r="G568" s="32"/>
      <c r="H568" s="487"/>
      <c r="I568" s="32"/>
      <c r="J568" s="32"/>
      <c r="K568" s="32"/>
      <c r="L568" s="487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x14ac:dyDescent="0.2">
      <c r="A569" s="475"/>
      <c r="B569" s="32"/>
      <c r="C569" s="32"/>
      <c r="D569" s="323"/>
      <c r="E569" s="32"/>
      <c r="F569" s="32"/>
      <c r="G569" s="32"/>
      <c r="H569" s="487"/>
      <c r="I569" s="32"/>
      <c r="J569" s="32"/>
      <c r="K569" s="32"/>
      <c r="L569" s="487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x14ac:dyDescent="0.2">
      <c r="A570" s="475"/>
      <c r="B570" s="32"/>
      <c r="C570" s="32"/>
      <c r="D570" s="323"/>
      <c r="E570" s="32"/>
      <c r="F570" s="32"/>
      <c r="G570" s="32"/>
      <c r="H570" s="487"/>
      <c r="I570" s="32"/>
      <c r="J570" s="32"/>
      <c r="K570" s="32"/>
      <c r="L570" s="487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x14ac:dyDescent="0.2">
      <c r="A571" s="475"/>
      <c r="B571" s="32"/>
      <c r="C571" s="32"/>
      <c r="D571" s="323"/>
      <c r="E571" s="32"/>
      <c r="F571" s="32"/>
      <c r="G571" s="32"/>
      <c r="H571" s="487"/>
      <c r="I571" s="32"/>
      <c r="J571" s="32"/>
      <c r="K571" s="32"/>
      <c r="L571" s="487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x14ac:dyDescent="0.2">
      <c r="A572" s="475"/>
      <c r="B572" s="32"/>
      <c r="C572" s="32"/>
      <c r="D572" s="323"/>
      <c r="E572" s="32"/>
      <c r="F572" s="32"/>
      <c r="G572" s="32"/>
      <c r="H572" s="487"/>
      <c r="I572" s="32"/>
      <c r="J572" s="32"/>
      <c r="K572" s="32"/>
      <c r="L572" s="487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x14ac:dyDescent="0.2">
      <c r="A573" s="475"/>
      <c r="B573" s="32"/>
      <c r="C573" s="32"/>
      <c r="D573" s="323"/>
      <c r="E573" s="32"/>
      <c r="F573" s="32"/>
      <c r="G573" s="32"/>
      <c r="H573" s="487"/>
      <c r="I573" s="32"/>
      <c r="J573" s="32"/>
      <c r="K573" s="32"/>
      <c r="L573" s="487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x14ac:dyDescent="0.2">
      <c r="A574" s="475"/>
      <c r="B574" s="32"/>
      <c r="C574" s="32"/>
      <c r="D574" s="323"/>
      <c r="E574" s="32"/>
      <c r="F574" s="32"/>
      <c r="G574" s="32"/>
      <c r="H574" s="487"/>
      <c r="I574" s="32"/>
      <c r="J574" s="32"/>
      <c r="K574" s="32"/>
      <c r="L574" s="487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x14ac:dyDescent="0.2">
      <c r="A575" s="475"/>
      <c r="B575" s="32"/>
      <c r="C575" s="32"/>
      <c r="D575" s="323"/>
      <c r="E575" s="32"/>
      <c r="F575" s="32"/>
      <c r="G575" s="32"/>
      <c r="H575" s="487"/>
      <c r="I575" s="32"/>
      <c r="J575" s="32"/>
      <c r="K575" s="32"/>
      <c r="L575" s="487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x14ac:dyDescent="0.2">
      <c r="A576" s="475"/>
      <c r="B576" s="32"/>
      <c r="C576" s="32"/>
      <c r="D576" s="323"/>
      <c r="E576" s="32"/>
      <c r="F576" s="32"/>
      <c r="G576" s="32"/>
      <c r="H576" s="487"/>
      <c r="I576" s="32"/>
      <c r="J576" s="32"/>
      <c r="K576" s="32"/>
      <c r="L576" s="487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x14ac:dyDescent="0.2">
      <c r="A577" s="475"/>
      <c r="B577" s="32"/>
      <c r="C577" s="32"/>
      <c r="D577" s="323"/>
      <c r="E577" s="32"/>
      <c r="F577" s="32"/>
      <c r="G577" s="32"/>
      <c r="H577" s="487"/>
      <c r="I577" s="32"/>
      <c r="J577" s="32"/>
      <c r="K577" s="32"/>
      <c r="L577" s="487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x14ac:dyDescent="0.2">
      <c r="A578" s="475"/>
      <c r="B578" s="32"/>
      <c r="C578" s="32"/>
      <c r="D578" s="323"/>
      <c r="E578" s="32"/>
      <c r="F578" s="32"/>
      <c r="G578" s="32"/>
      <c r="H578" s="487"/>
      <c r="I578" s="32"/>
      <c r="J578" s="32"/>
      <c r="K578" s="32"/>
      <c r="L578" s="487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x14ac:dyDescent="0.2">
      <c r="A579" s="475"/>
      <c r="B579" s="32"/>
      <c r="C579" s="32"/>
      <c r="D579" s="323"/>
      <c r="E579" s="32"/>
      <c r="F579" s="32"/>
      <c r="G579" s="32"/>
      <c r="H579" s="487"/>
      <c r="I579" s="32"/>
      <c r="J579" s="32"/>
      <c r="K579" s="32"/>
      <c r="L579" s="487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x14ac:dyDescent="0.2">
      <c r="A580" s="475"/>
      <c r="B580" s="32"/>
      <c r="C580" s="32"/>
      <c r="D580" s="323"/>
      <c r="E580" s="32"/>
      <c r="F580" s="32"/>
      <c r="G580" s="32"/>
      <c r="H580" s="487"/>
      <c r="I580" s="32"/>
      <c r="J580" s="32"/>
      <c r="K580" s="32"/>
      <c r="L580" s="487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x14ac:dyDescent="0.2">
      <c r="A581" s="475"/>
      <c r="B581" s="32"/>
      <c r="C581" s="32"/>
      <c r="D581" s="323"/>
      <c r="E581" s="32"/>
      <c r="F581" s="32"/>
      <c r="G581" s="32"/>
      <c r="H581" s="487"/>
      <c r="I581" s="32"/>
      <c r="J581" s="32"/>
      <c r="K581" s="32"/>
      <c r="L581" s="487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x14ac:dyDescent="0.2">
      <c r="A582" s="475"/>
      <c r="B582" s="32"/>
      <c r="C582" s="32"/>
      <c r="D582" s="323"/>
      <c r="E582" s="32"/>
      <c r="F582" s="32"/>
      <c r="G582" s="32"/>
      <c r="H582" s="487"/>
      <c r="I582" s="32"/>
      <c r="J582" s="32"/>
      <c r="K582" s="32"/>
      <c r="L582" s="487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x14ac:dyDescent="0.2">
      <c r="A583" s="475"/>
      <c r="B583" s="32"/>
      <c r="C583" s="32"/>
      <c r="D583" s="323"/>
      <c r="E583" s="32"/>
      <c r="F583" s="32"/>
      <c r="G583" s="32"/>
      <c r="H583" s="487"/>
      <c r="I583" s="32"/>
      <c r="J583" s="32"/>
      <c r="K583" s="32"/>
      <c r="L583" s="487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x14ac:dyDescent="0.2">
      <c r="A584" s="475"/>
      <c r="B584" s="32"/>
      <c r="C584" s="32"/>
      <c r="D584" s="323"/>
      <c r="E584" s="32"/>
      <c r="F584" s="32"/>
      <c r="G584" s="32"/>
      <c r="H584" s="487"/>
      <c r="I584" s="32"/>
      <c r="J584" s="32"/>
      <c r="K584" s="32"/>
      <c r="L584" s="487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x14ac:dyDescent="0.2">
      <c r="A585" s="475"/>
      <c r="B585" s="32"/>
      <c r="C585" s="32"/>
      <c r="D585" s="323"/>
      <c r="E585" s="32"/>
      <c r="F585" s="32"/>
      <c r="G585" s="32"/>
      <c r="H585" s="487"/>
      <c r="I585" s="32"/>
      <c r="J585" s="32"/>
      <c r="K585" s="32"/>
      <c r="L585" s="487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x14ac:dyDescent="0.2">
      <c r="A586" s="475"/>
      <c r="B586" s="32"/>
      <c r="C586" s="32"/>
      <c r="D586" s="323"/>
      <c r="E586" s="32"/>
      <c r="F586" s="32"/>
      <c r="G586" s="32"/>
      <c r="H586" s="487"/>
      <c r="I586" s="32"/>
      <c r="J586" s="32"/>
      <c r="K586" s="32"/>
      <c r="L586" s="487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x14ac:dyDescent="0.2">
      <c r="A587" s="475"/>
      <c r="B587" s="32"/>
      <c r="C587" s="32"/>
      <c r="D587" s="323"/>
      <c r="E587" s="32"/>
      <c r="F587" s="32"/>
      <c r="G587" s="32"/>
      <c r="H587" s="487"/>
      <c r="I587" s="32"/>
      <c r="J587" s="32"/>
      <c r="K587" s="32"/>
      <c r="L587" s="487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x14ac:dyDescent="0.2">
      <c r="A588" s="475"/>
      <c r="B588" s="32"/>
      <c r="C588" s="32"/>
      <c r="D588" s="323"/>
      <c r="E588" s="32"/>
      <c r="F588" s="32"/>
      <c r="G588" s="32"/>
      <c r="H588" s="487"/>
      <c r="I588" s="32"/>
      <c r="J588" s="32"/>
      <c r="K588" s="32"/>
      <c r="L588" s="487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x14ac:dyDescent="0.2">
      <c r="A589" s="475"/>
      <c r="B589" s="32"/>
      <c r="C589" s="32"/>
      <c r="D589" s="323"/>
      <c r="E589" s="32"/>
      <c r="F589" s="32"/>
      <c r="G589" s="32"/>
      <c r="H589" s="487"/>
      <c r="I589" s="32"/>
      <c r="J589" s="32"/>
      <c r="K589" s="32"/>
      <c r="L589" s="487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x14ac:dyDescent="0.2">
      <c r="A590" s="475"/>
      <c r="B590" s="32"/>
      <c r="C590" s="32"/>
      <c r="D590" s="323"/>
      <c r="E590" s="32"/>
      <c r="F590" s="32"/>
      <c r="G590" s="32"/>
      <c r="H590" s="487"/>
      <c r="I590" s="32"/>
      <c r="J590" s="32"/>
      <c r="K590" s="32"/>
      <c r="L590" s="487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x14ac:dyDescent="0.2">
      <c r="A591" s="475"/>
      <c r="B591" s="32"/>
      <c r="C591" s="32"/>
      <c r="D591" s="323"/>
      <c r="E591" s="32"/>
      <c r="F591" s="32"/>
      <c r="G591" s="32"/>
      <c r="H591" s="487"/>
      <c r="I591" s="32"/>
      <c r="J591" s="32"/>
      <c r="K591" s="32"/>
      <c r="L591" s="487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x14ac:dyDescent="0.2">
      <c r="A592" s="475"/>
      <c r="B592" s="32"/>
      <c r="C592" s="32"/>
      <c r="D592" s="323"/>
      <c r="E592" s="32"/>
      <c r="F592" s="32"/>
      <c r="G592" s="32"/>
      <c r="H592" s="487"/>
      <c r="I592" s="32"/>
      <c r="J592" s="32"/>
      <c r="K592" s="32"/>
      <c r="L592" s="487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x14ac:dyDescent="0.2">
      <c r="A593" s="475"/>
      <c r="B593" s="32"/>
      <c r="C593" s="32"/>
      <c r="D593" s="323"/>
      <c r="E593" s="32"/>
      <c r="F593" s="32"/>
      <c r="G593" s="32"/>
      <c r="H593" s="487"/>
      <c r="I593" s="32"/>
      <c r="J593" s="32"/>
      <c r="K593" s="32"/>
      <c r="L593" s="487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x14ac:dyDescent="0.2">
      <c r="A594" s="475"/>
      <c r="B594" s="32"/>
      <c r="C594" s="32"/>
      <c r="D594" s="323"/>
      <c r="E594" s="32"/>
      <c r="F594" s="32"/>
      <c r="G594" s="32"/>
      <c r="H594" s="487"/>
      <c r="I594" s="32"/>
      <c r="J594" s="32"/>
      <c r="K594" s="32"/>
      <c r="L594" s="487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x14ac:dyDescent="0.2">
      <c r="A595" s="475"/>
      <c r="B595" s="32"/>
      <c r="C595" s="32"/>
      <c r="D595" s="323"/>
      <c r="E595" s="32"/>
      <c r="F595" s="32"/>
      <c r="G595" s="32"/>
      <c r="H595" s="487"/>
      <c r="I595" s="32"/>
      <c r="J595" s="32"/>
      <c r="K595" s="32"/>
      <c r="L595" s="487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x14ac:dyDescent="0.2">
      <c r="A596" s="475"/>
      <c r="B596" s="32"/>
      <c r="C596" s="32"/>
      <c r="D596" s="323"/>
      <c r="E596" s="32"/>
      <c r="F596" s="32"/>
      <c r="G596" s="32"/>
      <c r="H596" s="487"/>
      <c r="I596" s="32"/>
      <c r="J596" s="32"/>
      <c r="K596" s="32"/>
      <c r="L596" s="487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x14ac:dyDescent="0.2">
      <c r="A597" s="475"/>
      <c r="B597" s="32"/>
      <c r="C597" s="32"/>
      <c r="D597" s="323"/>
      <c r="E597" s="32"/>
      <c r="F597" s="32"/>
      <c r="G597" s="32"/>
      <c r="H597" s="487"/>
      <c r="I597" s="32"/>
      <c r="J597" s="32"/>
      <c r="K597" s="32"/>
      <c r="L597" s="487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x14ac:dyDescent="0.2">
      <c r="A598" s="475"/>
      <c r="B598" s="32"/>
      <c r="C598" s="32"/>
      <c r="D598" s="323"/>
      <c r="E598" s="32"/>
      <c r="F598" s="32"/>
      <c r="G598" s="32"/>
      <c r="H598" s="487"/>
      <c r="I598" s="32"/>
      <c r="J598" s="32"/>
      <c r="K598" s="32"/>
      <c r="L598" s="487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x14ac:dyDescent="0.2">
      <c r="A599" s="475"/>
      <c r="B599" s="32"/>
      <c r="C599" s="32"/>
      <c r="D599" s="323"/>
      <c r="E599" s="32"/>
      <c r="F599" s="32"/>
      <c r="G599" s="32"/>
      <c r="H599" s="487"/>
      <c r="I599" s="32"/>
      <c r="J599" s="32"/>
      <c r="K599" s="32"/>
      <c r="L599" s="487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x14ac:dyDescent="0.2">
      <c r="A600" s="475"/>
      <c r="B600" s="32"/>
      <c r="C600" s="32"/>
      <c r="D600" s="323"/>
      <c r="E600" s="32"/>
      <c r="F600" s="32"/>
      <c r="G600" s="32"/>
      <c r="H600" s="487"/>
      <c r="I600" s="32"/>
      <c r="J600" s="32"/>
      <c r="K600" s="32"/>
      <c r="L600" s="487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x14ac:dyDescent="0.2">
      <c r="A601" s="475"/>
      <c r="B601" s="32"/>
      <c r="C601" s="32"/>
      <c r="D601" s="323"/>
      <c r="E601" s="32"/>
      <c r="F601" s="32"/>
      <c r="G601" s="32"/>
      <c r="H601" s="487"/>
      <c r="I601" s="32"/>
      <c r="J601" s="32"/>
      <c r="K601" s="32"/>
      <c r="L601" s="487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x14ac:dyDescent="0.2">
      <c r="A602" s="475"/>
      <c r="B602" s="32"/>
      <c r="C602" s="32"/>
      <c r="D602" s="323"/>
      <c r="E602" s="32"/>
      <c r="F602" s="32"/>
      <c r="G602" s="32"/>
      <c r="H602" s="487"/>
      <c r="I602" s="32"/>
      <c r="J602" s="32"/>
      <c r="K602" s="32"/>
      <c r="L602" s="487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x14ac:dyDescent="0.2">
      <c r="A603" s="475"/>
      <c r="B603" s="32"/>
      <c r="C603" s="32"/>
      <c r="D603" s="323"/>
      <c r="E603" s="32"/>
      <c r="F603" s="32"/>
      <c r="G603" s="32"/>
      <c r="H603" s="487"/>
      <c r="I603" s="32"/>
      <c r="J603" s="32"/>
      <c r="K603" s="32"/>
      <c r="L603" s="487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x14ac:dyDescent="0.2">
      <c r="A604" s="475"/>
      <c r="B604" s="32"/>
      <c r="C604" s="32"/>
      <c r="D604" s="323"/>
      <c r="E604" s="32"/>
      <c r="F604" s="32"/>
      <c r="G604" s="32"/>
      <c r="H604" s="487"/>
      <c r="I604" s="32"/>
      <c r="J604" s="32"/>
      <c r="K604" s="32"/>
      <c r="L604" s="487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x14ac:dyDescent="0.2">
      <c r="A605" s="475"/>
      <c r="B605" s="32"/>
      <c r="C605" s="32"/>
      <c r="D605" s="323"/>
      <c r="E605" s="32"/>
      <c r="F605" s="32"/>
      <c r="G605" s="32"/>
      <c r="H605" s="487"/>
      <c r="I605" s="32"/>
      <c r="J605" s="32"/>
      <c r="K605" s="32"/>
      <c r="L605" s="487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x14ac:dyDescent="0.2">
      <c r="A606" s="475"/>
      <c r="B606" s="32"/>
      <c r="C606" s="32"/>
      <c r="D606" s="323"/>
      <c r="E606" s="32"/>
      <c r="F606" s="32"/>
      <c r="G606" s="32"/>
      <c r="H606" s="487"/>
      <c r="I606" s="32"/>
      <c r="J606" s="32"/>
      <c r="K606" s="32"/>
      <c r="L606" s="487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x14ac:dyDescent="0.2">
      <c r="A607" s="475"/>
      <c r="B607" s="32"/>
      <c r="C607" s="32"/>
      <c r="D607" s="323"/>
      <c r="E607" s="32"/>
      <c r="F607" s="32"/>
      <c r="G607" s="32"/>
      <c r="H607" s="487"/>
      <c r="I607" s="32"/>
      <c r="J607" s="32"/>
      <c r="K607" s="32"/>
      <c r="L607" s="487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x14ac:dyDescent="0.2">
      <c r="A608" s="475"/>
      <c r="B608" s="32"/>
      <c r="C608" s="32"/>
      <c r="D608" s="323"/>
      <c r="E608" s="32"/>
      <c r="F608" s="32"/>
      <c r="G608" s="32"/>
      <c r="H608" s="487"/>
      <c r="I608" s="32"/>
      <c r="J608" s="32"/>
      <c r="K608" s="32"/>
      <c r="L608" s="487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x14ac:dyDescent="0.2">
      <c r="A609" s="475"/>
      <c r="B609" s="32"/>
      <c r="C609" s="32"/>
      <c r="D609" s="323"/>
      <c r="E609" s="32"/>
      <c r="F609" s="32"/>
      <c r="G609" s="32"/>
      <c r="H609" s="487"/>
      <c r="I609" s="32"/>
      <c r="J609" s="32"/>
      <c r="K609" s="32"/>
      <c r="L609" s="487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x14ac:dyDescent="0.2">
      <c r="A610" s="475"/>
      <c r="B610" s="32"/>
      <c r="C610" s="32"/>
      <c r="D610" s="323"/>
      <c r="E610" s="32"/>
      <c r="F610" s="32"/>
      <c r="G610" s="32"/>
      <c r="H610" s="487"/>
      <c r="I610" s="32"/>
      <c r="J610" s="32"/>
      <c r="K610" s="32"/>
      <c r="L610" s="487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x14ac:dyDescent="0.2">
      <c r="A611" s="475"/>
      <c r="B611" s="32"/>
      <c r="C611" s="32"/>
      <c r="D611" s="323"/>
      <c r="E611" s="32"/>
      <c r="F611" s="32"/>
      <c r="G611" s="32"/>
      <c r="H611" s="487"/>
      <c r="I611" s="32"/>
      <c r="J611" s="32"/>
      <c r="K611" s="32"/>
      <c r="L611" s="487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x14ac:dyDescent="0.2">
      <c r="A612" s="475"/>
      <c r="B612" s="32"/>
      <c r="C612" s="32"/>
      <c r="D612" s="323"/>
      <c r="E612" s="32"/>
      <c r="F612" s="32"/>
      <c r="G612" s="32"/>
      <c r="H612" s="487"/>
      <c r="I612" s="32"/>
      <c r="J612" s="32"/>
      <c r="K612" s="32"/>
      <c r="L612" s="487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x14ac:dyDescent="0.2">
      <c r="A613" s="475"/>
      <c r="B613" s="32"/>
      <c r="C613" s="32"/>
      <c r="D613" s="323"/>
      <c r="E613" s="32"/>
      <c r="F613" s="32"/>
      <c r="G613" s="32"/>
      <c r="H613" s="487"/>
      <c r="I613" s="32"/>
      <c r="J613" s="32"/>
      <c r="K613" s="32"/>
      <c r="L613" s="487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x14ac:dyDescent="0.2">
      <c r="A614" s="475"/>
      <c r="B614" s="32"/>
      <c r="C614" s="32"/>
      <c r="D614" s="323"/>
      <c r="E614" s="32"/>
      <c r="F614" s="32"/>
      <c r="G614" s="32"/>
      <c r="H614" s="487"/>
      <c r="I614" s="32"/>
      <c r="J614" s="32"/>
      <c r="K614" s="32"/>
      <c r="L614" s="487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x14ac:dyDescent="0.2">
      <c r="A615" s="475"/>
      <c r="B615" s="32"/>
      <c r="C615" s="32"/>
      <c r="D615" s="323"/>
      <c r="E615" s="32"/>
      <c r="F615" s="32"/>
      <c r="G615" s="32"/>
      <c r="H615" s="487"/>
      <c r="I615" s="32"/>
      <c r="J615" s="32"/>
      <c r="K615" s="32"/>
      <c r="L615" s="487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x14ac:dyDescent="0.2">
      <c r="A616" s="475"/>
      <c r="B616" s="32"/>
      <c r="C616" s="32"/>
      <c r="D616" s="323"/>
      <c r="E616" s="32"/>
      <c r="F616" s="32"/>
      <c r="G616" s="32"/>
      <c r="H616" s="487"/>
      <c r="I616" s="32"/>
      <c r="J616" s="32"/>
      <c r="K616" s="32"/>
      <c r="L616" s="487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x14ac:dyDescent="0.2">
      <c r="A617" s="475"/>
      <c r="B617" s="32"/>
      <c r="C617" s="32"/>
      <c r="D617" s="323"/>
      <c r="E617" s="32"/>
      <c r="F617" s="32"/>
      <c r="G617" s="32"/>
      <c r="H617" s="487"/>
      <c r="I617" s="32"/>
      <c r="J617" s="32"/>
      <c r="K617" s="32"/>
      <c r="L617" s="487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x14ac:dyDescent="0.2">
      <c r="A618" s="475"/>
      <c r="B618" s="32"/>
      <c r="C618" s="32"/>
      <c r="D618" s="323"/>
      <c r="E618" s="32"/>
      <c r="F618" s="32"/>
      <c r="G618" s="32"/>
      <c r="H618" s="487"/>
      <c r="I618" s="32"/>
      <c r="J618" s="32"/>
      <c r="K618" s="32"/>
      <c r="L618" s="487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x14ac:dyDescent="0.2">
      <c r="A619" s="475"/>
      <c r="B619" s="32"/>
      <c r="C619" s="32"/>
      <c r="D619" s="323"/>
      <c r="E619" s="32"/>
      <c r="F619" s="32"/>
      <c r="G619" s="32"/>
      <c r="H619" s="487"/>
      <c r="I619" s="32"/>
      <c r="J619" s="32"/>
      <c r="K619" s="32"/>
      <c r="L619" s="487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x14ac:dyDescent="0.2">
      <c r="A620" s="475"/>
      <c r="B620" s="32"/>
      <c r="C620" s="32"/>
      <c r="D620" s="323"/>
      <c r="E620" s="32"/>
      <c r="F620" s="32"/>
      <c r="G620" s="32"/>
      <c r="H620" s="487"/>
      <c r="I620" s="32"/>
      <c r="J620" s="32"/>
      <c r="K620" s="32"/>
      <c r="L620" s="487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x14ac:dyDescent="0.2">
      <c r="A621" s="475"/>
      <c r="B621" s="32"/>
      <c r="C621" s="32"/>
      <c r="D621" s="323"/>
      <c r="E621" s="32"/>
      <c r="F621" s="32"/>
      <c r="G621" s="32"/>
      <c r="H621" s="487"/>
      <c r="I621" s="32"/>
      <c r="J621" s="32"/>
      <c r="K621" s="32"/>
      <c r="L621" s="487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x14ac:dyDescent="0.2">
      <c r="A622" s="475"/>
      <c r="B622" s="32"/>
      <c r="C622" s="32"/>
      <c r="D622" s="323"/>
      <c r="E622" s="32"/>
      <c r="F622" s="32"/>
      <c r="G622" s="32"/>
      <c r="H622" s="487"/>
      <c r="I622" s="32"/>
      <c r="J622" s="32"/>
      <c r="K622" s="32"/>
      <c r="L622" s="487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x14ac:dyDescent="0.2">
      <c r="A623" s="475"/>
      <c r="B623" s="32"/>
      <c r="C623" s="32"/>
      <c r="D623" s="323"/>
      <c r="E623" s="32"/>
      <c r="F623" s="32"/>
      <c r="G623" s="32"/>
      <c r="H623" s="487"/>
      <c r="I623" s="32"/>
      <c r="J623" s="32"/>
      <c r="K623" s="32"/>
      <c r="L623" s="487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x14ac:dyDescent="0.2">
      <c r="A624" s="475"/>
      <c r="B624" s="32"/>
      <c r="C624" s="32"/>
      <c r="D624" s="323"/>
      <c r="E624" s="32"/>
      <c r="F624" s="32"/>
      <c r="G624" s="32"/>
      <c r="H624" s="487"/>
      <c r="I624" s="32"/>
      <c r="J624" s="32"/>
      <c r="K624" s="32"/>
      <c r="L624" s="487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x14ac:dyDescent="0.2">
      <c r="A625" s="475"/>
      <c r="B625" s="32"/>
      <c r="C625" s="32"/>
      <c r="D625" s="323"/>
      <c r="E625" s="32"/>
      <c r="F625" s="32"/>
      <c r="G625" s="32"/>
      <c r="H625" s="487"/>
      <c r="I625" s="32"/>
      <c r="J625" s="32"/>
      <c r="K625" s="32"/>
      <c r="L625" s="487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x14ac:dyDescent="0.2">
      <c r="A626" s="475"/>
      <c r="B626" s="32"/>
      <c r="C626" s="32"/>
      <c r="D626" s="323"/>
      <c r="E626" s="32"/>
      <c r="F626" s="32"/>
      <c r="G626" s="32"/>
      <c r="H626" s="487"/>
      <c r="I626" s="32"/>
      <c r="J626" s="32"/>
      <c r="K626" s="32"/>
      <c r="L626" s="487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x14ac:dyDescent="0.2">
      <c r="A627" s="475"/>
      <c r="B627" s="32"/>
      <c r="C627" s="32"/>
      <c r="D627" s="323"/>
      <c r="E627" s="32"/>
      <c r="F627" s="32"/>
      <c r="G627" s="32"/>
      <c r="H627" s="487"/>
      <c r="I627" s="32"/>
      <c r="J627" s="32"/>
      <c r="K627" s="32"/>
      <c r="L627" s="487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x14ac:dyDescent="0.2">
      <c r="A628" s="475"/>
      <c r="B628" s="32"/>
      <c r="C628" s="32"/>
      <c r="D628" s="323"/>
      <c r="E628" s="32"/>
      <c r="F628" s="32"/>
      <c r="G628" s="32"/>
      <c r="H628" s="487"/>
      <c r="I628" s="32"/>
      <c r="J628" s="32"/>
      <c r="K628" s="32"/>
      <c r="L628" s="487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x14ac:dyDescent="0.2">
      <c r="A629" s="475"/>
      <c r="B629" s="32"/>
      <c r="C629" s="32"/>
      <c r="D629" s="323"/>
      <c r="E629" s="32"/>
      <c r="F629" s="32"/>
      <c r="G629" s="32"/>
      <c r="H629" s="487"/>
      <c r="I629" s="32"/>
      <c r="J629" s="32"/>
      <c r="K629" s="32"/>
      <c r="L629" s="487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x14ac:dyDescent="0.2">
      <c r="A630" s="475"/>
      <c r="B630" s="32"/>
      <c r="C630" s="32"/>
      <c r="D630" s="323"/>
      <c r="E630" s="32"/>
      <c r="F630" s="32"/>
      <c r="G630" s="32"/>
      <c r="H630" s="487"/>
      <c r="I630" s="32"/>
      <c r="J630" s="32"/>
      <c r="K630" s="32"/>
      <c r="L630" s="487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x14ac:dyDescent="0.2">
      <c r="A631" s="475"/>
      <c r="B631" s="32"/>
      <c r="C631" s="32"/>
      <c r="D631" s="323"/>
      <c r="E631" s="32"/>
      <c r="F631" s="32"/>
      <c r="G631" s="32"/>
      <c r="H631" s="487"/>
      <c r="I631" s="32"/>
      <c r="J631" s="32"/>
      <c r="K631" s="32"/>
      <c r="L631" s="487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x14ac:dyDescent="0.2">
      <c r="A632" s="475"/>
      <c r="B632" s="32"/>
      <c r="C632" s="32"/>
      <c r="D632" s="323"/>
      <c r="E632" s="32"/>
      <c r="F632" s="32"/>
      <c r="G632" s="32"/>
      <c r="H632" s="487"/>
      <c r="I632" s="32"/>
      <c r="J632" s="32"/>
      <c r="K632" s="32"/>
      <c r="L632" s="487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x14ac:dyDescent="0.2">
      <c r="A633" s="475"/>
      <c r="B633" s="32"/>
      <c r="C633" s="32"/>
      <c r="D633" s="323"/>
      <c r="E633" s="32"/>
      <c r="F633" s="32"/>
      <c r="G633" s="32"/>
      <c r="H633" s="487"/>
      <c r="I633" s="32"/>
      <c r="J633" s="32"/>
      <c r="K633" s="32"/>
      <c r="L633" s="487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x14ac:dyDescent="0.2">
      <c r="A634" s="475"/>
      <c r="B634" s="32"/>
      <c r="C634" s="32"/>
      <c r="D634" s="323"/>
      <c r="E634" s="32"/>
      <c r="F634" s="32"/>
      <c r="G634" s="32"/>
      <c r="H634" s="487"/>
      <c r="I634" s="32"/>
      <c r="J634" s="32"/>
      <c r="K634" s="32"/>
      <c r="L634" s="487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x14ac:dyDescent="0.2">
      <c r="A635" s="475"/>
      <c r="B635" s="32"/>
      <c r="C635" s="32"/>
      <c r="D635" s="323"/>
      <c r="E635" s="32"/>
      <c r="F635" s="32"/>
      <c r="G635" s="32"/>
      <c r="H635" s="487"/>
      <c r="I635" s="32"/>
      <c r="J635" s="32"/>
      <c r="K635" s="32"/>
      <c r="L635" s="487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x14ac:dyDescent="0.2">
      <c r="A636" s="475"/>
      <c r="B636" s="32"/>
      <c r="C636" s="32"/>
      <c r="D636" s="323"/>
      <c r="E636" s="32"/>
      <c r="F636" s="32"/>
      <c r="G636" s="32"/>
      <c r="H636" s="487"/>
      <c r="I636" s="32"/>
      <c r="J636" s="32"/>
      <c r="K636" s="32"/>
      <c r="L636" s="487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x14ac:dyDescent="0.2">
      <c r="A637" s="475"/>
      <c r="B637" s="32"/>
      <c r="C637" s="32"/>
      <c r="D637" s="323"/>
      <c r="E637" s="32"/>
      <c r="F637" s="32"/>
      <c r="G637" s="32"/>
      <c r="H637" s="487"/>
      <c r="I637" s="32"/>
      <c r="J637" s="32"/>
      <c r="K637" s="32"/>
      <c r="L637" s="487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x14ac:dyDescent="0.2">
      <c r="A638" s="475"/>
      <c r="B638" s="32"/>
      <c r="C638" s="32"/>
      <c r="D638" s="323"/>
      <c r="E638" s="32"/>
      <c r="F638" s="32"/>
      <c r="G638" s="32"/>
      <c r="H638" s="487"/>
      <c r="I638" s="32"/>
      <c r="J638" s="32"/>
      <c r="K638" s="32"/>
      <c r="L638" s="487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x14ac:dyDescent="0.2">
      <c r="A639" s="475"/>
      <c r="B639" s="32"/>
      <c r="C639" s="32"/>
      <c r="D639" s="323"/>
      <c r="E639" s="32"/>
      <c r="F639" s="32"/>
      <c r="G639" s="32"/>
      <c r="H639" s="487"/>
      <c r="I639" s="32"/>
      <c r="J639" s="32"/>
      <c r="K639" s="32"/>
      <c r="L639" s="487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x14ac:dyDescent="0.2">
      <c r="A640" s="475"/>
      <c r="B640" s="32"/>
      <c r="C640" s="32"/>
      <c r="D640" s="323"/>
      <c r="E640" s="32"/>
      <c r="F640" s="32"/>
      <c r="G640" s="32"/>
      <c r="H640" s="487"/>
      <c r="I640" s="32"/>
      <c r="J640" s="32"/>
      <c r="K640" s="32"/>
      <c r="L640" s="487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x14ac:dyDescent="0.2">
      <c r="A641" s="475"/>
      <c r="B641" s="32"/>
      <c r="C641" s="32"/>
      <c r="D641" s="323"/>
      <c r="E641" s="32"/>
      <c r="F641" s="32"/>
      <c r="G641" s="32"/>
      <c r="H641" s="487"/>
      <c r="I641" s="32"/>
      <c r="J641" s="32"/>
      <c r="K641" s="32"/>
      <c r="L641" s="487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x14ac:dyDescent="0.2">
      <c r="A642" s="475"/>
      <c r="B642" s="32"/>
      <c r="C642" s="32"/>
      <c r="D642" s="323"/>
      <c r="E642" s="32"/>
      <c r="F642" s="32"/>
      <c r="G642" s="32"/>
      <c r="H642" s="487"/>
      <c r="I642" s="32"/>
      <c r="J642" s="32"/>
      <c r="K642" s="32"/>
      <c r="L642" s="487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x14ac:dyDescent="0.2">
      <c r="A643" s="475"/>
      <c r="B643" s="32"/>
      <c r="C643" s="32"/>
      <c r="D643" s="323"/>
      <c r="E643" s="32"/>
      <c r="F643" s="32"/>
      <c r="G643" s="32"/>
      <c r="H643" s="487"/>
      <c r="I643" s="32"/>
      <c r="J643" s="32"/>
      <c r="K643" s="32"/>
      <c r="L643" s="487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x14ac:dyDescent="0.2">
      <c r="A644" s="475"/>
      <c r="B644" s="32"/>
      <c r="C644" s="32"/>
      <c r="D644" s="323"/>
      <c r="E644" s="32"/>
      <c r="F644" s="32"/>
      <c r="G644" s="32"/>
      <c r="H644" s="487"/>
      <c r="I644" s="32"/>
      <c r="J644" s="32"/>
      <c r="K644" s="32"/>
      <c r="L644" s="487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x14ac:dyDescent="0.2">
      <c r="A645" s="475"/>
      <c r="B645" s="32"/>
      <c r="C645" s="32"/>
      <c r="D645" s="323"/>
      <c r="E645" s="32"/>
      <c r="F645" s="32"/>
      <c r="G645" s="32"/>
      <c r="H645" s="487"/>
      <c r="I645" s="32"/>
      <c r="J645" s="32"/>
      <c r="K645" s="32"/>
      <c r="L645" s="487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x14ac:dyDescent="0.2">
      <c r="A646" s="475"/>
      <c r="B646" s="32"/>
      <c r="C646" s="32"/>
      <c r="D646" s="323"/>
      <c r="E646" s="32"/>
      <c r="F646" s="32"/>
      <c r="G646" s="32"/>
      <c r="H646" s="487"/>
      <c r="I646" s="32"/>
      <c r="J646" s="32"/>
      <c r="K646" s="32"/>
      <c r="L646" s="487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x14ac:dyDescent="0.2">
      <c r="A647" s="475"/>
      <c r="B647" s="32"/>
      <c r="C647" s="32"/>
      <c r="D647" s="323"/>
      <c r="E647" s="32"/>
      <c r="F647" s="32"/>
      <c r="G647" s="32"/>
      <c r="H647" s="487"/>
      <c r="I647" s="32"/>
      <c r="J647" s="32"/>
      <c r="K647" s="32"/>
      <c r="L647" s="487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x14ac:dyDescent="0.2">
      <c r="A648" s="475"/>
      <c r="B648" s="32"/>
      <c r="C648" s="32"/>
      <c r="D648" s="323"/>
      <c r="E648" s="32"/>
      <c r="F648" s="32"/>
      <c r="G648" s="32"/>
      <c r="H648" s="487"/>
      <c r="I648" s="32"/>
      <c r="J648" s="32"/>
      <c r="K648" s="32"/>
      <c r="L648" s="487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x14ac:dyDescent="0.2">
      <c r="A649" s="475"/>
      <c r="B649" s="32"/>
      <c r="C649" s="32"/>
      <c r="D649" s="323"/>
      <c r="E649" s="32"/>
      <c r="F649" s="32"/>
      <c r="G649" s="32"/>
      <c r="H649" s="487"/>
      <c r="I649" s="32"/>
      <c r="J649" s="32"/>
      <c r="K649" s="32"/>
      <c r="L649" s="487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x14ac:dyDescent="0.2">
      <c r="A650" s="475"/>
      <c r="B650" s="32"/>
      <c r="C650" s="32"/>
      <c r="D650" s="323"/>
      <c r="E650" s="32"/>
      <c r="F650" s="32"/>
      <c r="G650" s="32"/>
      <c r="H650" s="487"/>
      <c r="I650" s="32"/>
      <c r="J650" s="32"/>
      <c r="K650" s="32"/>
      <c r="L650" s="487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x14ac:dyDescent="0.2">
      <c r="A651" s="475"/>
      <c r="B651" s="32"/>
      <c r="C651" s="32"/>
      <c r="D651" s="323"/>
      <c r="E651" s="32"/>
      <c r="F651" s="32"/>
      <c r="G651" s="32"/>
      <c r="H651" s="487"/>
      <c r="I651" s="32"/>
      <c r="J651" s="32"/>
      <c r="K651" s="32"/>
      <c r="L651" s="487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x14ac:dyDescent="0.2">
      <c r="A652" s="475"/>
      <c r="B652" s="32"/>
      <c r="C652" s="32"/>
      <c r="D652" s="323"/>
      <c r="E652" s="32"/>
      <c r="F652" s="32"/>
      <c r="G652" s="32"/>
      <c r="H652" s="487"/>
      <c r="I652" s="32"/>
      <c r="J652" s="32"/>
      <c r="K652" s="32"/>
      <c r="L652" s="487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x14ac:dyDescent="0.2">
      <c r="A653" s="475"/>
      <c r="B653" s="32"/>
      <c r="C653" s="32"/>
      <c r="D653" s="323"/>
      <c r="E653" s="32"/>
      <c r="F653" s="32"/>
      <c r="G653" s="32"/>
      <c r="H653" s="487"/>
      <c r="I653" s="32"/>
      <c r="J653" s="32"/>
      <c r="K653" s="32"/>
      <c r="L653" s="487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x14ac:dyDescent="0.2">
      <c r="A654" s="475"/>
      <c r="B654" s="32"/>
      <c r="C654" s="32"/>
      <c r="D654" s="323"/>
      <c r="E654" s="32"/>
      <c r="F654" s="32"/>
      <c r="G654" s="32"/>
      <c r="H654" s="487"/>
      <c r="I654" s="32"/>
      <c r="J654" s="32"/>
      <c r="K654" s="32"/>
      <c r="L654" s="487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x14ac:dyDescent="0.2">
      <c r="A655" s="475"/>
      <c r="B655" s="32"/>
      <c r="C655" s="32"/>
      <c r="D655" s="323"/>
      <c r="E655" s="32"/>
      <c r="F655" s="32"/>
      <c r="G655" s="32"/>
      <c r="H655" s="487"/>
      <c r="I655" s="32"/>
      <c r="J655" s="32"/>
      <c r="K655" s="32"/>
      <c r="L655" s="487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x14ac:dyDescent="0.2">
      <c r="A656" s="475"/>
      <c r="B656" s="32"/>
      <c r="C656" s="32"/>
      <c r="D656" s="323"/>
      <c r="E656" s="32"/>
      <c r="F656" s="32"/>
      <c r="G656" s="32"/>
      <c r="H656" s="487"/>
      <c r="I656" s="32"/>
      <c r="J656" s="32"/>
      <c r="K656" s="32"/>
      <c r="L656" s="487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x14ac:dyDescent="0.2">
      <c r="A657" s="475"/>
      <c r="B657" s="32"/>
      <c r="C657" s="32"/>
      <c r="D657" s="323"/>
      <c r="E657" s="32"/>
      <c r="F657" s="32"/>
      <c r="G657" s="32"/>
      <c r="H657" s="487"/>
      <c r="I657" s="32"/>
      <c r="J657" s="32"/>
      <c r="K657" s="32"/>
      <c r="L657" s="487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x14ac:dyDescent="0.2">
      <c r="A658" s="475"/>
      <c r="B658" s="32"/>
      <c r="C658" s="32"/>
      <c r="D658" s="323"/>
      <c r="E658" s="32"/>
      <c r="F658" s="32"/>
      <c r="G658" s="32"/>
      <c r="H658" s="487"/>
      <c r="I658" s="32"/>
      <c r="J658" s="32"/>
      <c r="K658" s="32"/>
      <c r="L658" s="487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x14ac:dyDescent="0.2">
      <c r="A659" s="475"/>
      <c r="B659" s="32"/>
      <c r="C659" s="32"/>
      <c r="D659" s="323"/>
      <c r="E659" s="32"/>
      <c r="F659" s="32"/>
      <c r="G659" s="32"/>
      <c r="H659" s="487"/>
      <c r="I659" s="32"/>
      <c r="J659" s="32"/>
      <c r="K659" s="32"/>
      <c r="L659" s="487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x14ac:dyDescent="0.2">
      <c r="A660" s="475"/>
      <c r="B660" s="32"/>
      <c r="C660" s="32"/>
      <c r="D660" s="323"/>
      <c r="E660" s="32"/>
      <c r="F660" s="32"/>
      <c r="G660" s="32"/>
      <c r="H660" s="487"/>
      <c r="I660" s="32"/>
      <c r="J660" s="32"/>
      <c r="K660" s="32"/>
      <c r="L660" s="487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x14ac:dyDescent="0.2">
      <c r="A661" s="475"/>
      <c r="B661" s="32"/>
      <c r="C661" s="32"/>
      <c r="D661" s="323"/>
      <c r="E661" s="32"/>
      <c r="F661" s="32"/>
      <c r="G661" s="32"/>
      <c r="H661" s="487"/>
      <c r="I661" s="32"/>
      <c r="J661" s="32"/>
      <c r="K661" s="32"/>
      <c r="L661" s="487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x14ac:dyDescent="0.2">
      <c r="A662" s="475"/>
      <c r="B662" s="32"/>
      <c r="C662" s="32"/>
      <c r="D662" s="323"/>
      <c r="E662" s="32"/>
      <c r="F662" s="32"/>
      <c r="G662" s="32"/>
      <c r="H662" s="487"/>
      <c r="I662" s="32"/>
      <c r="J662" s="32"/>
      <c r="K662" s="32"/>
      <c r="L662" s="487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x14ac:dyDescent="0.2">
      <c r="A663" s="475"/>
      <c r="B663" s="32"/>
      <c r="C663" s="32"/>
      <c r="D663" s="323"/>
      <c r="E663" s="32"/>
      <c r="F663" s="32"/>
      <c r="G663" s="32"/>
      <c r="H663" s="487"/>
      <c r="I663" s="32"/>
      <c r="J663" s="32"/>
      <c r="K663" s="32"/>
      <c r="L663" s="487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x14ac:dyDescent="0.2">
      <c r="A664" s="475"/>
      <c r="B664" s="32"/>
      <c r="C664" s="32"/>
      <c r="D664" s="323"/>
      <c r="E664" s="32"/>
      <c r="F664" s="32"/>
      <c r="G664" s="32"/>
      <c r="H664" s="487"/>
      <c r="I664" s="32"/>
      <c r="J664" s="32"/>
      <c r="K664" s="32"/>
      <c r="L664" s="487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x14ac:dyDescent="0.2">
      <c r="A665" s="475"/>
      <c r="B665" s="32"/>
      <c r="C665" s="32"/>
      <c r="D665" s="323"/>
      <c r="E665" s="32"/>
      <c r="F665" s="32"/>
      <c r="G665" s="32"/>
      <c r="H665" s="487"/>
      <c r="I665" s="32"/>
      <c r="J665" s="32"/>
      <c r="K665" s="32"/>
      <c r="L665" s="487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x14ac:dyDescent="0.2">
      <c r="A666" s="475"/>
      <c r="B666" s="32"/>
      <c r="C666" s="32"/>
      <c r="D666" s="323"/>
      <c r="E666" s="32"/>
      <c r="F666" s="32"/>
      <c r="G666" s="32"/>
      <c r="H666" s="487"/>
      <c r="I666" s="32"/>
      <c r="J666" s="32"/>
      <c r="K666" s="32"/>
      <c r="L666" s="487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x14ac:dyDescent="0.2">
      <c r="A667" s="475"/>
      <c r="B667" s="32"/>
      <c r="C667" s="32"/>
      <c r="D667" s="323"/>
      <c r="E667" s="32"/>
      <c r="F667" s="32"/>
      <c r="G667" s="32"/>
      <c r="H667" s="487"/>
      <c r="I667" s="32"/>
      <c r="J667" s="32"/>
      <c r="K667" s="32"/>
      <c r="L667" s="487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x14ac:dyDescent="0.2">
      <c r="A668" s="475"/>
      <c r="B668" s="32"/>
      <c r="C668" s="32"/>
      <c r="D668" s="323"/>
      <c r="E668" s="32"/>
      <c r="F668" s="32"/>
      <c r="G668" s="32"/>
      <c r="H668" s="487"/>
      <c r="I668" s="32"/>
      <c r="J668" s="32"/>
      <c r="K668" s="32"/>
      <c r="L668" s="487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x14ac:dyDescent="0.2">
      <c r="A669" s="475"/>
      <c r="B669" s="32"/>
      <c r="C669" s="32"/>
      <c r="D669" s="323"/>
      <c r="E669" s="32"/>
      <c r="F669" s="32"/>
      <c r="G669" s="32"/>
      <c r="H669" s="487"/>
      <c r="I669" s="32"/>
      <c r="J669" s="32"/>
      <c r="K669" s="32"/>
      <c r="L669" s="487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x14ac:dyDescent="0.2">
      <c r="A670" s="475"/>
      <c r="B670" s="32"/>
      <c r="C670" s="32"/>
      <c r="D670" s="323"/>
      <c r="E670" s="32"/>
      <c r="F670" s="32"/>
      <c r="G670" s="32"/>
      <c r="H670" s="487"/>
      <c r="I670" s="32"/>
      <c r="J670" s="32"/>
      <c r="K670" s="32"/>
      <c r="L670" s="487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x14ac:dyDescent="0.2">
      <c r="A671" s="475"/>
      <c r="B671" s="32"/>
      <c r="C671" s="32"/>
      <c r="D671" s="323"/>
      <c r="E671" s="32"/>
      <c r="F671" s="32"/>
      <c r="G671" s="32"/>
      <c r="H671" s="487"/>
      <c r="I671" s="32"/>
      <c r="J671" s="32"/>
      <c r="K671" s="32"/>
      <c r="L671" s="487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x14ac:dyDescent="0.2">
      <c r="A672" s="475"/>
      <c r="B672" s="32"/>
      <c r="C672" s="32"/>
      <c r="D672" s="323"/>
      <c r="E672" s="32"/>
      <c r="F672" s="32"/>
      <c r="G672" s="32"/>
      <c r="H672" s="487"/>
      <c r="I672" s="32"/>
      <c r="J672" s="32"/>
      <c r="K672" s="32"/>
      <c r="L672" s="487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x14ac:dyDescent="0.2">
      <c r="A673" s="475"/>
      <c r="B673" s="32"/>
      <c r="C673" s="32"/>
      <c r="D673" s="323"/>
      <c r="E673" s="32"/>
      <c r="F673" s="32"/>
      <c r="G673" s="32"/>
      <c r="H673" s="487"/>
      <c r="I673" s="32"/>
      <c r="J673" s="32"/>
      <c r="K673" s="32"/>
      <c r="L673" s="487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x14ac:dyDescent="0.2">
      <c r="A674" s="475"/>
      <c r="B674" s="32"/>
      <c r="C674" s="32"/>
      <c r="D674" s="323"/>
      <c r="E674" s="32"/>
      <c r="F674" s="32"/>
      <c r="G674" s="32"/>
      <c r="H674" s="487"/>
      <c r="I674" s="32"/>
      <c r="J674" s="32"/>
      <c r="K674" s="32"/>
      <c r="L674" s="487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x14ac:dyDescent="0.2">
      <c r="A675" s="475"/>
      <c r="B675" s="32"/>
      <c r="C675" s="32"/>
      <c r="D675" s="323"/>
      <c r="E675" s="32"/>
      <c r="F675" s="32"/>
      <c r="G675" s="32"/>
      <c r="H675" s="487"/>
      <c r="I675" s="32"/>
      <c r="J675" s="32"/>
      <c r="K675" s="32"/>
      <c r="L675" s="487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x14ac:dyDescent="0.2">
      <c r="A676" s="475"/>
      <c r="B676" s="32"/>
      <c r="C676" s="32"/>
      <c r="D676" s="323"/>
      <c r="E676" s="32"/>
      <c r="F676" s="32"/>
      <c r="G676" s="32"/>
      <c r="H676" s="487"/>
      <c r="I676" s="32"/>
      <c r="J676" s="32"/>
      <c r="K676" s="32"/>
      <c r="L676" s="487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x14ac:dyDescent="0.2">
      <c r="A677" s="475"/>
      <c r="B677" s="32"/>
      <c r="C677" s="32"/>
      <c r="D677" s="323"/>
      <c r="E677" s="32"/>
      <c r="F677" s="32"/>
      <c r="G677" s="32"/>
      <c r="H677" s="487"/>
      <c r="I677" s="32"/>
      <c r="J677" s="32"/>
      <c r="K677" s="32"/>
      <c r="L677" s="487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x14ac:dyDescent="0.2">
      <c r="A678" s="475"/>
      <c r="B678" s="32"/>
      <c r="C678" s="32"/>
      <c r="D678" s="323"/>
      <c r="E678" s="32"/>
      <c r="F678" s="32"/>
      <c r="G678" s="32"/>
      <c r="H678" s="487"/>
      <c r="I678" s="32"/>
      <c r="J678" s="32"/>
      <c r="K678" s="32"/>
      <c r="L678" s="487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x14ac:dyDescent="0.2">
      <c r="A679" s="475"/>
      <c r="B679" s="32"/>
      <c r="C679" s="32"/>
      <c r="D679" s="323"/>
      <c r="E679" s="32"/>
      <c r="F679" s="32"/>
      <c r="G679" s="32"/>
      <c r="H679" s="487"/>
      <c r="I679" s="32"/>
      <c r="J679" s="32"/>
      <c r="K679" s="32"/>
      <c r="L679" s="487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x14ac:dyDescent="0.2">
      <c r="A680" s="475"/>
      <c r="B680" s="32"/>
      <c r="C680" s="32"/>
      <c r="D680" s="323"/>
      <c r="E680" s="32"/>
      <c r="F680" s="32"/>
      <c r="G680" s="32"/>
      <c r="H680" s="487"/>
      <c r="I680" s="32"/>
      <c r="J680" s="32"/>
      <c r="K680" s="32"/>
      <c r="L680" s="487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x14ac:dyDescent="0.2">
      <c r="A681" s="475"/>
      <c r="B681" s="32"/>
      <c r="C681" s="32"/>
      <c r="D681" s="323"/>
      <c r="E681" s="32"/>
      <c r="F681" s="32"/>
      <c r="G681" s="32"/>
      <c r="H681" s="487"/>
      <c r="I681" s="32"/>
      <c r="J681" s="32"/>
      <c r="K681" s="32"/>
      <c r="L681" s="487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x14ac:dyDescent="0.2">
      <c r="A682" s="475"/>
      <c r="B682" s="32"/>
      <c r="C682" s="32"/>
      <c r="D682" s="323"/>
      <c r="E682" s="32"/>
      <c r="F682" s="32"/>
      <c r="G682" s="32"/>
      <c r="H682" s="487"/>
      <c r="I682" s="32"/>
      <c r="J682" s="32"/>
      <c r="K682" s="32"/>
      <c r="L682" s="487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x14ac:dyDescent="0.2">
      <c r="A683" s="475"/>
      <c r="B683" s="32"/>
      <c r="C683" s="32"/>
      <c r="D683" s="323"/>
      <c r="E683" s="32"/>
      <c r="F683" s="32"/>
      <c r="G683" s="32"/>
      <c r="H683" s="487"/>
      <c r="I683" s="32"/>
      <c r="J683" s="32"/>
      <c r="K683" s="32"/>
      <c r="L683" s="487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x14ac:dyDescent="0.2">
      <c r="A684" s="475"/>
      <c r="B684" s="32"/>
      <c r="C684" s="32"/>
      <c r="D684" s="323"/>
      <c r="E684" s="32"/>
      <c r="F684" s="32"/>
      <c r="G684" s="32"/>
      <c r="H684" s="487"/>
      <c r="I684" s="32"/>
      <c r="J684" s="32"/>
      <c r="K684" s="32"/>
      <c r="L684" s="487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x14ac:dyDescent="0.2">
      <c r="A685" s="475"/>
      <c r="B685" s="32"/>
      <c r="C685" s="32"/>
      <c r="D685" s="323"/>
      <c r="E685" s="32"/>
      <c r="F685" s="32"/>
      <c r="G685" s="32"/>
      <c r="H685" s="487"/>
      <c r="I685" s="32"/>
      <c r="J685" s="32"/>
      <c r="K685" s="32"/>
      <c r="L685" s="487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x14ac:dyDescent="0.2">
      <c r="A686" s="475"/>
      <c r="B686" s="32"/>
      <c r="C686" s="32"/>
      <c r="D686" s="323"/>
      <c r="E686" s="32"/>
      <c r="F686" s="32"/>
      <c r="G686" s="32"/>
      <c r="H686" s="487"/>
      <c r="I686" s="32"/>
      <c r="J686" s="32"/>
      <c r="K686" s="32"/>
      <c r="L686" s="487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x14ac:dyDescent="0.2">
      <c r="A687" s="475"/>
      <c r="B687" s="32"/>
      <c r="C687" s="32"/>
      <c r="D687" s="323"/>
      <c r="E687" s="32"/>
      <c r="F687" s="32"/>
      <c r="G687" s="32"/>
      <c r="H687" s="487"/>
      <c r="I687" s="32"/>
      <c r="J687" s="32"/>
      <c r="K687" s="32"/>
      <c r="L687" s="487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x14ac:dyDescent="0.2">
      <c r="A688" s="475"/>
      <c r="B688" s="32"/>
      <c r="C688" s="32"/>
      <c r="D688" s="323"/>
      <c r="E688" s="32"/>
      <c r="F688" s="32"/>
      <c r="G688" s="32"/>
      <c r="H688" s="487"/>
      <c r="I688" s="32"/>
      <c r="J688" s="32"/>
      <c r="K688" s="32"/>
      <c r="L688" s="487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x14ac:dyDescent="0.2">
      <c r="A689" s="475"/>
      <c r="B689" s="32"/>
      <c r="C689" s="32"/>
      <c r="D689" s="323"/>
      <c r="E689" s="32"/>
      <c r="F689" s="32"/>
      <c r="G689" s="32"/>
      <c r="H689" s="487"/>
      <c r="I689" s="32"/>
      <c r="J689" s="32"/>
      <c r="K689" s="32"/>
      <c r="L689" s="487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x14ac:dyDescent="0.2">
      <c r="A690" s="475"/>
      <c r="B690" s="32"/>
      <c r="C690" s="32"/>
      <c r="D690" s="323"/>
      <c r="E690" s="32"/>
      <c r="F690" s="32"/>
      <c r="G690" s="32"/>
      <c r="H690" s="487"/>
      <c r="I690" s="32"/>
      <c r="J690" s="32"/>
      <c r="K690" s="32"/>
      <c r="L690" s="487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x14ac:dyDescent="0.2">
      <c r="A691" s="475"/>
      <c r="B691" s="32"/>
      <c r="C691" s="32"/>
      <c r="D691" s="323"/>
      <c r="E691" s="32"/>
      <c r="F691" s="32"/>
      <c r="G691" s="32"/>
      <c r="H691" s="487"/>
      <c r="I691" s="32"/>
      <c r="J691" s="32"/>
      <c r="K691" s="32"/>
      <c r="L691" s="487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x14ac:dyDescent="0.2">
      <c r="A692" s="475"/>
      <c r="B692" s="32"/>
      <c r="C692" s="32"/>
      <c r="D692" s="323"/>
      <c r="E692" s="32"/>
      <c r="F692" s="32"/>
      <c r="G692" s="32"/>
      <c r="H692" s="487"/>
      <c r="I692" s="32"/>
      <c r="J692" s="32"/>
      <c r="K692" s="32"/>
      <c r="L692" s="487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x14ac:dyDescent="0.2">
      <c r="A693" s="475"/>
      <c r="B693" s="32"/>
      <c r="C693" s="32"/>
      <c r="D693" s="323"/>
      <c r="E693" s="32"/>
      <c r="F693" s="32"/>
      <c r="G693" s="32"/>
      <c r="H693" s="487"/>
      <c r="I693" s="32"/>
      <c r="J693" s="32"/>
      <c r="K693" s="32"/>
      <c r="L693" s="487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x14ac:dyDescent="0.2">
      <c r="A694" s="475"/>
      <c r="B694" s="32"/>
      <c r="C694" s="32"/>
      <c r="D694" s="323"/>
      <c r="E694" s="32"/>
      <c r="F694" s="32"/>
      <c r="G694" s="32"/>
      <c r="H694" s="487"/>
      <c r="I694" s="32"/>
      <c r="J694" s="32"/>
      <c r="K694" s="32"/>
      <c r="L694" s="487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x14ac:dyDescent="0.2">
      <c r="A695" s="475"/>
      <c r="B695" s="32"/>
      <c r="C695" s="32"/>
      <c r="D695" s="323"/>
      <c r="E695" s="32"/>
      <c r="F695" s="32"/>
      <c r="G695" s="32"/>
      <c r="H695" s="487"/>
      <c r="I695" s="32"/>
      <c r="J695" s="32"/>
      <c r="K695" s="32"/>
      <c r="L695" s="487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x14ac:dyDescent="0.2">
      <c r="A696" s="475"/>
      <c r="B696" s="32"/>
      <c r="C696" s="32"/>
      <c r="D696" s="323"/>
      <c r="E696" s="32"/>
      <c r="F696" s="32"/>
      <c r="G696" s="32"/>
      <c r="H696" s="487"/>
      <c r="I696" s="32"/>
      <c r="J696" s="32"/>
      <c r="K696" s="32"/>
      <c r="L696" s="487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x14ac:dyDescent="0.2">
      <c r="A697" s="475"/>
      <c r="B697" s="32"/>
      <c r="C697" s="32"/>
      <c r="D697" s="323"/>
      <c r="E697" s="32"/>
      <c r="F697" s="32"/>
      <c r="G697" s="32"/>
      <c r="H697" s="487"/>
      <c r="I697" s="32"/>
      <c r="J697" s="32"/>
      <c r="K697" s="32"/>
      <c r="L697" s="487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x14ac:dyDescent="0.2">
      <c r="A698" s="475"/>
      <c r="B698" s="32"/>
      <c r="C698" s="32"/>
      <c r="D698" s="323"/>
      <c r="E698" s="32"/>
      <c r="F698" s="32"/>
      <c r="G698" s="32"/>
      <c r="H698" s="487"/>
      <c r="I698" s="32"/>
      <c r="J698" s="32"/>
      <c r="K698" s="32"/>
      <c r="L698" s="487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x14ac:dyDescent="0.2">
      <c r="A699" s="475"/>
      <c r="B699" s="32"/>
      <c r="C699" s="32"/>
      <c r="D699" s="323"/>
      <c r="E699" s="32"/>
      <c r="F699" s="32"/>
      <c r="G699" s="32"/>
      <c r="H699" s="487"/>
      <c r="I699" s="32"/>
      <c r="J699" s="32"/>
      <c r="K699" s="32"/>
      <c r="L699" s="487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x14ac:dyDescent="0.2">
      <c r="A700" s="475"/>
      <c r="B700" s="32"/>
      <c r="C700" s="32"/>
      <c r="D700" s="323"/>
      <c r="E700" s="32"/>
      <c r="F700" s="32"/>
      <c r="G700" s="32"/>
      <c r="H700" s="487"/>
      <c r="I700" s="32"/>
      <c r="J700" s="32"/>
      <c r="K700" s="32"/>
      <c r="L700" s="487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x14ac:dyDescent="0.2">
      <c r="A701" s="475"/>
      <c r="B701" s="32"/>
      <c r="C701" s="32"/>
      <c r="D701" s="323"/>
      <c r="E701" s="32"/>
      <c r="F701" s="32"/>
      <c r="G701" s="32"/>
      <c r="H701" s="487"/>
      <c r="I701" s="32"/>
      <c r="J701" s="32"/>
      <c r="K701" s="32"/>
      <c r="L701" s="487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x14ac:dyDescent="0.2">
      <c r="A702" s="475"/>
      <c r="B702" s="32"/>
      <c r="C702" s="32"/>
      <c r="D702" s="323"/>
      <c r="E702" s="32"/>
      <c r="F702" s="32"/>
      <c r="G702" s="32"/>
      <c r="H702" s="487"/>
      <c r="I702" s="32"/>
      <c r="J702" s="32"/>
      <c r="K702" s="32"/>
      <c r="L702" s="487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x14ac:dyDescent="0.2">
      <c r="A703" s="475"/>
      <c r="B703" s="32"/>
      <c r="C703" s="32"/>
      <c r="D703" s="323"/>
      <c r="E703" s="32"/>
      <c r="F703" s="32"/>
      <c r="G703" s="32"/>
      <c r="H703" s="487"/>
      <c r="I703" s="32"/>
      <c r="J703" s="32"/>
      <c r="K703" s="32"/>
      <c r="L703" s="487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x14ac:dyDescent="0.2">
      <c r="A704" s="475"/>
      <c r="B704" s="32"/>
      <c r="C704" s="32"/>
      <c r="D704" s="323"/>
      <c r="E704" s="32"/>
      <c r="F704" s="32"/>
      <c r="G704" s="32"/>
      <c r="H704" s="487"/>
      <c r="I704" s="32"/>
      <c r="J704" s="32"/>
      <c r="K704" s="32"/>
      <c r="L704" s="487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x14ac:dyDescent="0.2">
      <c r="A705" s="475"/>
      <c r="B705" s="32"/>
      <c r="C705" s="32"/>
      <c r="D705" s="323"/>
      <c r="E705" s="32"/>
      <c r="F705" s="32"/>
      <c r="G705" s="32"/>
      <c r="H705" s="487"/>
      <c r="I705" s="32"/>
      <c r="J705" s="32"/>
      <c r="K705" s="32"/>
      <c r="L705" s="487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x14ac:dyDescent="0.2">
      <c r="A706" s="475"/>
      <c r="B706" s="32"/>
      <c r="C706" s="32"/>
      <c r="D706" s="323"/>
      <c r="E706" s="32"/>
      <c r="F706" s="32"/>
      <c r="G706" s="32"/>
      <c r="H706" s="487"/>
      <c r="I706" s="32"/>
      <c r="J706" s="32"/>
      <c r="K706" s="32"/>
      <c r="L706" s="487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x14ac:dyDescent="0.2">
      <c r="A707" s="475"/>
      <c r="B707" s="32"/>
      <c r="C707" s="32"/>
      <c r="D707" s="323"/>
      <c r="E707" s="32"/>
      <c r="F707" s="32"/>
      <c r="G707" s="32"/>
      <c r="H707" s="487"/>
      <c r="I707" s="32"/>
      <c r="J707" s="32"/>
      <c r="K707" s="32"/>
      <c r="L707" s="487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x14ac:dyDescent="0.2">
      <c r="A708" s="475"/>
      <c r="B708" s="32"/>
      <c r="C708" s="32"/>
      <c r="D708" s="323"/>
      <c r="E708" s="32"/>
      <c r="F708" s="32"/>
      <c r="G708" s="32"/>
      <c r="H708" s="487"/>
      <c r="I708" s="32"/>
      <c r="J708" s="32"/>
      <c r="K708" s="32"/>
      <c r="L708" s="487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x14ac:dyDescent="0.2">
      <c r="A709" s="475"/>
      <c r="B709" s="32"/>
      <c r="C709" s="32"/>
      <c r="D709" s="323"/>
      <c r="E709" s="32"/>
      <c r="F709" s="32"/>
      <c r="G709" s="32"/>
      <c r="H709" s="487"/>
      <c r="I709" s="32"/>
      <c r="J709" s="32"/>
      <c r="K709" s="32"/>
      <c r="L709" s="487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x14ac:dyDescent="0.2">
      <c r="A710" s="475"/>
      <c r="B710" s="32"/>
      <c r="C710" s="32"/>
      <c r="D710" s="323"/>
      <c r="E710" s="32"/>
      <c r="F710" s="32"/>
      <c r="G710" s="32"/>
      <c r="H710" s="487"/>
      <c r="I710" s="32"/>
      <c r="J710" s="32"/>
      <c r="K710" s="32"/>
      <c r="L710" s="487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x14ac:dyDescent="0.2">
      <c r="A711" s="475"/>
      <c r="B711" s="32"/>
      <c r="C711" s="32"/>
      <c r="D711" s="323"/>
      <c r="E711" s="32"/>
      <c r="F711" s="32"/>
      <c r="G711" s="32"/>
      <c r="H711" s="487"/>
      <c r="I711" s="32"/>
      <c r="J711" s="32"/>
      <c r="K711" s="32"/>
      <c r="L711" s="487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x14ac:dyDescent="0.2">
      <c r="A712" s="475"/>
      <c r="B712" s="32"/>
      <c r="C712" s="32"/>
      <c r="D712" s="323"/>
      <c r="E712" s="32"/>
      <c r="F712" s="32"/>
      <c r="G712" s="32"/>
      <c r="H712" s="487"/>
      <c r="I712" s="32"/>
      <c r="J712" s="32"/>
      <c r="K712" s="32"/>
      <c r="L712" s="487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x14ac:dyDescent="0.2">
      <c r="A713" s="475"/>
      <c r="B713" s="32"/>
      <c r="C713" s="32"/>
      <c r="D713" s="323"/>
      <c r="E713" s="32"/>
      <c r="F713" s="32"/>
      <c r="G713" s="32"/>
      <c r="H713" s="487"/>
      <c r="I713" s="32"/>
      <c r="J713" s="32"/>
      <c r="K713" s="32"/>
      <c r="L713" s="487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x14ac:dyDescent="0.2">
      <c r="A714" s="475"/>
      <c r="B714" s="32"/>
      <c r="C714" s="32"/>
      <c r="D714" s="323"/>
      <c r="E714" s="32"/>
      <c r="F714" s="32"/>
      <c r="G714" s="32"/>
      <c r="H714" s="487"/>
      <c r="I714" s="32"/>
      <c r="J714" s="32"/>
      <c r="K714" s="32"/>
      <c r="L714" s="487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x14ac:dyDescent="0.2">
      <c r="A715" s="475"/>
      <c r="B715" s="32"/>
      <c r="C715" s="32"/>
      <c r="D715" s="323"/>
      <c r="E715" s="32"/>
      <c r="F715" s="32"/>
      <c r="G715" s="32"/>
      <c r="H715" s="487"/>
      <c r="I715" s="32"/>
      <c r="J715" s="32"/>
      <c r="K715" s="32"/>
      <c r="L715" s="487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x14ac:dyDescent="0.2">
      <c r="A716" s="475"/>
      <c r="B716" s="32"/>
      <c r="C716" s="32"/>
      <c r="D716" s="323"/>
      <c r="E716" s="32"/>
      <c r="F716" s="32"/>
      <c r="G716" s="32"/>
      <c r="H716" s="487"/>
      <c r="I716" s="32"/>
      <c r="J716" s="32"/>
      <c r="K716" s="32"/>
      <c r="L716" s="487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x14ac:dyDescent="0.2">
      <c r="A717" s="475"/>
      <c r="B717" s="32"/>
      <c r="C717" s="32"/>
      <c r="D717" s="323"/>
      <c r="E717" s="32"/>
      <c r="F717" s="32"/>
      <c r="G717" s="32"/>
      <c r="H717" s="487"/>
      <c r="I717" s="32"/>
      <c r="J717" s="32"/>
      <c r="K717" s="32"/>
      <c r="L717" s="487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x14ac:dyDescent="0.2">
      <c r="A718" s="475"/>
      <c r="B718" s="32"/>
      <c r="C718" s="32"/>
      <c r="D718" s="323"/>
      <c r="E718" s="32"/>
      <c r="F718" s="32"/>
      <c r="G718" s="32"/>
      <c r="H718" s="487"/>
      <c r="I718" s="32"/>
      <c r="J718" s="32"/>
      <c r="K718" s="32"/>
      <c r="L718" s="487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x14ac:dyDescent="0.2">
      <c r="A719" s="475"/>
      <c r="B719" s="32"/>
      <c r="C719" s="32"/>
      <c r="D719" s="323"/>
      <c r="E719" s="32"/>
      <c r="F719" s="32"/>
      <c r="G719" s="32"/>
      <c r="H719" s="487"/>
      <c r="I719" s="32"/>
      <c r="J719" s="32"/>
      <c r="K719" s="32"/>
      <c r="L719" s="487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x14ac:dyDescent="0.2">
      <c r="A720" s="475"/>
      <c r="B720" s="32"/>
      <c r="C720" s="32"/>
      <c r="D720" s="323"/>
      <c r="E720" s="32"/>
      <c r="F720" s="32"/>
      <c r="G720" s="32"/>
      <c r="H720" s="487"/>
      <c r="I720" s="32"/>
      <c r="J720" s="32"/>
      <c r="K720" s="32"/>
      <c r="L720" s="487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x14ac:dyDescent="0.2">
      <c r="A721" s="475"/>
      <c r="B721" s="32"/>
      <c r="C721" s="32"/>
      <c r="D721" s="323"/>
      <c r="E721" s="32"/>
      <c r="F721" s="32"/>
      <c r="G721" s="32"/>
      <c r="H721" s="487"/>
      <c r="I721" s="32"/>
      <c r="J721" s="32"/>
      <c r="K721" s="32"/>
      <c r="L721" s="487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x14ac:dyDescent="0.2">
      <c r="A722" s="475"/>
      <c r="B722" s="32"/>
      <c r="C722" s="32"/>
      <c r="D722" s="323"/>
      <c r="E722" s="32"/>
      <c r="F722" s="32"/>
      <c r="G722" s="32"/>
      <c r="H722" s="487"/>
      <c r="I722" s="32"/>
      <c r="J722" s="32"/>
      <c r="K722" s="32"/>
      <c r="L722" s="487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x14ac:dyDescent="0.2">
      <c r="A723" s="475"/>
      <c r="B723" s="32"/>
      <c r="C723" s="32"/>
      <c r="D723" s="323"/>
      <c r="E723" s="32"/>
      <c r="F723" s="32"/>
      <c r="G723" s="32"/>
      <c r="H723" s="487"/>
      <c r="I723" s="32"/>
      <c r="J723" s="32"/>
      <c r="K723" s="32"/>
      <c r="L723" s="487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x14ac:dyDescent="0.2">
      <c r="A724" s="475"/>
      <c r="B724" s="32"/>
      <c r="C724" s="32"/>
      <c r="D724" s="323"/>
      <c r="E724" s="32"/>
      <c r="F724" s="32"/>
      <c r="G724" s="32"/>
      <c r="H724" s="487"/>
      <c r="I724" s="32"/>
      <c r="J724" s="32"/>
      <c r="K724" s="32"/>
      <c r="L724" s="487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x14ac:dyDescent="0.2">
      <c r="A725" s="475"/>
      <c r="B725" s="32"/>
      <c r="C725" s="32"/>
      <c r="D725" s="323"/>
      <c r="E725" s="32"/>
      <c r="F725" s="32"/>
      <c r="G725" s="32"/>
      <c r="H725" s="487"/>
      <c r="I725" s="32"/>
      <c r="J725" s="32"/>
      <c r="K725" s="32"/>
      <c r="L725" s="487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x14ac:dyDescent="0.2">
      <c r="A726" s="475"/>
      <c r="B726" s="32"/>
      <c r="C726" s="32"/>
      <c r="D726" s="323"/>
      <c r="E726" s="32"/>
      <c r="F726" s="32"/>
      <c r="G726" s="32"/>
      <c r="H726" s="487"/>
      <c r="I726" s="32"/>
      <c r="J726" s="32"/>
      <c r="K726" s="32"/>
      <c r="L726" s="487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x14ac:dyDescent="0.2">
      <c r="A727" s="475"/>
      <c r="B727" s="32"/>
      <c r="C727" s="32"/>
      <c r="D727" s="323"/>
      <c r="E727" s="32"/>
      <c r="F727" s="32"/>
      <c r="G727" s="32"/>
      <c r="H727" s="487"/>
      <c r="I727" s="32"/>
      <c r="J727" s="32"/>
      <c r="K727" s="32"/>
      <c r="L727" s="487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x14ac:dyDescent="0.2">
      <c r="A728" s="475"/>
      <c r="B728" s="32"/>
      <c r="C728" s="32"/>
      <c r="D728" s="323"/>
      <c r="E728" s="32"/>
      <c r="F728" s="32"/>
      <c r="G728" s="32"/>
      <c r="H728" s="487"/>
      <c r="I728" s="32"/>
      <c r="J728" s="32"/>
      <c r="K728" s="32"/>
      <c r="L728" s="487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x14ac:dyDescent="0.2">
      <c r="A729" s="475"/>
      <c r="B729" s="32"/>
      <c r="C729" s="32"/>
      <c r="D729" s="323"/>
      <c r="E729" s="32"/>
      <c r="F729" s="32"/>
      <c r="G729" s="32"/>
      <c r="H729" s="487"/>
      <c r="I729" s="32"/>
      <c r="J729" s="32"/>
      <c r="K729" s="32"/>
      <c r="L729" s="487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x14ac:dyDescent="0.2">
      <c r="A730" s="475"/>
      <c r="B730" s="32"/>
      <c r="C730" s="32"/>
      <c r="D730" s="323"/>
      <c r="E730" s="32"/>
      <c r="F730" s="32"/>
      <c r="G730" s="32"/>
      <c r="H730" s="487"/>
      <c r="I730" s="32"/>
      <c r="J730" s="32"/>
      <c r="K730" s="32"/>
      <c r="L730" s="487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x14ac:dyDescent="0.2">
      <c r="A731" s="475"/>
      <c r="B731" s="32"/>
      <c r="C731" s="32"/>
      <c r="D731" s="323"/>
      <c r="E731" s="32"/>
      <c r="F731" s="32"/>
      <c r="G731" s="32"/>
      <c r="H731" s="487"/>
      <c r="I731" s="32"/>
      <c r="J731" s="32"/>
      <c r="K731" s="32"/>
      <c r="L731" s="487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x14ac:dyDescent="0.2">
      <c r="A732" s="475"/>
      <c r="B732" s="32"/>
      <c r="C732" s="32"/>
      <c r="D732" s="323"/>
      <c r="E732" s="32"/>
      <c r="F732" s="32"/>
      <c r="G732" s="32"/>
      <c r="H732" s="487"/>
      <c r="I732" s="32"/>
      <c r="J732" s="32"/>
      <c r="K732" s="32"/>
      <c r="L732" s="487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x14ac:dyDescent="0.2">
      <c r="A733" s="475"/>
      <c r="B733" s="32"/>
      <c r="C733" s="32"/>
      <c r="D733" s="323"/>
      <c r="E733" s="32"/>
      <c r="F733" s="32"/>
      <c r="G733" s="32"/>
      <c r="H733" s="487"/>
      <c r="I733" s="32"/>
      <c r="J733" s="32"/>
      <c r="K733" s="32"/>
      <c r="L733" s="487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x14ac:dyDescent="0.2">
      <c r="A734" s="475"/>
      <c r="B734" s="32"/>
      <c r="C734" s="32"/>
      <c r="D734" s="323"/>
      <c r="E734" s="32"/>
      <c r="F734" s="32"/>
      <c r="G734" s="32"/>
      <c r="H734" s="487"/>
      <c r="I734" s="32"/>
      <c r="J734" s="32"/>
      <c r="K734" s="32"/>
      <c r="L734" s="487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x14ac:dyDescent="0.2">
      <c r="A735" s="475"/>
      <c r="B735" s="32"/>
      <c r="C735" s="32"/>
      <c r="D735" s="323"/>
      <c r="E735" s="32"/>
      <c r="F735" s="32"/>
      <c r="G735" s="32"/>
      <c r="H735" s="487"/>
      <c r="I735" s="32"/>
      <c r="J735" s="32"/>
      <c r="K735" s="32"/>
      <c r="L735" s="487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x14ac:dyDescent="0.2">
      <c r="A736" s="475"/>
      <c r="B736" s="32"/>
      <c r="C736" s="32"/>
      <c r="D736" s="323"/>
      <c r="E736" s="32"/>
      <c r="F736" s="32"/>
      <c r="G736" s="32"/>
      <c r="H736" s="487"/>
      <c r="I736" s="32"/>
      <c r="J736" s="32"/>
      <c r="K736" s="32"/>
      <c r="L736" s="487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x14ac:dyDescent="0.2">
      <c r="A737" s="475"/>
      <c r="B737" s="32"/>
      <c r="C737" s="32"/>
      <c r="D737" s="323"/>
      <c r="E737" s="32"/>
      <c r="F737" s="32"/>
      <c r="G737" s="32"/>
      <c r="H737" s="487"/>
      <c r="I737" s="32"/>
      <c r="J737" s="32"/>
      <c r="K737" s="32"/>
      <c r="L737" s="487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x14ac:dyDescent="0.2">
      <c r="A738" s="475"/>
      <c r="B738" s="32"/>
      <c r="C738" s="32"/>
      <c r="D738" s="323"/>
      <c r="E738" s="32"/>
      <c r="F738" s="32"/>
      <c r="G738" s="32"/>
      <c r="H738" s="487"/>
      <c r="I738" s="32"/>
      <c r="J738" s="32"/>
      <c r="K738" s="32"/>
      <c r="L738" s="487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x14ac:dyDescent="0.2">
      <c r="A739" s="475"/>
      <c r="B739" s="32"/>
      <c r="C739" s="32"/>
      <c r="D739" s="323"/>
      <c r="E739" s="32"/>
      <c r="F739" s="32"/>
      <c r="G739" s="32"/>
      <c r="H739" s="487"/>
      <c r="I739" s="32"/>
      <c r="J739" s="32"/>
      <c r="K739" s="32"/>
      <c r="L739" s="487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x14ac:dyDescent="0.2">
      <c r="A740" s="475"/>
      <c r="B740" s="32"/>
      <c r="C740" s="32"/>
      <c r="D740" s="323"/>
      <c r="E740" s="32"/>
      <c r="F740" s="32"/>
      <c r="G740" s="32"/>
      <c r="H740" s="487"/>
      <c r="I740" s="32"/>
      <c r="J740" s="32"/>
      <c r="K740" s="32"/>
      <c r="L740" s="487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x14ac:dyDescent="0.2">
      <c r="A741" s="475"/>
      <c r="B741" s="32"/>
      <c r="C741" s="32"/>
      <c r="D741" s="323"/>
      <c r="E741" s="32"/>
      <c r="F741" s="32"/>
      <c r="G741" s="32"/>
      <c r="H741" s="487"/>
      <c r="I741" s="32"/>
      <c r="J741" s="32"/>
      <c r="K741" s="32"/>
      <c r="L741" s="487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x14ac:dyDescent="0.2">
      <c r="A742" s="475"/>
      <c r="B742" s="32"/>
      <c r="C742" s="32"/>
      <c r="D742" s="323"/>
      <c r="E742" s="32"/>
      <c r="F742" s="32"/>
      <c r="G742" s="32"/>
      <c r="H742" s="487"/>
      <c r="I742" s="32"/>
      <c r="J742" s="32"/>
      <c r="K742" s="32"/>
      <c r="L742" s="487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x14ac:dyDescent="0.2">
      <c r="A743" s="475"/>
      <c r="B743" s="32"/>
      <c r="C743" s="32"/>
      <c r="D743" s="323"/>
      <c r="E743" s="32"/>
      <c r="F743" s="32"/>
      <c r="G743" s="32"/>
      <c r="H743" s="487"/>
      <c r="I743" s="32"/>
      <c r="J743" s="32"/>
      <c r="K743" s="32"/>
      <c r="L743" s="487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x14ac:dyDescent="0.2">
      <c r="A744" s="475"/>
      <c r="B744" s="32"/>
      <c r="C744" s="32"/>
      <c r="D744" s="323"/>
      <c r="E744" s="32"/>
      <c r="F744" s="32"/>
      <c r="G744" s="32"/>
      <c r="H744" s="487"/>
      <c r="I744" s="32"/>
      <c r="J744" s="32"/>
      <c r="K744" s="32"/>
      <c r="L744" s="487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x14ac:dyDescent="0.2">
      <c r="A745" s="475"/>
      <c r="B745" s="32"/>
      <c r="C745" s="32"/>
      <c r="D745" s="323"/>
      <c r="E745" s="32"/>
      <c r="F745" s="32"/>
      <c r="G745" s="32"/>
      <c r="H745" s="487"/>
      <c r="I745" s="32"/>
      <c r="J745" s="32"/>
      <c r="K745" s="32"/>
      <c r="L745" s="487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x14ac:dyDescent="0.2">
      <c r="A746" s="475"/>
      <c r="B746" s="32"/>
      <c r="C746" s="32"/>
      <c r="D746" s="323"/>
      <c r="E746" s="32"/>
      <c r="F746" s="32"/>
      <c r="G746" s="32"/>
      <c r="H746" s="487"/>
      <c r="I746" s="32"/>
      <c r="J746" s="32"/>
      <c r="K746" s="32"/>
      <c r="L746" s="487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x14ac:dyDescent="0.2">
      <c r="A747" s="475"/>
      <c r="B747" s="32"/>
      <c r="C747" s="32"/>
      <c r="D747" s="323"/>
      <c r="E747" s="32"/>
      <c r="F747" s="32"/>
      <c r="G747" s="32"/>
      <c r="H747" s="487"/>
      <c r="I747" s="32"/>
      <c r="J747" s="32"/>
      <c r="K747" s="32"/>
      <c r="L747" s="487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x14ac:dyDescent="0.2">
      <c r="A748" s="475"/>
      <c r="B748" s="32"/>
      <c r="C748" s="32"/>
      <c r="D748" s="323"/>
      <c r="E748" s="32"/>
      <c r="F748" s="32"/>
      <c r="G748" s="32"/>
      <c r="H748" s="487"/>
      <c r="I748" s="32"/>
      <c r="J748" s="32"/>
      <c r="K748" s="32"/>
      <c r="L748" s="487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x14ac:dyDescent="0.2">
      <c r="A749" s="475"/>
      <c r="B749" s="32"/>
      <c r="C749" s="32"/>
      <c r="D749" s="323"/>
      <c r="E749" s="32"/>
      <c r="F749" s="32"/>
      <c r="G749" s="32"/>
      <c r="H749" s="487"/>
      <c r="I749" s="32"/>
      <c r="J749" s="32"/>
      <c r="K749" s="32"/>
      <c r="L749" s="487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x14ac:dyDescent="0.2">
      <c r="A750" s="475"/>
      <c r="B750" s="32"/>
      <c r="C750" s="32"/>
      <c r="D750" s="323"/>
      <c r="E750" s="32"/>
      <c r="F750" s="32"/>
      <c r="G750" s="32"/>
      <c r="H750" s="487"/>
      <c r="I750" s="32"/>
      <c r="J750" s="32"/>
      <c r="K750" s="32"/>
      <c r="L750" s="487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x14ac:dyDescent="0.2">
      <c r="A751" s="475"/>
      <c r="B751" s="32"/>
      <c r="C751" s="32"/>
      <c r="D751" s="323"/>
      <c r="E751" s="32"/>
      <c r="F751" s="32"/>
      <c r="G751" s="32"/>
      <c r="H751" s="487"/>
      <c r="I751" s="32"/>
      <c r="J751" s="32"/>
      <c r="K751" s="32"/>
      <c r="L751" s="487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x14ac:dyDescent="0.2">
      <c r="A752" s="475"/>
      <c r="B752" s="32"/>
      <c r="C752" s="32"/>
      <c r="D752" s="323"/>
      <c r="E752" s="32"/>
      <c r="F752" s="32"/>
      <c r="G752" s="32"/>
      <c r="H752" s="487"/>
      <c r="I752" s="32"/>
      <c r="J752" s="32"/>
      <c r="K752" s="32"/>
      <c r="L752" s="487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x14ac:dyDescent="0.2">
      <c r="A753" s="475"/>
      <c r="B753" s="32"/>
      <c r="C753" s="32"/>
      <c r="D753" s="323"/>
      <c r="E753" s="32"/>
      <c r="F753" s="32"/>
      <c r="G753" s="32"/>
      <c r="H753" s="487"/>
      <c r="I753" s="32"/>
      <c r="J753" s="32"/>
      <c r="K753" s="32"/>
      <c r="L753" s="487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x14ac:dyDescent="0.2">
      <c r="A754" s="475"/>
      <c r="B754" s="32"/>
      <c r="C754" s="32"/>
      <c r="D754" s="323"/>
      <c r="E754" s="32"/>
      <c r="F754" s="32"/>
      <c r="G754" s="32"/>
      <c r="H754" s="487"/>
      <c r="I754" s="32"/>
      <c r="J754" s="32"/>
      <c r="K754" s="32"/>
      <c r="L754" s="487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x14ac:dyDescent="0.2">
      <c r="A755" s="475"/>
      <c r="B755" s="32"/>
      <c r="C755" s="32"/>
      <c r="D755" s="323"/>
      <c r="E755" s="32"/>
      <c r="F755" s="32"/>
      <c r="G755" s="32"/>
      <c r="H755" s="487"/>
      <c r="I755" s="32"/>
      <c r="J755" s="32"/>
      <c r="K755" s="32"/>
      <c r="L755" s="487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x14ac:dyDescent="0.2">
      <c r="A756" s="475"/>
      <c r="B756" s="32"/>
      <c r="C756" s="32"/>
      <c r="D756" s="323"/>
      <c r="E756" s="32"/>
      <c r="F756" s="32"/>
      <c r="G756" s="32"/>
      <c r="H756" s="487"/>
      <c r="I756" s="32"/>
      <c r="J756" s="32"/>
      <c r="K756" s="32"/>
      <c r="L756" s="487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x14ac:dyDescent="0.2">
      <c r="A757" s="475"/>
      <c r="B757" s="32"/>
      <c r="C757" s="32"/>
      <c r="D757" s="323"/>
      <c r="E757" s="32"/>
      <c r="F757" s="32"/>
      <c r="G757" s="32"/>
      <c r="H757" s="487"/>
      <c r="I757" s="32"/>
      <c r="J757" s="32"/>
      <c r="K757" s="32"/>
      <c r="L757" s="487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x14ac:dyDescent="0.2">
      <c r="A758" s="475"/>
      <c r="B758" s="32"/>
      <c r="C758" s="32"/>
      <c r="D758" s="323"/>
      <c r="E758" s="32"/>
      <c r="F758" s="32"/>
      <c r="G758" s="32"/>
      <c r="H758" s="487"/>
      <c r="I758" s="32"/>
      <c r="J758" s="32"/>
      <c r="K758" s="32"/>
      <c r="L758" s="487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x14ac:dyDescent="0.2">
      <c r="A759" s="475"/>
      <c r="B759" s="32"/>
      <c r="C759" s="32"/>
      <c r="D759" s="323"/>
      <c r="E759" s="32"/>
      <c r="F759" s="32"/>
      <c r="G759" s="32"/>
      <c r="H759" s="487"/>
      <c r="I759" s="32"/>
      <c r="J759" s="32"/>
      <c r="K759" s="32"/>
      <c r="L759" s="487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x14ac:dyDescent="0.2">
      <c r="A760" s="475"/>
      <c r="B760" s="32"/>
      <c r="C760" s="32"/>
      <c r="D760" s="323"/>
      <c r="E760" s="32"/>
      <c r="F760" s="32"/>
      <c r="G760" s="32"/>
      <c r="H760" s="487"/>
      <c r="I760" s="32"/>
      <c r="J760" s="32"/>
      <c r="K760" s="32"/>
      <c r="L760" s="487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x14ac:dyDescent="0.2">
      <c r="A761" s="475"/>
      <c r="B761" s="32"/>
      <c r="C761" s="32"/>
      <c r="D761" s="323"/>
      <c r="E761" s="32"/>
      <c r="F761" s="32"/>
      <c r="G761" s="32"/>
      <c r="H761" s="487"/>
      <c r="I761" s="32"/>
      <c r="J761" s="32"/>
      <c r="K761" s="32"/>
      <c r="L761" s="487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x14ac:dyDescent="0.2">
      <c r="A762" s="475"/>
      <c r="B762" s="32"/>
      <c r="C762" s="32"/>
      <c r="D762" s="323"/>
      <c r="E762" s="32"/>
      <c r="F762" s="32"/>
      <c r="G762" s="32"/>
      <c r="H762" s="487"/>
      <c r="I762" s="32"/>
      <c r="J762" s="32"/>
      <c r="K762" s="32"/>
      <c r="L762" s="487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x14ac:dyDescent="0.2">
      <c r="A763" s="475"/>
      <c r="B763" s="32"/>
      <c r="C763" s="32"/>
      <c r="D763" s="323"/>
      <c r="E763" s="32"/>
      <c r="F763" s="32"/>
      <c r="G763" s="32"/>
      <c r="H763" s="487"/>
      <c r="I763" s="32"/>
      <c r="J763" s="32"/>
      <c r="K763" s="32"/>
      <c r="L763" s="487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x14ac:dyDescent="0.2">
      <c r="A764" s="475"/>
      <c r="B764" s="32"/>
      <c r="C764" s="32"/>
      <c r="D764" s="323"/>
      <c r="E764" s="32"/>
      <c r="F764" s="32"/>
      <c r="G764" s="32"/>
      <c r="H764" s="487"/>
      <c r="I764" s="32"/>
      <c r="J764" s="32"/>
      <c r="K764" s="32"/>
      <c r="L764" s="487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x14ac:dyDescent="0.2">
      <c r="A765" s="475"/>
      <c r="B765" s="32"/>
      <c r="C765" s="32"/>
      <c r="D765" s="323"/>
      <c r="E765" s="32"/>
      <c r="F765" s="32"/>
      <c r="G765" s="32"/>
      <c r="H765" s="487"/>
      <c r="I765" s="32"/>
      <c r="J765" s="32"/>
      <c r="K765" s="32"/>
      <c r="L765" s="487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x14ac:dyDescent="0.2">
      <c r="A766" s="475"/>
      <c r="B766" s="32"/>
      <c r="C766" s="32"/>
      <c r="D766" s="323"/>
      <c r="E766" s="32"/>
      <c r="F766" s="32"/>
      <c r="G766" s="32"/>
      <c r="H766" s="487"/>
      <c r="I766" s="32"/>
      <c r="J766" s="32"/>
      <c r="K766" s="32"/>
      <c r="L766" s="487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x14ac:dyDescent="0.2">
      <c r="A767" s="475"/>
      <c r="B767" s="32"/>
      <c r="C767" s="32"/>
      <c r="D767" s="323"/>
      <c r="E767" s="32"/>
      <c r="F767" s="32"/>
      <c r="G767" s="32"/>
      <c r="H767" s="487"/>
      <c r="I767" s="32"/>
      <c r="J767" s="32"/>
      <c r="K767" s="32"/>
      <c r="L767" s="487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x14ac:dyDescent="0.2">
      <c r="A768" s="475"/>
      <c r="B768" s="32"/>
      <c r="C768" s="32"/>
      <c r="D768" s="323"/>
      <c r="E768" s="32"/>
      <c r="F768" s="32"/>
      <c r="G768" s="32"/>
      <c r="H768" s="487"/>
      <c r="I768" s="32"/>
      <c r="J768" s="32"/>
      <c r="K768" s="32"/>
      <c r="L768" s="487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x14ac:dyDescent="0.2">
      <c r="A769" s="475"/>
      <c r="B769" s="32"/>
      <c r="C769" s="32"/>
      <c r="D769" s="323"/>
      <c r="E769" s="32"/>
      <c r="F769" s="32"/>
      <c r="G769" s="32"/>
      <c r="H769" s="487"/>
      <c r="I769" s="32"/>
      <c r="J769" s="32"/>
      <c r="K769" s="32"/>
      <c r="L769" s="487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x14ac:dyDescent="0.2">
      <c r="A770" s="475"/>
      <c r="B770" s="32"/>
      <c r="C770" s="32"/>
      <c r="D770" s="323"/>
      <c r="E770" s="32"/>
      <c r="F770" s="32"/>
      <c r="G770" s="32"/>
      <c r="H770" s="487"/>
      <c r="I770" s="32"/>
      <c r="J770" s="32"/>
      <c r="K770" s="32"/>
      <c r="L770" s="487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x14ac:dyDescent="0.2">
      <c r="A771" s="475"/>
      <c r="B771" s="32"/>
      <c r="C771" s="32"/>
      <c r="D771" s="323"/>
      <c r="E771" s="32"/>
      <c r="F771" s="32"/>
      <c r="G771" s="32"/>
      <c r="H771" s="487"/>
      <c r="I771" s="32"/>
      <c r="J771" s="32"/>
      <c r="K771" s="32"/>
      <c r="L771" s="487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x14ac:dyDescent="0.2">
      <c r="A772" s="475"/>
      <c r="B772" s="32"/>
      <c r="C772" s="32"/>
      <c r="D772" s="323"/>
      <c r="E772" s="32"/>
      <c r="F772" s="32"/>
      <c r="G772" s="32"/>
      <c r="H772" s="487"/>
      <c r="I772" s="32"/>
      <c r="J772" s="32"/>
      <c r="K772" s="32"/>
      <c r="L772" s="487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x14ac:dyDescent="0.2">
      <c r="A773" s="475"/>
      <c r="B773" s="32"/>
      <c r="C773" s="32"/>
      <c r="D773" s="323"/>
      <c r="E773" s="32"/>
      <c r="F773" s="32"/>
      <c r="G773" s="32"/>
      <c r="H773" s="487"/>
      <c r="I773" s="32"/>
      <c r="J773" s="32"/>
      <c r="K773" s="32"/>
      <c r="L773" s="487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x14ac:dyDescent="0.2">
      <c r="A774" s="475"/>
      <c r="B774" s="32"/>
      <c r="C774" s="32"/>
      <c r="D774" s="323"/>
      <c r="E774" s="32"/>
      <c r="F774" s="32"/>
      <c r="G774" s="32"/>
      <c r="H774" s="487"/>
      <c r="I774" s="32"/>
      <c r="J774" s="32"/>
      <c r="K774" s="32"/>
      <c r="L774" s="487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x14ac:dyDescent="0.2">
      <c r="A775" s="475"/>
      <c r="B775" s="32"/>
      <c r="C775" s="32"/>
      <c r="D775" s="323"/>
      <c r="E775" s="32"/>
      <c r="F775" s="32"/>
      <c r="G775" s="32"/>
      <c r="H775" s="487"/>
      <c r="I775" s="32"/>
      <c r="J775" s="32"/>
      <c r="K775" s="32"/>
      <c r="L775" s="487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x14ac:dyDescent="0.2">
      <c r="A776" s="475"/>
      <c r="B776" s="32"/>
      <c r="C776" s="32"/>
      <c r="D776" s="323"/>
      <c r="E776" s="32"/>
      <c r="F776" s="32"/>
      <c r="G776" s="32"/>
      <c r="H776" s="487"/>
      <c r="I776" s="32"/>
      <c r="J776" s="32"/>
      <c r="K776" s="32"/>
      <c r="L776" s="487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x14ac:dyDescent="0.2">
      <c r="A777" s="475"/>
      <c r="B777" s="32"/>
      <c r="C777" s="32"/>
      <c r="D777" s="323"/>
      <c r="E777" s="32"/>
      <c r="F777" s="32"/>
      <c r="G777" s="32"/>
      <c r="H777" s="487"/>
      <c r="I777" s="32"/>
      <c r="J777" s="32"/>
      <c r="K777" s="32"/>
      <c r="L777" s="487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x14ac:dyDescent="0.2">
      <c r="A778" s="475"/>
      <c r="B778" s="32"/>
      <c r="C778" s="32"/>
      <c r="D778" s="323"/>
      <c r="E778" s="32"/>
      <c r="F778" s="32"/>
      <c r="G778" s="32"/>
      <c r="H778" s="487"/>
      <c r="I778" s="32"/>
      <c r="J778" s="32"/>
      <c r="K778" s="32"/>
      <c r="L778" s="487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x14ac:dyDescent="0.2">
      <c r="A779" s="475"/>
      <c r="B779" s="32"/>
      <c r="C779" s="32"/>
      <c r="D779" s="323"/>
      <c r="E779" s="32"/>
      <c r="F779" s="32"/>
      <c r="G779" s="32"/>
      <c r="H779" s="487"/>
      <c r="I779" s="32"/>
      <c r="J779" s="32"/>
      <c r="K779" s="32"/>
      <c r="L779" s="487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x14ac:dyDescent="0.2">
      <c r="A780" s="475"/>
      <c r="B780" s="32"/>
      <c r="C780" s="32"/>
      <c r="D780" s="323"/>
      <c r="E780" s="32"/>
      <c r="F780" s="32"/>
      <c r="G780" s="32"/>
      <c r="H780" s="487"/>
      <c r="I780" s="32"/>
      <c r="J780" s="32"/>
      <c r="K780" s="32"/>
      <c r="L780" s="487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x14ac:dyDescent="0.2">
      <c r="A781" s="475"/>
      <c r="B781" s="32"/>
      <c r="C781" s="32"/>
      <c r="D781" s="323"/>
      <c r="E781" s="32"/>
      <c r="F781" s="32"/>
      <c r="G781" s="32"/>
      <c r="H781" s="487"/>
      <c r="I781" s="32"/>
      <c r="J781" s="32"/>
      <c r="K781" s="32"/>
      <c r="L781" s="487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x14ac:dyDescent="0.2">
      <c r="A782" s="475"/>
      <c r="B782" s="32"/>
      <c r="C782" s="32"/>
      <c r="D782" s="323"/>
      <c r="E782" s="32"/>
      <c r="F782" s="32"/>
      <c r="G782" s="32"/>
      <c r="H782" s="487"/>
      <c r="I782" s="32"/>
      <c r="J782" s="32"/>
      <c r="K782" s="32"/>
      <c r="L782" s="487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x14ac:dyDescent="0.2">
      <c r="A783" s="475"/>
      <c r="B783" s="32"/>
      <c r="C783" s="32"/>
      <c r="D783" s="323"/>
      <c r="E783" s="32"/>
      <c r="F783" s="32"/>
      <c r="G783" s="32"/>
      <c r="H783" s="487"/>
      <c r="I783" s="32"/>
      <c r="J783" s="32"/>
      <c r="K783" s="32"/>
      <c r="L783" s="487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x14ac:dyDescent="0.2">
      <c r="A784" s="475"/>
      <c r="B784" s="32"/>
      <c r="C784" s="32"/>
      <c r="D784" s="323"/>
      <c r="E784" s="32"/>
      <c r="F784" s="32"/>
      <c r="G784" s="32"/>
      <c r="H784" s="487"/>
      <c r="I784" s="32"/>
      <c r="J784" s="32"/>
      <c r="K784" s="32"/>
      <c r="L784" s="487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x14ac:dyDescent="0.2">
      <c r="A785" s="475"/>
      <c r="B785" s="32"/>
      <c r="C785" s="32"/>
      <c r="D785" s="323"/>
      <c r="E785" s="32"/>
      <c r="F785" s="32"/>
      <c r="G785" s="32"/>
      <c r="H785" s="487"/>
      <c r="I785" s="32"/>
      <c r="J785" s="32"/>
      <c r="K785" s="32"/>
      <c r="L785" s="487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x14ac:dyDescent="0.2">
      <c r="A786" s="475"/>
      <c r="B786" s="32"/>
      <c r="C786" s="32"/>
      <c r="D786" s="323"/>
      <c r="E786" s="32"/>
      <c r="F786" s="32"/>
      <c r="G786" s="32"/>
      <c r="H786" s="487"/>
      <c r="I786" s="32"/>
      <c r="J786" s="32"/>
      <c r="K786" s="32"/>
      <c r="L786" s="487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x14ac:dyDescent="0.2">
      <c r="A787" s="475"/>
      <c r="B787" s="32"/>
      <c r="C787" s="32"/>
      <c r="D787" s="323"/>
      <c r="E787" s="32"/>
      <c r="F787" s="32"/>
      <c r="G787" s="32"/>
      <c r="H787" s="487"/>
      <c r="I787" s="32"/>
      <c r="J787" s="32"/>
      <c r="K787" s="32"/>
      <c r="L787" s="487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x14ac:dyDescent="0.2">
      <c r="A788" s="475"/>
      <c r="B788" s="32"/>
      <c r="C788" s="32"/>
      <c r="D788" s="323"/>
      <c r="E788" s="32"/>
      <c r="F788" s="32"/>
      <c r="G788" s="32"/>
      <c r="H788" s="487"/>
      <c r="I788" s="32"/>
      <c r="J788" s="32"/>
      <c r="K788" s="32"/>
      <c r="L788" s="487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x14ac:dyDescent="0.2">
      <c r="A789" s="475"/>
      <c r="B789" s="32"/>
      <c r="C789" s="32"/>
      <c r="D789" s="323"/>
      <c r="E789" s="32"/>
      <c r="F789" s="32"/>
      <c r="G789" s="32"/>
      <c r="H789" s="487"/>
      <c r="I789" s="32"/>
      <c r="J789" s="32"/>
      <c r="K789" s="32"/>
      <c r="L789" s="487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x14ac:dyDescent="0.2">
      <c r="A790" s="475"/>
      <c r="B790" s="32"/>
      <c r="C790" s="32"/>
      <c r="D790" s="323"/>
      <c r="E790" s="32"/>
      <c r="F790" s="32"/>
      <c r="G790" s="32"/>
      <c r="H790" s="487"/>
      <c r="I790" s="32"/>
      <c r="J790" s="32"/>
      <c r="K790" s="32"/>
      <c r="L790" s="487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x14ac:dyDescent="0.2">
      <c r="A791" s="475"/>
      <c r="B791" s="32"/>
      <c r="C791" s="32"/>
      <c r="D791" s="323"/>
      <c r="E791" s="32"/>
      <c r="F791" s="32"/>
      <c r="G791" s="32"/>
      <c r="H791" s="487"/>
      <c r="I791" s="32"/>
      <c r="J791" s="32"/>
      <c r="K791" s="32"/>
      <c r="L791" s="487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x14ac:dyDescent="0.2">
      <c r="A792" s="475"/>
      <c r="B792" s="32"/>
      <c r="C792" s="32"/>
      <c r="D792" s="323"/>
      <c r="E792" s="32"/>
      <c r="F792" s="32"/>
      <c r="G792" s="32"/>
      <c r="H792" s="487"/>
      <c r="I792" s="32"/>
      <c r="J792" s="32"/>
      <c r="K792" s="32"/>
      <c r="L792" s="487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x14ac:dyDescent="0.2">
      <c r="A793" s="475"/>
      <c r="B793" s="32"/>
      <c r="C793" s="32"/>
      <c r="D793" s="323"/>
      <c r="E793" s="32"/>
      <c r="F793" s="32"/>
      <c r="G793" s="32"/>
      <c r="H793" s="487"/>
      <c r="I793" s="32"/>
      <c r="J793" s="32"/>
      <c r="K793" s="32"/>
      <c r="L793" s="487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x14ac:dyDescent="0.2">
      <c r="A794" s="475"/>
      <c r="B794" s="32"/>
      <c r="C794" s="32"/>
      <c r="D794" s="323"/>
      <c r="E794" s="32"/>
      <c r="F794" s="32"/>
      <c r="G794" s="32"/>
      <c r="H794" s="487"/>
      <c r="I794" s="32"/>
      <c r="J794" s="32"/>
      <c r="K794" s="32"/>
      <c r="L794" s="487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x14ac:dyDescent="0.2">
      <c r="A795" s="475"/>
      <c r="B795" s="32"/>
      <c r="C795" s="32"/>
      <c r="D795" s="323"/>
      <c r="E795" s="32"/>
      <c r="F795" s="32"/>
      <c r="G795" s="32"/>
      <c r="H795" s="487"/>
      <c r="I795" s="32"/>
      <c r="J795" s="32"/>
      <c r="K795" s="32"/>
      <c r="L795" s="487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x14ac:dyDescent="0.2">
      <c r="A796" s="475"/>
      <c r="B796" s="32"/>
      <c r="C796" s="32"/>
      <c r="D796" s="323"/>
      <c r="E796" s="32"/>
      <c r="F796" s="32"/>
      <c r="G796" s="32"/>
      <c r="H796" s="487"/>
      <c r="I796" s="32"/>
      <c r="J796" s="32"/>
      <c r="K796" s="32"/>
      <c r="L796" s="487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x14ac:dyDescent="0.2">
      <c r="A797" s="475"/>
      <c r="B797" s="32"/>
      <c r="C797" s="32"/>
      <c r="D797" s="323"/>
      <c r="E797" s="32"/>
      <c r="F797" s="32"/>
      <c r="G797" s="32"/>
      <c r="H797" s="487"/>
      <c r="I797" s="32"/>
      <c r="J797" s="32"/>
      <c r="K797" s="32"/>
      <c r="L797" s="487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x14ac:dyDescent="0.2">
      <c r="A798" s="475"/>
      <c r="B798" s="32"/>
      <c r="C798" s="32"/>
      <c r="D798" s="323"/>
      <c r="E798" s="32"/>
      <c r="F798" s="32"/>
      <c r="G798" s="32"/>
      <c r="H798" s="487"/>
      <c r="I798" s="32"/>
      <c r="J798" s="32"/>
      <c r="K798" s="32"/>
      <c r="L798" s="487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x14ac:dyDescent="0.2">
      <c r="A799" s="475"/>
      <c r="B799" s="32"/>
      <c r="C799" s="32"/>
      <c r="D799" s="323"/>
      <c r="E799" s="32"/>
      <c r="F799" s="32"/>
      <c r="G799" s="32"/>
      <c r="H799" s="487"/>
      <c r="I799" s="32"/>
      <c r="J799" s="32"/>
      <c r="K799" s="32"/>
      <c r="L799" s="487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x14ac:dyDescent="0.2">
      <c r="A800" s="475"/>
      <c r="B800" s="32"/>
      <c r="C800" s="32"/>
      <c r="D800" s="323"/>
      <c r="E800" s="32"/>
      <c r="F800" s="32"/>
      <c r="G800" s="32"/>
      <c r="H800" s="487"/>
      <c r="I800" s="32"/>
      <c r="J800" s="32"/>
      <c r="K800" s="32"/>
      <c r="L800" s="487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x14ac:dyDescent="0.2">
      <c r="A801" s="475"/>
      <c r="B801" s="32"/>
      <c r="C801" s="32"/>
      <c r="D801" s="323"/>
      <c r="E801" s="32"/>
      <c r="F801" s="32"/>
      <c r="G801" s="32"/>
      <c r="H801" s="487"/>
      <c r="I801" s="32"/>
      <c r="J801" s="32"/>
      <c r="K801" s="32"/>
      <c r="L801" s="487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x14ac:dyDescent="0.2">
      <c r="A802" s="475"/>
      <c r="B802" s="32"/>
      <c r="C802" s="32"/>
      <c r="D802" s="323"/>
      <c r="E802" s="32"/>
      <c r="F802" s="32"/>
      <c r="G802" s="32"/>
      <c r="H802" s="487"/>
      <c r="I802" s="32"/>
      <c r="J802" s="32"/>
      <c r="K802" s="32"/>
      <c r="L802" s="487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x14ac:dyDescent="0.2">
      <c r="A803" s="475"/>
      <c r="B803" s="32"/>
      <c r="C803" s="32"/>
      <c r="D803" s="323"/>
      <c r="E803" s="32"/>
      <c r="F803" s="32"/>
      <c r="G803" s="32"/>
      <c r="H803" s="487"/>
      <c r="I803" s="32"/>
      <c r="J803" s="32"/>
      <c r="K803" s="32"/>
      <c r="L803" s="487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x14ac:dyDescent="0.2">
      <c r="A804" s="475"/>
      <c r="B804" s="32"/>
      <c r="C804" s="32"/>
      <c r="D804" s="323"/>
      <c r="E804" s="32"/>
      <c r="F804" s="32"/>
      <c r="G804" s="32"/>
      <c r="H804" s="487"/>
      <c r="I804" s="32"/>
      <c r="J804" s="32"/>
      <c r="K804" s="32"/>
      <c r="L804" s="487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x14ac:dyDescent="0.2">
      <c r="A805" s="475"/>
      <c r="B805" s="32"/>
      <c r="C805" s="32"/>
      <c r="D805" s="323"/>
      <c r="E805" s="32"/>
      <c r="F805" s="32"/>
      <c r="G805" s="32"/>
      <c r="H805" s="487"/>
      <c r="I805" s="32"/>
      <c r="J805" s="32"/>
      <c r="K805" s="32"/>
      <c r="L805" s="487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x14ac:dyDescent="0.2">
      <c r="A806" s="475"/>
      <c r="B806" s="32"/>
      <c r="C806" s="32"/>
      <c r="D806" s="323"/>
      <c r="E806" s="32"/>
      <c r="F806" s="32"/>
      <c r="G806" s="32"/>
      <c r="H806" s="487"/>
      <c r="I806" s="32"/>
      <c r="J806" s="32"/>
      <c r="K806" s="32"/>
      <c r="L806" s="487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x14ac:dyDescent="0.2">
      <c r="A807" s="475"/>
      <c r="B807" s="32"/>
      <c r="C807" s="32"/>
      <c r="D807" s="323"/>
      <c r="E807" s="32"/>
      <c r="F807" s="32"/>
      <c r="G807" s="32"/>
      <c r="H807" s="487"/>
      <c r="I807" s="32"/>
      <c r="J807" s="32"/>
      <c r="K807" s="32"/>
      <c r="L807" s="487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x14ac:dyDescent="0.2">
      <c r="A808" s="475"/>
      <c r="B808" s="32"/>
      <c r="C808" s="32"/>
      <c r="D808" s="323"/>
      <c r="E808" s="32"/>
      <c r="F808" s="32"/>
      <c r="G808" s="32"/>
      <c r="H808" s="487"/>
      <c r="I808" s="32"/>
      <c r="J808" s="32"/>
      <c r="K808" s="32"/>
      <c r="L808" s="487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x14ac:dyDescent="0.2">
      <c r="A809" s="475"/>
      <c r="B809" s="32"/>
      <c r="C809" s="32"/>
      <c r="D809" s="323"/>
      <c r="E809" s="32"/>
      <c r="F809" s="32"/>
      <c r="G809" s="32"/>
      <c r="H809" s="487"/>
      <c r="I809" s="32"/>
      <c r="J809" s="32"/>
      <c r="K809" s="32"/>
      <c r="L809" s="487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x14ac:dyDescent="0.2">
      <c r="A810" s="475"/>
      <c r="B810" s="32"/>
      <c r="C810" s="32"/>
      <c r="D810" s="323"/>
      <c r="E810" s="32"/>
      <c r="F810" s="32"/>
      <c r="G810" s="32"/>
      <c r="H810" s="487"/>
      <c r="I810" s="32"/>
      <c r="J810" s="32"/>
      <c r="K810" s="32"/>
      <c r="L810" s="487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x14ac:dyDescent="0.2">
      <c r="A811" s="475"/>
      <c r="B811" s="32"/>
      <c r="C811" s="32"/>
      <c r="D811" s="323"/>
      <c r="E811" s="32"/>
      <c r="F811" s="32"/>
      <c r="G811" s="32"/>
      <c r="H811" s="487"/>
      <c r="I811" s="32"/>
      <c r="J811" s="32"/>
      <c r="K811" s="32"/>
      <c r="L811" s="487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x14ac:dyDescent="0.2">
      <c r="A812" s="475"/>
      <c r="B812" s="32"/>
      <c r="C812" s="32"/>
      <c r="D812" s="323"/>
      <c r="E812" s="32"/>
      <c r="F812" s="32"/>
      <c r="G812" s="32"/>
      <c r="H812" s="487"/>
      <c r="I812" s="32"/>
      <c r="J812" s="32"/>
      <c r="K812" s="32"/>
      <c r="L812" s="487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x14ac:dyDescent="0.2">
      <c r="A813" s="475"/>
      <c r="B813" s="32"/>
      <c r="C813" s="32"/>
      <c r="D813" s="323"/>
      <c r="E813" s="32"/>
      <c r="F813" s="32"/>
      <c r="G813" s="32"/>
      <c r="H813" s="487"/>
      <c r="I813" s="32"/>
      <c r="J813" s="32"/>
      <c r="K813" s="32"/>
      <c r="L813" s="487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x14ac:dyDescent="0.2">
      <c r="A814" s="475"/>
      <c r="B814" s="32"/>
      <c r="C814" s="32"/>
      <c r="D814" s="323"/>
      <c r="E814" s="32"/>
      <c r="F814" s="32"/>
      <c r="G814" s="32"/>
      <c r="H814" s="487"/>
      <c r="I814" s="32"/>
      <c r="J814" s="32"/>
      <c r="K814" s="32"/>
      <c r="L814" s="487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x14ac:dyDescent="0.2">
      <c r="A815" s="475"/>
      <c r="B815" s="32"/>
      <c r="C815" s="32"/>
      <c r="D815" s="323"/>
      <c r="E815" s="32"/>
      <c r="F815" s="32"/>
      <c r="G815" s="32"/>
      <c r="H815" s="487"/>
      <c r="I815" s="32"/>
      <c r="J815" s="32"/>
      <c r="K815" s="32"/>
      <c r="L815" s="487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x14ac:dyDescent="0.2">
      <c r="A816" s="475"/>
      <c r="B816" s="32"/>
      <c r="C816" s="32"/>
      <c r="D816" s="323"/>
      <c r="E816" s="32"/>
      <c r="F816" s="32"/>
      <c r="G816" s="32"/>
      <c r="H816" s="487"/>
      <c r="I816" s="32"/>
      <c r="J816" s="32"/>
      <c r="K816" s="32"/>
      <c r="L816" s="487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x14ac:dyDescent="0.2">
      <c r="A817" s="475"/>
      <c r="B817" s="32"/>
      <c r="C817" s="32"/>
      <c r="D817" s="323"/>
      <c r="E817" s="32"/>
      <c r="F817" s="32"/>
      <c r="G817" s="32"/>
      <c r="H817" s="487"/>
      <c r="I817" s="32"/>
      <c r="J817" s="32"/>
      <c r="K817" s="32"/>
      <c r="L817" s="487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x14ac:dyDescent="0.2">
      <c r="A818" s="475"/>
      <c r="B818" s="32"/>
      <c r="C818" s="32"/>
      <c r="D818" s="323"/>
      <c r="E818" s="32"/>
      <c r="F818" s="32"/>
      <c r="G818" s="32"/>
      <c r="H818" s="487"/>
      <c r="I818" s="32"/>
      <c r="J818" s="32"/>
      <c r="K818" s="32"/>
      <c r="L818" s="487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x14ac:dyDescent="0.2">
      <c r="A819" s="475"/>
      <c r="B819" s="32"/>
      <c r="C819" s="32"/>
      <c r="D819" s="323"/>
      <c r="E819" s="32"/>
      <c r="F819" s="32"/>
      <c r="G819" s="32"/>
      <c r="H819" s="487"/>
      <c r="I819" s="32"/>
      <c r="J819" s="32"/>
      <c r="K819" s="32"/>
      <c r="L819" s="487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x14ac:dyDescent="0.2">
      <c r="A820" s="475"/>
      <c r="B820" s="32"/>
      <c r="C820" s="32"/>
      <c r="D820" s="323"/>
      <c r="E820" s="32"/>
      <c r="F820" s="32"/>
      <c r="G820" s="32"/>
      <c r="H820" s="487"/>
      <c r="I820" s="32"/>
      <c r="J820" s="32"/>
      <c r="K820" s="32"/>
      <c r="L820" s="487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x14ac:dyDescent="0.2">
      <c r="A821" s="475"/>
      <c r="B821" s="32"/>
      <c r="C821" s="32"/>
      <c r="D821" s="323"/>
      <c r="E821" s="32"/>
      <c r="F821" s="32"/>
      <c r="G821" s="32"/>
      <c r="H821" s="487"/>
      <c r="I821" s="32"/>
      <c r="J821" s="32"/>
      <c r="K821" s="32"/>
      <c r="L821" s="487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x14ac:dyDescent="0.2">
      <c r="A822" s="475"/>
      <c r="B822" s="32"/>
      <c r="C822" s="32"/>
      <c r="D822" s="323"/>
      <c r="E822" s="32"/>
      <c r="F822" s="32"/>
      <c r="G822" s="32"/>
      <c r="H822" s="487"/>
      <c r="I822" s="32"/>
      <c r="J822" s="32"/>
      <c r="K822" s="32"/>
      <c r="L822" s="487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x14ac:dyDescent="0.2">
      <c r="A823" s="475"/>
      <c r="B823" s="32"/>
      <c r="C823" s="32"/>
      <c r="D823" s="323"/>
      <c r="E823" s="32"/>
      <c r="F823" s="32"/>
      <c r="G823" s="32"/>
      <c r="H823" s="487"/>
      <c r="I823" s="32"/>
      <c r="J823" s="32"/>
      <c r="K823" s="32"/>
      <c r="L823" s="487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x14ac:dyDescent="0.2">
      <c r="A824" s="475"/>
      <c r="B824" s="32"/>
      <c r="C824" s="32"/>
      <c r="D824" s="323"/>
      <c r="E824" s="32"/>
      <c r="F824" s="32"/>
      <c r="G824" s="32"/>
      <c r="H824" s="487"/>
      <c r="I824" s="32"/>
      <c r="J824" s="32"/>
      <c r="K824" s="32"/>
      <c r="L824" s="487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x14ac:dyDescent="0.2">
      <c r="A825" s="475"/>
      <c r="B825" s="32"/>
      <c r="C825" s="32"/>
      <c r="D825" s="323"/>
      <c r="E825" s="32"/>
      <c r="F825" s="32"/>
      <c r="G825" s="32"/>
      <c r="H825" s="487"/>
      <c r="I825" s="32"/>
      <c r="J825" s="32"/>
      <c r="K825" s="32"/>
      <c r="L825" s="487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x14ac:dyDescent="0.2">
      <c r="A826" s="475"/>
      <c r="B826" s="32"/>
      <c r="C826" s="32"/>
      <c r="D826" s="323"/>
      <c r="E826" s="32"/>
      <c r="F826" s="32"/>
      <c r="G826" s="32"/>
      <c r="H826" s="487"/>
      <c r="I826" s="32"/>
      <c r="J826" s="32"/>
      <c r="K826" s="32"/>
      <c r="L826" s="487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x14ac:dyDescent="0.2">
      <c r="A827" s="475"/>
      <c r="B827" s="32"/>
      <c r="C827" s="32"/>
      <c r="D827" s="323"/>
      <c r="E827" s="32"/>
      <c r="F827" s="32"/>
      <c r="G827" s="32"/>
      <c r="H827" s="487"/>
      <c r="I827" s="32"/>
      <c r="J827" s="32"/>
      <c r="K827" s="32"/>
      <c r="L827" s="487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x14ac:dyDescent="0.2">
      <c r="A828" s="475"/>
      <c r="B828" s="32"/>
      <c r="C828" s="32"/>
      <c r="D828" s="323"/>
      <c r="E828" s="32"/>
      <c r="F828" s="32"/>
      <c r="G828" s="32"/>
      <c r="H828" s="487"/>
      <c r="I828" s="32"/>
      <c r="J828" s="32"/>
      <c r="K828" s="32"/>
      <c r="L828" s="487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x14ac:dyDescent="0.2">
      <c r="A829" s="475"/>
      <c r="B829" s="32"/>
      <c r="C829" s="32"/>
      <c r="D829" s="323"/>
      <c r="E829" s="32"/>
      <c r="F829" s="32"/>
      <c r="G829" s="32"/>
      <c r="H829" s="487"/>
      <c r="I829" s="32"/>
      <c r="J829" s="32"/>
      <c r="K829" s="32"/>
      <c r="L829" s="487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x14ac:dyDescent="0.2">
      <c r="A830" s="475"/>
      <c r="B830" s="32"/>
      <c r="C830" s="32"/>
      <c r="D830" s="323"/>
      <c r="E830" s="32"/>
      <c r="F830" s="32"/>
      <c r="G830" s="32"/>
      <c r="H830" s="487"/>
      <c r="I830" s="32"/>
      <c r="J830" s="32"/>
      <c r="K830" s="32"/>
      <c r="L830" s="487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x14ac:dyDescent="0.2">
      <c r="A831" s="475"/>
      <c r="B831" s="32"/>
      <c r="C831" s="32"/>
      <c r="D831" s="323"/>
      <c r="E831" s="32"/>
      <c r="F831" s="32"/>
      <c r="G831" s="32"/>
      <c r="H831" s="487"/>
      <c r="I831" s="32"/>
      <c r="J831" s="32"/>
      <c r="K831" s="32"/>
      <c r="L831" s="487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x14ac:dyDescent="0.2">
      <c r="A832" s="475"/>
      <c r="B832" s="32"/>
      <c r="C832" s="32"/>
      <c r="D832" s="323"/>
      <c r="E832" s="32"/>
      <c r="F832" s="32"/>
      <c r="G832" s="32"/>
      <c r="H832" s="487"/>
      <c r="I832" s="32"/>
      <c r="J832" s="32"/>
      <c r="K832" s="32"/>
      <c r="L832" s="487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x14ac:dyDescent="0.2">
      <c r="A833" s="475"/>
      <c r="B833" s="32"/>
      <c r="C833" s="32"/>
      <c r="D833" s="323"/>
      <c r="E833" s="32"/>
      <c r="F833" s="32"/>
      <c r="G833" s="32"/>
      <c r="H833" s="487"/>
      <c r="I833" s="32"/>
      <c r="J833" s="32"/>
      <c r="K833" s="32"/>
      <c r="L833" s="487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x14ac:dyDescent="0.2">
      <c r="A834" s="475"/>
      <c r="B834" s="32"/>
      <c r="C834" s="32"/>
      <c r="D834" s="323"/>
      <c r="E834" s="32"/>
      <c r="F834" s="32"/>
      <c r="G834" s="32"/>
      <c r="H834" s="487"/>
      <c r="I834" s="32"/>
      <c r="J834" s="32"/>
      <c r="K834" s="32"/>
      <c r="L834" s="487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x14ac:dyDescent="0.2">
      <c r="A835" s="475"/>
      <c r="B835" s="32"/>
      <c r="C835" s="32"/>
      <c r="D835" s="323"/>
      <c r="E835" s="32"/>
      <c r="F835" s="32"/>
      <c r="G835" s="32"/>
      <c r="H835" s="487"/>
      <c r="I835" s="32"/>
      <c r="J835" s="32"/>
      <c r="K835" s="32"/>
      <c r="L835" s="487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x14ac:dyDescent="0.2">
      <c r="A836" s="475"/>
      <c r="B836" s="32"/>
      <c r="C836" s="32"/>
      <c r="D836" s="323"/>
      <c r="E836" s="32"/>
      <c r="F836" s="32"/>
      <c r="G836" s="32"/>
      <c r="H836" s="487"/>
      <c r="I836" s="32"/>
      <c r="J836" s="32"/>
      <c r="K836" s="32"/>
      <c r="L836" s="487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x14ac:dyDescent="0.2">
      <c r="A837" s="475"/>
      <c r="B837" s="32"/>
      <c r="C837" s="32"/>
      <c r="D837" s="323"/>
      <c r="E837" s="32"/>
      <c r="F837" s="32"/>
      <c r="G837" s="32"/>
      <c r="H837" s="487"/>
      <c r="I837" s="32"/>
      <c r="J837" s="32"/>
      <c r="K837" s="32"/>
      <c r="L837" s="487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x14ac:dyDescent="0.2">
      <c r="A838" s="475"/>
      <c r="B838" s="32"/>
      <c r="C838" s="32"/>
      <c r="D838" s="323"/>
      <c r="E838" s="32"/>
      <c r="F838" s="32"/>
      <c r="G838" s="32"/>
      <c r="H838" s="487"/>
      <c r="I838" s="32"/>
      <c r="J838" s="32"/>
      <c r="K838" s="32"/>
      <c r="L838" s="487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x14ac:dyDescent="0.2">
      <c r="A839" s="475"/>
      <c r="B839" s="32"/>
      <c r="C839" s="32"/>
      <c r="D839" s="323"/>
      <c r="E839" s="32"/>
      <c r="F839" s="32"/>
      <c r="G839" s="32"/>
      <c r="H839" s="487"/>
      <c r="I839" s="32"/>
      <c r="J839" s="32"/>
      <c r="K839" s="32"/>
      <c r="L839" s="487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x14ac:dyDescent="0.2">
      <c r="A840" s="475"/>
      <c r="B840" s="32"/>
      <c r="C840" s="32"/>
      <c r="D840" s="323"/>
      <c r="E840" s="32"/>
      <c r="F840" s="32"/>
      <c r="G840" s="32"/>
      <c r="H840" s="487"/>
      <c r="I840" s="32"/>
      <c r="J840" s="32"/>
      <c r="K840" s="32"/>
      <c r="L840" s="487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x14ac:dyDescent="0.2">
      <c r="A841" s="475"/>
      <c r="B841" s="32"/>
      <c r="C841" s="32"/>
      <c r="D841" s="323"/>
      <c r="E841" s="32"/>
      <c r="F841" s="32"/>
      <c r="G841" s="32"/>
      <c r="H841" s="487"/>
      <c r="I841" s="32"/>
      <c r="J841" s="32"/>
      <c r="K841" s="32"/>
      <c r="L841" s="487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x14ac:dyDescent="0.2">
      <c r="A842" s="475"/>
      <c r="B842" s="32"/>
      <c r="C842" s="32"/>
      <c r="D842" s="323"/>
      <c r="E842" s="32"/>
      <c r="F842" s="32"/>
      <c r="G842" s="32"/>
      <c r="H842" s="487"/>
      <c r="I842" s="32"/>
      <c r="J842" s="32"/>
      <c r="K842" s="32"/>
      <c r="L842" s="487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x14ac:dyDescent="0.2">
      <c r="A843" s="475"/>
      <c r="B843" s="32"/>
      <c r="C843" s="32"/>
      <c r="D843" s="323"/>
      <c r="E843" s="32"/>
      <c r="F843" s="32"/>
      <c r="G843" s="32"/>
      <c r="H843" s="487"/>
      <c r="I843" s="32"/>
      <c r="J843" s="32"/>
      <c r="K843" s="32"/>
      <c r="L843" s="487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x14ac:dyDescent="0.2">
      <c r="A844" s="475"/>
      <c r="B844" s="32"/>
      <c r="C844" s="32"/>
      <c r="D844" s="323"/>
      <c r="E844" s="32"/>
      <c r="F844" s="32"/>
      <c r="G844" s="32"/>
      <c r="H844" s="487"/>
      <c r="I844" s="32"/>
      <c r="J844" s="32"/>
      <c r="K844" s="32"/>
      <c r="L844" s="487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x14ac:dyDescent="0.2">
      <c r="A845" s="475"/>
      <c r="B845" s="32"/>
      <c r="C845" s="32"/>
      <c r="D845" s="323"/>
      <c r="E845" s="32"/>
      <c r="F845" s="32"/>
      <c r="G845" s="32"/>
      <c r="H845" s="487"/>
      <c r="I845" s="32"/>
      <c r="J845" s="32"/>
      <c r="K845" s="32"/>
      <c r="L845" s="487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x14ac:dyDescent="0.2">
      <c r="A846" s="475"/>
      <c r="B846" s="32"/>
      <c r="C846" s="32"/>
      <c r="D846" s="323"/>
      <c r="E846" s="32"/>
      <c r="F846" s="32"/>
      <c r="G846" s="32"/>
      <c r="H846" s="487"/>
      <c r="I846" s="32"/>
      <c r="J846" s="32"/>
      <c r="K846" s="32"/>
      <c r="L846" s="487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x14ac:dyDescent="0.2">
      <c r="A847" s="475"/>
      <c r="B847" s="32"/>
      <c r="C847" s="32"/>
      <c r="D847" s="323"/>
      <c r="E847" s="32"/>
      <c r="F847" s="32"/>
      <c r="G847" s="32"/>
      <c r="H847" s="487"/>
      <c r="I847" s="32"/>
      <c r="J847" s="32"/>
      <c r="K847" s="32"/>
      <c r="L847" s="487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x14ac:dyDescent="0.2">
      <c r="A848" s="475"/>
      <c r="B848" s="32"/>
      <c r="C848" s="32"/>
      <c r="D848" s="323"/>
      <c r="E848" s="32"/>
      <c r="F848" s="32"/>
      <c r="G848" s="32"/>
      <c r="H848" s="487"/>
      <c r="I848" s="32"/>
      <c r="J848" s="32"/>
      <c r="K848" s="32"/>
      <c r="L848" s="487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x14ac:dyDescent="0.2">
      <c r="A849" s="475"/>
      <c r="B849" s="32"/>
      <c r="C849" s="32"/>
      <c r="D849" s="323"/>
      <c r="E849" s="32"/>
      <c r="F849" s="32"/>
      <c r="G849" s="32"/>
      <c r="H849" s="487"/>
      <c r="I849" s="32"/>
      <c r="J849" s="32"/>
      <c r="K849" s="32"/>
      <c r="L849" s="487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x14ac:dyDescent="0.2">
      <c r="A850" s="475"/>
      <c r="B850" s="32"/>
      <c r="C850" s="32"/>
      <c r="D850" s="323"/>
      <c r="E850" s="32"/>
      <c r="F850" s="32"/>
      <c r="G850" s="32"/>
      <c r="H850" s="487"/>
      <c r="I850" s="32"/>
      <c r="J850" s="32"/>
      <c r="K850" s="32"/>
      <c r="L850" s="487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x14ac:dyDescent="0.2">
      <c r="A851" s="475"/>
      <c r="B851" s="32"/>
      <c r="C851" s="32"/>
      <c r="D851" s="323"/>
      <c r="E851" s="32"/>
      <c r="F851" s="32"/>
      <c r="G851" s="32"/>
      <c r="H851" s="487"/>
      <c r="I851" s="32"/>
      <c r="J851" s="32"/>
      <c r="K851" s="32"/>
      <c r="L851" s="487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x14ac:dyDescent="0.2">
      <c r="A852" s="475"/>
      <c r="B852" s="32"/>
      <c r="C852" s="32"/>
      <c r="D852" s="323"/>
      <c r="E852" s="32"/>
      <c r="F852" s="32"/>
      <c r="G852" s="32"/>
      <c r="H852" s="487"/>
      <c r="I852" s="32"/>
      <c r="J852" s="32"/>
      <c r="K852" s="32"/>
      <c r="L852" s="487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x14ac:dyDescent="0.2">
      <c r="A853" s="475"/>
      <c r="B853" s="32"/>
      <c r="C853" s="32"/>
      <c r="D853" s="323"/>
      <c r="E853" s="32"/>
      <c r="F853" s="32"/>
      <c r="G853" s="32"/>
      <c r="H853" s="487"/>
      <c r="I853" s="32"/>
      <c r="J853" s="32"/>
      <c r="K853" s="32"/>
      <c r="L853" s="487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x14ac:dyDescent="0.2">
      <c r="A854" s="475"/>
      <c r="B854" s="32"/>
      <c r="C854" s="32"/>
      <c r="D854" s="323"/>
      <c r="E854" s="32"/>
      <c r="F854" s="32"/>
      <c r="G854" s="32"/>
      <c r="H854" s="487"/>
      <c r="I854" s="32"/>
      <c r="J854" s="32"/>
      <c r="K854" s="32"/>
      <c r="L854" s="487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x14ac:dyDescent="0.2">
      <c r="A855" s="475"/>
      <c r="B855" s="32"/>
      <c r="C855" s="32"/>
      <c r="D855" s="323"/>
      <c r="E855" s="32"/>
      <c r="F855" s="32"/>
      <c r="G855" s="32"/>
      <c r="H855" s="487"/>
      <c r="I855" s="32"/>
      <c r="J855" s="32"/>
      <c r="K855" s="32"/>
      <c r="L855" s="487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x14ac:dyDescent="0.2">
      <c r="A856" s="475"/>
      <c r="B856" s="32"/>
      <c r="C856" s="32"/>
      <c r="D856" s="323"/>
      <c r="E856" s="32"/>
      <c r="F856" s="32"/>
      <c r="G856" s="32"/>
      <c r="H856" s="487"/>
      <c r="I856" s="32"/>
      <c r="J856" s="32"/>
      <c r="K856" s="32"/>
      <c r="L856" s="487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x14ac:dyDescent="0.2">
      <c r="A857" s="475"/>
      <c r="B857" s="32"/>
      <c r="C857" s="32"/>
      <c r="D857" s="323"/>
      <c r="E857" s="32"/>
      <c r="F857" s="32"/>
      <c r="G857" s="32"/>
      <c r="H857" s="487"/>
      <c r="I857" s="32"/>
      <c r="J857" s="32"/>
      <c r="K857" s="32"/>
      <c r="L857" s="487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x14ac:dyDescent="0.2">
      <c r="A858" s="475"/>
      <c r="B858" s="32"/>
      <c r="C858" s="32"/>
      <c r="D858" s="323"/>
      <c r="E858" s="32"/>
      <c r="F858" s="32"/>
      <c r="G858" s="32"/>
      <c r="H858" s="487"/>
      <c r="I858" s="32"/>
      <c r="J858" s="32"/>
      <c r="K858" s="32"/>
      <c r="L858" s="487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x14ac:dyDescent="0.2">
      <c r="A859" s="475"/>
      <c r="B859" s="32"/>
      <c r="C859" s="32"/>
      <c r="D859" s="323"/>
      <c r="E859" s="32"/>
      <c r="F859" s="32"/>
      <c r="G859" s="32"/>
      <c r="H859" s="487"/>
      <c r="I859" s="32"/>
      <c r="J859" s="32"/>
      <c r="K859" s="32"/>
      <c r="L859" s="487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x14ac:dyDescent="0.2">
      <c r="A860" s="475"/>
      <c r="B860" s="32"/>
      <c r="C860" s="32"/>
      <c r="D860" s="323"/>
      <c r="E860" s="32"/>
      <c r="F860" s="32"/>
      <c r="G860" s="32"/>
      <c r="H860" s="487"/>
      <c r="I860" s="32"/>
      <c r="J860" s="32"/>
      <c r="K860" s="32"/>
      <c r="L860" s="487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x14ac:dyDescent="0.2">
      <c r="A861" s="475"/>
      <c r="B861" s="32"/>
      <c r="C861" s="32"/>
      <c r="D861" s="323"/>
      <c r="E861" s="32"/>
      <c r="F861" s="32"/>
      <c r="G861" s="32"/>
      <c r="H861" s="487"/>
      <c r="I861" s="32"/>
      <c r="J861" s="32"/>
      <c r="K861" s="32"/>
      <c r="L861" s="487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x14ac:dyDescent="0.2">
      <c r="A862" s="475"/>
      <c r="B862" s="32"/>
      <c r="C862" s="32"/>
      <c r="D862" s="323"/>
      <c r="E862" s="32"/>
      <c r="F862" s="32"/>
      <c r="G862" s="32"/>
      <c r="H862" s="487"/>
      <c r="I862" s="32"/>
      <c r="J862" s="32"/>
      <c r="K862" s="32"/>
      <c r="L862" s="487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x14ac:dyDescent="0.2">
      <c r="A863" s="475"/>
      <c r="B863" s="32"/>
      <c r="C863" s="32"/>
      <c r="D863" s="323"/>
      <c r="E863" s="32"/>
      <c r="F863" s="32"/>
      <c r="G863" s="32"/>
      <c r="H863" s="487"/>
      <c r="I863" s="32"/>
      <c r="J863" s="32"/>
      <c r="K863" s="32"/>
      <c r="L863" s="487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x14ac:dyDescent="0.2">
      <c r="A864" s="475"/>
      <c r="B864" s="32"/>
      <c r="C864" s="32"/>
      <c r="D864" s="323"/>
      <c r="E864" s="32"/>
      <c r="F864" s="32"/>
      <c r="G864" s="32"/>
      <c r="H864" s="487"/>
      <c r="I864" s="32"/>
      <c r="J864" s="32"/>
      <c r="K864" s="32"/>
      <c r="L864" s="487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x14ac:dyDescent="0.2">
      <c r="A865" s="475"/>
      <c r="B865" s="32"/>
      <c r="C865" s="32"/>
      <c r="D865" s="323"/>
      <c r="E865" s="32"/>
      <c r="F865" s="32"/>
      <c r="G865" s="32"/>
      <c r="H865" s="487"/>
      <c r="I865" s="32"/>
      <c r="J865" s="32"/>
      <c r="K865" s="32"/>
      <c r="L865" s="487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x14ac:dyDescent="0.2">
      <c r="A866" s="475"/>
      <c r="B866" s="32"/>
      <c r="C866" s="32"/>
      <c r="D866" s="323"/>
      <c r="E866" s="32"/>
      <c r="F866" s="32"/>
      <c r="G866" s="32"/>
      <c r="H866" s="487"/>
      <c r="I866" s="32"/>
      <c r="J866" s="32"/>
      <c r="K866" s="32"/>
      <c r="L866" s="487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x14ac:dyDescent="0.2">
      <c r="A867" s="475"/>
      <c r="B867" s="32"/>
      <c r="C867" s="32"/>
      <c r="D867" s="323"/>
      <c r="E867" s="32"/>
      <c r="F867" s="32"/>
      <c r="G867" s="32"/>
      <c r="H867" s="487"/>
      <c r="I867" s="32"/>
      <c r="J867" s="32"/>
      <c r="K867" s="32"/>
      <c r="L867" s="487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x14ac:dyDescent="0.2">
      <c r="A868" s="475"/>
      <c r="B868" s="32"/>
      <c r="C868" s="32"/>
      <c r="D868" s="323"/>
      <c r="E868" s="32"/>
      <c r="F868" s="32"/>
      <c r="G868" s="32"/>
      <c r="H868" s="487"/>
      <c r="I868" s="32"/>
      <c r="J868" s="32"/>
      <c r="K868" s="32"/>
      <c r="L868" s="487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x14ac:dyDescent="0.2">
      <c r="A869" s="475"/>
      <c r="B869" s="32"/>
      <c r="C869" s="32"/>
      <c r="D869" s="323"/>
      <c r="E869" s="32"/>
      <c r="F869" s="32"/>
      <c r="G869" s="32"/>
      <c r="H869" s="487"/>
      <c r="I869" s="32"/>
      <c r="J869" s="32"/>
      <c r="K869" s="32"/>
      <c r="L869" s="487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x14ac:dyDescent="0.2">
      <c r="A870" s="475"/>
      <c r="B870" s="32"/>
      <c r="C870" s="32"/>
      <c r="D870" s="323"/>
      <c r="E870" s="32"/>
      <c r="F870" s="32"/>
      <c r="G870" s="32"/>
      <c r="H870" s="487"/>
      <c r="I870" s="32"/>
      <c r="J870" s="32"/>
      <c r="K870" s="32"/>
      <c r="L870" s="487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x14ac:dyDescent="0.2">
      <c r="A871" s="475"/>
      <c r="B871" s="32"/>
      <c r="C871" s="32"/>
      <c r="D871" s="323"/>
      <c r="E871" s="32"/>
      <c r="F871" s="32"/>
      <c r="G871" s="32"/>
      <c r="H871" s="487"/>
      <c r="I871" s="32"/>
      <c r="J871" s="32"/>
      <c r="K871" s="32"/>
      <c r="L871" s="487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x14ac:dyDescent="0.2">
      <c r="A872" s="475"/>
      <c r="B872" s="32"/>
      <c r="C872" s="32"/>
      <c r="D872" s="323"/>
      <c r="E872" s="32"/>
      <c r="F872" s="32"/>
      <c r="G872" s="32"/>
      <c r="H872" s="487"/>
      <c r="I872" s="32"/>
      <c r="J872" s="32"/>
      <c r="K872" s="32"/>
      <c r="L872" s="487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x14ac:dyDescent="0.2">
      <c r="A873" s="475"/>
      <c r="B873" s="32"/>
      <c r="C873" s="32"/>
      <c r="D873" s="323"/>
      <c r="E873" s="32"/>
      <c r="F873" s="32"/>
      <c r="G873" s="32"/>
      <c r="H873" s="487"/>
      <c r="I873" s="32"/>
      <c r="J873" s="32"/>
      <c r="K873" s="32"/>
      <c r="L873" s="487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x14ac:dyDescent="0.2">
      <c r="A874" s="475"/>
      <c r="B874" s="32"/>
      <c r="C874" s="32"/>
      <c r="D874" s="323"/>
      <c r="E874" s="32"/>
      <c r="F874" s="32"/>
      <c r="G874" s="32"/>
      <c r="H874" s="487"/>
      <c r="I874" s="32"/>
      <c r="J874" s="32"/>
      <c r="K874" s="32"/>
      <c r="L874" s="487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x14ac:dyDescent="0.2">
      <c r="A875" s="475"/>
      <c r="B875" s="32"/>
      <c r="C875" s="32"/>
      <c r="D875" s="323"/>
      <c r="E875" s="32"/>
      <c r="F875" s="32"/>
      <c r="G875" s="32"/>
      <c r="H875" s="487"/>
      <c r="I875" s="32"/>
      <c r="J875" s="32"/>
      <c r="K875" s="32"/>
      <c r="L875" s="487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x14ac:dyDescent="0.2">
      <c r="A876" s="475"/>
      <c r="B876" s="32"/>
      <c r="C876" s="32"/>
      <c r="D876" s="323"/>
      <c r="E876" s="32"/>
      <c r="F876" s="32"/>
      <c r="G876" s="32"/>
      <c r="H876" s="487"/>
      <c r="I876" s="32"/>
      <c r="J876" s="32"/>
      <c r="K876" s="32"/>
      <c r="L876" s="487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x14ac:dyDescent="0.2">
      <c r="A877" s="475"/>
      <c r="B877" s="32"/>
      <c r="C877" s="32"/>
      <c r="D877" s="323"/>
      <c r="E877" s="32"/>
      <c r="F877" s="32"/>
      <c r="G877" s="32"/>
      <c r="H877" s="487"/>
      <c r="I877" s="32"/>
      <c r="J877" s="32"/>
      <c r="K877" s="32"/>
      <c r="L877" s="487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x14ac:dyDescent="0.2">
      <c r="A878" s="475"/>
      <c r="B878" s="32"/>
      <c r="C878" s="32"/>
      <c r="D878" s="323"/>
      <c r="E878" s="32"/>
      <c r="F878" s="32"/>
      <c r="G878" s="32"/>
      <c r="H878" s="487"/>
      <c r="I878" s="32"/>
      <c r="J878" s="32"/>
      <c r="K878" s="32"/>
      <c r="L878" s="487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x14ac:dyDescent="0.2">
      <c r="A879" s="475"/>
      <c r="B879" s="32"/>
      <c r="C879" s="32"/>
      <c r="D879" s="323"/>
      <c r="E879" s="32"/>
      <c r="F879" s="32"/>
      <c r="G879" s="32"/>
      <c r="H879" s="487"/>
      <c r="I879" s="32"/>
      <c r="J879" s="32"/>
      <c r="K879" s="32"/>
      <c r="L879" s="487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x14ac:dyDescent="0.2">
      <c r="A880" s="475"/>
      <c r="B880" s="32"/>
      <c r="C880" s="32"/>
      <c r="D880" s="323"/>
      <c r="E880" s="32"/>
      <c r="F880" s="32"/>
      <c r="G880" s="32"/>
      <c r="H880" s="487"/>
      <c r="I880" s="32"/>
      <c r="J880" s="32"/>
      <c r="K880" s="32"/>
      <c r="L880" s="487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x14ac:dyDescent="0.2">
      <c r="A881" s="475"/>
      <c r="B881" s="32"/>
      <c r="C881" s="32"/>
      <c r="D881" s="323"/>
      <c r="E881" s="32"/>
      <c r="F881" s="32"/>
      <c r="G881" s="32"/>
      <c r="H881" s="487"/>
      <c r="I881" s="32"/>
      <c r="J881" s="32"/>
      <c r="K881" s="32"/>
      <c r="L881" s="487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x14ac:dyDescent="0.2">
      <c r="A882" s="475"/>
      <c r="B882" s="32"/>
      <c r="C882" s="32"/>
      <c r="D882" s="323"/>
      <c r="E882" s="32"/>
      <c r="F882" s="32"/>
      <c r="G882" s="32"/>
      <c r="H882" s="487"/>
      <c r="I882" s="32"/>
      <c r="J882" s="32"/>
      <c r="K882" s="32"/>
      <c r="L882" s="487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x14ac:dyDescent="0.2">
      <c r="A883" s="475"/>
      <c r="B883" s="32"/>
      <c r="C883" s="32"/>
      <c r="D883" s="323"/>
      <c r="E883" s="32"/>
      <c r="F883" s="32"/>
      <c r="G883" s="32"/>
      <c r="H883" s="487"/>
      <c r="I883" s="32"/>
      <c r="J883" s="32"/>
      <c r="K883" s="32"/>
      <c r="L883" s="487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x14ac:dyDescent="0.2">
      <c r="A884" s="475"/>
      <c r="B884" s="32"/>
      <c r="C884" s="32"/>
      <c r="D884" s="323"/>
      <c r="E884" s="32"/>
      <c r="F884" s="32"/>
      <c r="G884" s="32"/>
      <c r="H884" s="487"/>
      <c r="I884" s="32"/>
      <c r="J884" s="32"/>
      <c r="K884" s="32"/>
      <c r="L884" s="487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x14ac:dyDescent="0.2">
      <c r="A885" s="475"/>
      <c r="B885" s="32"/>
      <c r="C885" s="32"/>
      <c r="D885" s="323"/>
      <c r="E885" s="32"/>
      <c r="F885" s="32"/>
      <c r="G885" s="32"/>
      <c r="H885" s="487"/>
      <c r="I885" s="32"/>
      <c r="J885" s="32"/>
      <c r="K885" s="32"/>
      <c r="L885" s="487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x14ac:dyDescent="0.2">
      <c r="A886" s="475"/>
      <c r="B886" s="32"/>
      <c r="C886" s="32"/>
      <c r="D886" s="323"/>
      <c r="E886" s="32"/>
      <c r="F886" s="32"/>
      <c r="G886" s="32"/>
      <c r="H886" s="487"/>
      <c r="I886" s="32"/>
      <c r="J886" s="32"/>
      <c r="K886" s="32"/>
      <c r="L886" s="487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x14ac:dyDescent="0.2">
      <c r="A887" s="475"/>
      <c r="B887" s="32"/>
      <c r="C887" s="32"/>
      <c r="D887" s="323"/>
      <c r="E887" s="32"/>
      <c r="F887" s="32"/>
      <c r="G887" s="32"/>
      <c r="H887" s="487"/>
      <c r="I887" s="32"/>
      <c r="J887" s="32"/>
      <c r="K887" s="32"/>
      <c r="L887" s="487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x14ac:dyDescent="0.2">
      <c r="A888" s="475"/>
      <c r="B888" s="32"/>
      <c r="C888" s="32"/>
      <c r="D888" s="323"/>
      <c r="E888" s="32"/>
      <c r="F888" s="32"/>
      <c r="G888" s="32"/>
      <c r="H888" s="487"/>
      <c r="I888" s="32"/>
      <c r="J888" s="32"/>
      <c r="K888" s="32"/>
      <c r="L888" s="487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x14ac:dyDescent="0.2">
      <c r="A889" s="475"/>
      <c r="B889" s="32"/>
      <c r="C889" s="32"/>
      <c r="D889" s="323"/>
      <c r="E889" s="32"/>
      <c r="F889" s="32"/>
      <c r="G889" s="32"/>
      <c r="H889" s="487"/>
      <c r="I889" s="32"/>
      <c r="J889" s="32"/>
      <c r="K889" s="32"/>
      <c r="L889" s="487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x14ac:dyDescent="0.2">
      <c r="A890" s="475"/>
      <c r="B890" s="32"/>
      <c r="C890" s="32"/>
      <c r="D890" s="323"/>
      <c r="E890" s="32"/>
      <c r="F890" s="32"/>
      <c r="G890" s="32"/>
      <c r="H890" s="487"/>
      <c r="I890" s="32"/>
      <c r="J890" s="32"/>
      <c r="K890" s="32"/>
      <c r="L890" s="487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x14ac:dyDescent="0.2">
      <c r="A891" s="475"/>
      <c r="B891" s="32"/>
      <c r="C891" s="32"/>
      <c r="D891" s="323"/>
      <c r="E891" s="32"/>
      <c r="F891" s="32"/>
      <c r="G891" s="32"/>
      <c r="H891" s="487"/>
      <c r="I891" s="32"/>
      <c r="J891" s="32"/>
      <c r="K891" s="32"/>
      <c r="L891" s="487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x14ac:dyDescent="0.2">
      <c r="A892" s="475"/>
      <c r="B892" s="32"/>
      <c r="C892" s="32"/>
      <c r="D892" s="323"/>
      <c r="E892" s="32"/>
      <c r="F892" s="32"/>
      <c r="G892" s="32"/>
      <c r="H892" s="487"/>
      <c r="I892" s="32"/>
      <c r="J892" s="32"/>
      <c r="K892" s="32"/>
      <c r="L892" s="487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x14ac:dyDescent="0.2">
      <c r="A893" s="475"/>
      <c r="B893" s="32"/>
      <c r="C893" s="32"/>
      <c r="D893" s="323"/>
      <c r="E893" s="32"/>
      <c r="F893" s="32"/>
      <c r="G893" s="32"/>
      <c r="H893" s="487"/>
      <c r="I893" s="32"/>
      <c r="J893" s="32"/>
      <c r="K893" s="32"/>
      <c r="L893" s="487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x14ac:dyDescent="0.2">
      <c r="A894" s="475"/>
      <c r="B894" s="32"/>
      <c r="C894" s="32"/>
      <c r="D894" s="323"/>
      <c r="E894" s="32"/>
      <c r="F894" s="32"/>
      <c r="G894" s="32"/>
      <c r="H894" s="487"/>
      <c r="I894" s="32"/>
      <c r="J894" s="32"/>
      <c r="K894" s="32"/>
      <c r="L894" s="487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x14ac:dyDescent="0.2">
      <c r="A895" s="475"/>
      <c r="B895" s="32"/>
      <c r="C895" s="32"/>
      <c r="D895" s="323"/>
      <c r="E895" s="32"/>
      <c r="F895" s="32"/>
      <c r="G895" s="32"/>
      <c r="H895" s="487"/>
      <c r="I895" s="32"/>
      <c r="J895" s="32"/>
      <c r="K895" s="32"/>
      <c r="L895" s="487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x14ac:dyDescent="0.2">
      <c r="A896" s="475"/>
      <c r="B896" s="32"/>
      <c r="C896" s="32"/>
      <c r="D896" s="323"/>
      <c r="E896" s="32"/>
      <c r="F896" s="32"/>
      <c r="G896" s="32"/>
      <c r="H896" s="487"/>
      <c r="I896" s="32"/>
      <c r="J896" s="32"/>
      <c r="K896" s="32"/>
      <c r="L896" s="487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x14ac:dyDescent="0.2">
      <c r="A897" s="475"/>
      <c r="B897" s="32"/>
      <c r="C897" s="32"/>
      <c r="D897" s="323"/>
      <c r="E897" s="32"/>
      <c r="F897" s="32"/>
      <c r="G897" s="32"/>
      <c r="H897" s="487"/>
      <c r="I897" s="32"/>
      <c r="J897" s="32"/>
      <c r="K897" s="32"/>
      <c r="L897" s="487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x14ac:dyDescent="0.2">
      <c r="A898" s="475"/>
      <c r="B898" s="32"/>
      <c r="C898" s="32"/>
      <c r="D898" s="323"/>
      <c r="E898" s="32"/>
      <c r="F898" s="32"/>
      <c r="G898" s="32"/>
      <c r="H898" s="487"/>
      <c r="I898" s="32"/>
      <c r="J898" s="32"/>
      <c r="K898" s="32"/>
      <c r="L898" s="487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x14ac:dyDescent="0.2">
      <c r="A899" s="475"/>
      <c r="B899" s="32"/>
      <c r="C899" s="32"/>
      <c r="D899" s="323"/>
      <c r="E899" s="32"/>
      <c r="F899" s="32"/>
      <c r="G899" s="32"/>
      <c r="H899" s="487"/>
      <c r="I899" s="32"/>
      <c r="J899" s="32"/>
      <c r="K899" s="32"/>
      <c r="L899" s="487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x14ac:dyDescent="0.2">
      <c r="A900" s="475"/>
      <c r="B900" s="32"/>
      <c r="C900" s="32"/>
      <c r="D900" s="323"/>
      <c r="E900" s="32"/>
      <c r="F900" s="32"/>
      <c r="G900" s="32"/>
      <c r="H900" s="487"/>
      <c r="I900" s="32"/>
      <c r="J900" s="32"/>
      <c r="K900" s="32"/>
      <c r="L900" s="487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x14ac:dyDescent="0.2">
      <c r="A901" s="475"/>
      <c r="B901" s="32"/>
      <c r="C901" s="32"/>
      <c r="D901" s="323"/>
      <c r="E901" s="32"/>
      <c r="F901" s="32"/>
      <c r="G901" s="32"/>
      <c r="H901" s="487"/>
      <c r="I901" s="32"/>
      <c r="J901" s="32"/>
      <c r="K901" s="32"/>
      <c r="L901" s="487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x14ac:dyDescent="0.2">
      <c r="A902" s="475"/>
      <c r="B902" s="32"/>
      <c r="C902" s="32"/>
      <c r="D902" s="323"/>
      <c r="E902" s="32"/>
      <c r="F902" s="32"/>
      <c r="G902" s="32"/>
      <c r="H902" s="487"/>
      <c r="I902" s="32"/>
      <c r="J902" s="32"/>
      <c r="K902" s="32"/>
      <c r="L902" s="487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x14ac:dyDescent="0.2">
      <c r="A903" s="475"/>
      <c r="B903" s="32"/>
      <c r="C903" s="32"/>
      <c r="D903" s="323"/>
      <c r="E903" s="32"/>
      <c r="F903" s="32"/>
      <c r="G903" s="32"/>
      <c r="H903" s="487"/>
      <c r="I903" s="32"/>
      <c r="J903" s="32"/>
      <c r="K903" s="32"/>
      <c r="L903" s="487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x14ac:dyDescent="0.2">
      <c r="A904" s="475"/>
      <c r="B904" s="32"/>
      <c r="C904" s="32"/>
      <c r="D904" s="323"/>
      <c r="E904" s="32"/>
      <c r="F904" s="32"/>
      <c r="G904" s="32"/>
      <c r="H904" s="487"/>
      <c r="I904" s="32"/>
      <c r="J904" s="32"/>
      <c r="K904" s="32"/>
      <c r="L904" s="487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x14ac:dyDescent="0.2">
      <c r="A905" s="475"/>
      <c r="B905" s="32"/>
      <c r="C905" s="32"/>
      <c r="D905" s="323"/>
      <c r="E905" s="32"/>
      <c r="F905" s="32"/>
      <c r="G905" s="32"/>
      <c r="H905" s="487"/>
      <c r="I905" s="32"/>
      <c r="J905" s="32"/>
      <c r="K905" s="32"/>
      <c r="L905" s="487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x14ac:dyDescent="0.2">
      <c r="A906" s="475"/>
      <c r="B906" s="32"/>
      <c r="C906" s="32"/>
      <c r="D906" s="323"/>
      <c r="E906" s="32"/>
      <c r="F906" s="32"/>
      <c r="G906" s="32"/>
      <c r="H906" s="487"/>
      <c r="I906" s="32"/>
      <c r="J906" s="32"/>
      <c r="K906" s="32"/>
      <c r="L906" s="487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x14ac:dyDescent="0.2">
      <c r="A907" s="475"/>
      <c r="B907" s="32"/>
      <c r="C907" s="32"/>
      <c r="D907" s="323"/>
      <c r="E907" s="32"/>
      <c r="F907" s="32"/>
      <c r="G907" s="32"/>
      <c r="H907" s="487"/>
      <c r="I907" s="32"/>
      <c r="J907" s="32"/>
      <c r="K907" s="32"/>
      <c r="L907" s="487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x14ac:dyDescent="0.2">
      <c r="A908" s="475"/>
      <c r="B908" s="32"/>
      <c r="C908" s="32"/>
      <c r="D908" s="323"/>
      <c r="E908" s="32"/>
      <c r="F908" s="32"/>
      <c r="G908" s="32"/>
      <c r="H908" s="487"/>
      <c r="I908" s="32"/>
      <c r="J908" s="32"/>
      <c r="K908" s="32"/>
      <c r="L908" s="487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x14ac:dyDescent="0.2">
      <c r="A909" s="475"/>
      <c r="B909" s="32"/>
      <c r="C909" s="32"/>
      <c r="D909" s="323"/>
      <c r="E909" s="32"/>
      <c r="F909" s="32"/>
      <c r="G909" s="32"/>
      <c r="H909" s="487"/>
      <c r="I909" s="32"/>
      <c r="J909" s="32"/>
      <c r="K909" s="32"/>
      <c r="L909" s="487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x14ac:dyDescent="0.2">
      <c r="A910" s="475"/>
      <c r="B910" s="32"/>
      <c r="C910" s="32"/>
      <c r="D910" s="323"/>
      <c r="E910" s="32"/>
      <c r="F910" s="32"/>
      <c r="G910" s="32"/>
      <c r="H910" s="487"/>
      <c r="I910" s="32"/>
      <c r="J910" s="32"/>
      <c r="K910" s="32"/>
      <c r="L910" s="487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x14ac:dyDescent="0.2">
      <c r="A911" s="475"/>
      <c r="B911" s="32"/>
      <c r="C911" s="32"/>
      <c r="D911" s="323"/>
      <c r="E911" s="32"/>
      <c r="F911" s="32"/>
      <c r="G911" s="32"/>
      <c r="H911" s="487"/>
      <c r="I911" s="32"/>
      <c r="J911" s="32"/>
      <c r="K911" s="32"/>
      <c r="L911" s="487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x14ac:dyDescent="0.2">
      <c r="A912" s="475"/>
      <c r="B912" s="32"/>
      <c r="C912" s="32"/>
      <c r="D912" s="323"/>
      <c r="E912" s="32"/>
      <c r="F912" s="32"/>
      <c r="G912" s="32"/>
      <c r="H912" s="487"/>
      <c r="I912" s="32"/>
      <c r="J912" s="32"/>
      <c r="K912" s="32"/>
      <c r="L912" s="487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x14ac:dyDescent="0.2">
      <c r="A913" s="475"/>
      <c r="B913" s="32"/>
      <c r="C913" s="32"/>
      <c r="D913" s="323"/>
      <c r="E913" s="32"/>
      <c r="F913" s="32"/>
      <c r="G913" s="32"/>
      <c r="H913" s="487"/>
      <c r="I913" s="32"/>
      <c r="J913" s="32"/>
      <c r="K913" s="32"/>
      <c r="L913" s="487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x14ac:dyDescent="0.2">
      <c r="A914" s="475"/>
      <c r="B914" s="32"/>
      <c r="C914" s="32"/>
      <c r="D914" s="323"/>
      <c r="E914" s="32"/>
      <c r="F914" s="32"/>
      <c r="G914" s="32"/>
      <c r="H914" s="487"/>
      <c r="I914" s="32"/>
      <c r="J914" s="32"/>
      <c r="K914" s="32"/>
      <c r="L914" s="487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x14ac:dyDescent="0.2">
      <c r="A915" s="475"/>
      <c r="B915" s="32"/>
      <c r="C915" s="32"/>
      <c r="D915" s="323"/>
      <c r="E915" s="32"/>
      <c r="F915" s="32"/>
      <c r="G915" s="32"/>
      <c r="H915" s="487"/>
      <c r="I915" s="32"/>
      <c r="J915" s="32"/>
      <c r="K915" s="32"/>
      <c r="L915" s="487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x14ac:dyDescent="0.2">
      <c r="A916" s="475"/>
      <c r="B916" s="32"/>
      <c r="C916" s="32"/>
      <c r="D916" s="323"/>
      <c r="E916" s="32"/>
      <c r="F916" s="32"/>
      <c r="G916" s="32"/>
      <c r="H916" s="487"/>
      <c r="I916" s="32"/>
      <c r="J916" s="32"/>
      <c r="K916" s="32"/>
      <c r="L916" s="487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x14ac:dyDescent="0.2">
      <c r="A917" s="475"/>
      <c r="B917" s="32"/>
      <c r="C917" s="32"/>
      <c r="D917" s="323"/>
      <c r="E917" s="32"/>
      <c r="F917" s="32"/>
      <c r="G917" s="32"/>
      <c r="H917" s="487"/>
      <c r="I917" s="32"/>
      <c r="J917" s="32"/>
      <c r="K917" s="32"/>
      <c r="L917" s="487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x14ac:dyDescent="0.2">
      <c r="A918" s="475"/>
      <c r="B918" s="32"/>
      <c r="C918" s="32"/>
      <c r="D918" s="323"/>
      <c r="E918" s="32"/>
      <c r="F918" s="32"/>
      <c r="G918" s="32"/>
      <c r="H918" s="487"/>
      <c r="I918" s="32"/>
      <c r="J918" s="32"/>
      <c r="K918" s="32"/>
      <c r="L918" s="487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x14ac:dyDescent="0.2">
      <c r="A919" s="475"/>
      <c r="B919" s="32"/>
      <c r="C919" s="32"/>
      <c r="D919" s="323"/>
      <c r="E919" s="32"/>
      <c r="F919" s="32"/>
      <c r="G919" s="32"/>
      <c r="H919" s="487"/>
      <c r="I919" s="32"/>
      <c r="J919" s="32"/>
      <c r="K919" s="32"/>
      <c r="L919" s="487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x14ac:dyDescent="0.2">
      <c r="A920" s="475"/>
      <c r="B920" s="32"/>
      <c r="C920" s="32"/>
      <c r="D920" s="323"/>
      <c r="E920" s="32"/>
      <c r="F920" s="32"/>
      <c r="G920" s="32"/>
      <c r="H920" s="487"/>
      <c r="I920" s="32"/>
      <c r="J920" s="32"/>
      <c r="K920" s="32"/>
      <c r="L920" s="487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x14ac:dyDescent="0.2">
      <c r="A921" s="475"/>
      <c r="B921" s="32"/>
      <c r="C921" s="32"/>
      <c r="D921" s="323"/>
      <c r="E921" s="32"/>
      <c r="F921" s="32"/>
      <c r="G921" s="32"/>
      <c r="H921" s="487"/>
      <c r="I921" s="32"/>
      <c r="J921" s="32"/>
      <c r="K921" s="32"/>
      <c r="L921" s="487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x14ac:dyDescent="0.2">
      <c r="A922" s="475"/>
      <c r="B922" s="32"/>
      <c r="C922" s="32"/>
      <c r="D922" s="323"/>
      <c r="E922" s="32"/>
      <c r="F922" s="32"/>
      <c r="G922" s="32"/>
      <c r="H922" s="487"/>
      <c r="I922" s="32"/>
      <c r="J922" s="32"/>
      <c r="K922" s="32"/>
      <c r="L922" s="487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x14ac:dyDescent="0.2">
      <c r="A923" s="475"/>
      <c r="B923" s="32"/>
      <c r="C923" s="32"/>
      <c r="D923" s="323"/>
      <c r="E923" s="32"/>
      <c r="F923" s="32"/>
      <c r="G923" s="32"/>
      <c r="H923" s="487"/>
      <c r="I923" s="32"/>
      <c r="J923" s="32"/>
      <c r="K923" s="32"/>
      <c r="L923" s="487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x14ac:dyDescent="0.2">
      <c r="A924" s="475"/>
      <c r="B924" s="32"/>
      <c r="C924" s="32"/>
      <c r="D924" s="323"/>
      <c r="E924" s="32"/>
      <c r="F924" s="32"/>
      <c r="G924" s="32"/>
      <c r="H924" s="487"/>
      <c r="I924" s="32"/>
      <c r="J924" s="32"/>
      <c r="K924" s="32"/>
      <c r="L924" s="487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x14ac:dyDescent="0.2">
      <c r="A925" s="475"/>
      <c r="B925" s="32"/>
      <c r="C925" s="32"/>
      <c r="D925" s="323"/>
      <c r="E925" s="32"/>
      <c r="F925" s="32"/>
      <c r="G925" s="32"/>
      <c r="H925" s="487"/>
      <c r="I925" s="32"/>
      <c r="J925" s="32"/>
      <c r="K925" s="32"/>
      <c r="L925" s="487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x14ac:dyDescent="0.2">
      <c r="A926" s="475"/>
      <c r="B926" s="32"/>
      <c r="C926" s="32"/>
      <c r="D926" s="323"/>
      <c r="E926" s="32"/>
      <c r="F926" s="32"/>
      <c r="G926" s="32"/>
      <c r="H926" s="487"/>
      <c r="I926" s="32"/>
      <c r="J926" s="32"/>
      <c r="K926" s="32"/>
      <c r="L926" s="487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x14ac:dyDescent="0.2">
      <c r="A927" s="475"/>
      <c r="B927" s="32"/>
      <c r="C927" s="32"/>
      <c r="D927" s="323"/>
      <c r="E927" s="32"/>
      <c r="F927" s="32"/>
      <c r="G927" s="32"/>
      <c r="H927" s="487"/>
      <c r="I927" s="32"/>
      <c r="J927" s="32"/>
      <c r="K927" s="32"/>
      <c r="L927" s="487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x14ac:dyDescent="0.2">
      <c r="A928" s="475"/>
      <c r="B928" s="32"/>
      <c r="C928" s="32"/>
      <c r="D928" s="323"/>
      <c r="E928" s="32"/>
      <c r="F928" s="32"/>
      <c r="G928" s="32"/>
      <c r="H928" s="487"/>
      <c r="I928" s="32"/>
      <c r="J928" s="32"/>
      <c r="K928" s="32"/>
      <c r="L928" s="487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1:27" x14ac:dyDescent="0.2">
      <c r="A929" s="475"/>
      <c r="B929" s="32"/>
      <c r="C929" s="32"/>
      <c r="D929" s="323"/>
      <c r="E929" s="32"/>
      <c r="F929" s="32"/>
      <c r="G929" s="32"/>
      <c r="H929" s="487"/>
      <c r="I929" s="32"/>
      <c r="J929" s="32"/>
      <c r="K929" s="32"/>
      <c r="L929" s="487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1:27" x14ac:dyDescent="0.2">
      <c r="A930" s="475"/>
      <c r="B930" s="32"/>
      <c r="C930" s="32"/>
      <c r="D930" s="323"/>
      <c r="E930" s="32"/>
      <c r="F930" s="32"/>
      <c r="G930" s="32"/>
      <c r="H930" s="487"/>
      <c r="I930" s="32"/>
      <c r="J930" s="32"/>
      <c r="K930" s="32"/>
      <c r="L930" s="487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1:27" x14ac:dyDescent="0.2">
      <c r="A931" s="475"/>
      <c r="B931" s="32"/>
      <c r="C931" s="32"/>
      <c r="D931" s="323"/>
      <c r="E931" s="32"/>
      <c r="F931" s="32"/>
      <c r="G931" s="32"/>
      <c r="H931" s="487"/>
      <c r="I931" s="32"/>
      <c r="J931" s="32"/>
      <c r="K931" s="32"/>
      <c r="L931" s="487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spans="1:27" x14ac:dyDescent="0.2">
      <c r="A932" s="475"/>
      <c r="B932" s="32"/>
      <c r="C932" s="32"/>
      <c r="D932" s="323"/>
      <c r="E932" s="32"/>
      <c r="F932" s="32"/>
      <c r="G932" s="32"/>
      <c r="H932" s="487"/>
      <c r="I932" s="32"/>
      <c r="J932" s="32"/>
      <c r="K932" s="32"/>
      <c r="L932" s="487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spans="1:27" x14ac:dyDescent="0.2">
      <c r="A933" s="475"/>
      <c r="B933" s="32"/>
      <c r="C933" s="32"/>
      <c r="D933" s="323"/>
      <c r="E933" s="32"/>
      <c r="F933" s="32"/>
      <c r="G933" s="32"/>
      <c r="H933" s="487"/>
      <c r="I933" s="32"/>
      <c r="J933" s="32"/>
      <c r="K933" s="32"/>
      <c r="L933" s="487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spans="1:27" x14ac:dyDescent="0.2">
      <c r="A934" s="475"/>
      <c r="B934" s="32"/>
      <c r="C934" s="32"/>
      <c r="D934" s="323"/>
      <c r="E934" s="32"/>
      <c r="F934" s="32"/>
      <c r="G934" s="32"/>
      <c r="H934" s="487"/>
      <c r="I934" s="32"/>
      <c r="J934" s="32"/>
      <c r="K934" s="32"/>
      <c r="L934" s="487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spans="1:27" x14ac:dyDescent="0.2">
      <c r="A935" s="475"/>
      <c r="B935" s="32"/>
      <c r="C935" s="32"/>
      <c r="D935" s="323"/>
      <c r="E935" s="32"/>
      <c r="F935" s="32"/>
      <c r="G935" s="32"/>
      <c r="H935" s="487"/>
      <c r="I935" s="32"/>
      <c r="J935" s="32"/>
      <c r="K935" s="32"/>
      <c r="L935" s="487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spans="1:27" x14ac:dyDescent="0.2">
      <c r="A936" s="475"/>
      <c r="B936" s="32"/>
      <c r="C936" s="32"/>
      <c r="D936" s="323"/>
      <c r="E936" s="32"/>
      <c r="F936" s="32"/>
      <c r="G936" s="32"/>
      <c r="H936" s="487"/>
      <c r="I936" s="32"/>
      <c r="J936" s="32"/>
      <c r="K936" s="32"/>
      <c r="L936" s="487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spans="1:27" x14ac:dyDescent="0.2">
      <c r="A937" s="475"/>
      <c r="B937" s="32"/>
      <c r="C937" s="32"/>
      <c r="D937" s="323"/>
      <c r="E937" s="32"/>
      <c r="F937" s="32"/>
      <c r="G937" s="32"/>
      <c r="H937" s="487"/>
      <c r="I937" s="32"/>
      <c r="J937" s="32"/>
      <c r="K937" s="32"/>
      <c r="L937" s="487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spans="1:27" x14ac:dyDescent="0.2">
      <c r="A938" s="475"/>
      <c r="B938" s="32"/>
      <c r="C938" s="32"/>
      <c r="D938" s="323"/>
      <c r="E938" s="32"/>
      <c r="F938" s="32"/>
      <c r="G938" s="32"/>
      <c r="H938" s="487"/>
      <c r="I938" s="32"/>
      <c r="J938" s="32"/>
      <c r="K938" s="32"/>
      <c r="L938" s="487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spans="1:27" x14ac:dyDescent="0.2">
      <c r="A939" s="475"/>
      <c r="B939" s="32"/>
      <c r="C939" s="32"/>
      <c r="D939" s="323"/>
      <c r="E939" s="32"/>
      <c r="F939" s="32"/>
      <c r="G939" s="32"/>
      <c r="H939" s="487"/>
      <c r="I939" s="32"/>
      <c r="J939" s="32"/>
      <c r="K939" s="32"/>
      <c r="L939" s="487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spans="1:27" x14ac:dyDescent="0.2">
      <c r="A940" s="475"/>
      <c r="B940" s="32"/>
      <c r="C940" s="32"/>
      <c r="D940" s="323"/>
      <c r="E940" s="32"/>
      <c r="F940" s="32"/>
      <c r="G940" s="32"/>
      <c r="H940" s="487"/>
      <c r="I940" s="32"/>
      <c r="J940" s="32"/>
      <c r="K940" s="32"/>
      <c r="L940" s="487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spans="1:27" x14ac:dyDescent="0.2">
      <c r="A941" s="475"/>
      <c r="B941" s="32"/>
      <c r="C941" s="32"/>
      <c r="D941" s="323"/>
      <c r="E941" s="32"/>
      <c r="F941" s="32"/>
      <c r="G941" s="32"/>
      <c r="H941" s="487"/>
      <c r="I941" s="32"/>
      <c r="J941" s="32"/>
      <c r="K941" s="32"/>
      <c r="L941" s="487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spans="1:27" x14ac:dyDescent="0.2">
      <c r="A942" s="475"/>
      <c r="B942" s="32"/>
      <c r="C942" s="32"/>
      <c r="D942" s="323"/>
      <c r="E942" s="32"/>
      <c r="F942" s="32"/>
      <c r="G942" s="32"/>
      <c r="H942" s="487"/>
      <c r="I942" s="32"/>
      <c r="J942" s="32"/>
      <c r="K942" s="32"/>
      <c r="L942" s="487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spans="1:27" x14ac:dyDescent="0.2">
      <c r="A943" s="475"/>
      <c r="B943" s="32"/>
      <c r="C943" s="32"/>
      <c r="D943" s="323"/>
      <c r="E943" s="32"/>
      <c r="F943" s="32"/>
      <c r="G943" s="32"/>
      <c r="H943" s="487"/>
      <c r="I943" s="32"/>
      <c r="J943" s="32"/>
      <c r="K943" s="32"/>
      <c r="L943" s="487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spans="1:27" x14ac:dyDescent="0.2">
      <c r="A944" s="475"/>
      <c r="B944" s="32"/>
      <c r="C944" s="32"/>
      <c r="D944" s="323"/>
      <c r="E944" s="32"/>
      <c r="F944" s="32"/>
      <c r="G944" s="32"/>
      <c r="H944" s="487"/>
      <c r="I944" s="32"/>
      <c r="J944" s="32"/>
      <c r="K944" s="32"/>
      <c r="L944" s="487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spans="1:27" x14ac:dyDescent="0.2">
      <c r="A945" s="475"/>
      <c r="B945" s="32"/>
      <c r="C945" s="32"/>
      <c r="D945" s="323"/>
      <c r="E945" s="32"/>
      <c r="F945" s="32"/>
      <c r="G945" s="32"/>
      <c r="H945" s="487"/>
      <c r="I945" s="32"/>
      <c r="J945" s="32"/>
      <c r="K945" s="32"/>
      <c r="L945" s="487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spans="1:27" x14ac:dyDescent="0.2">
      <c r="A946" s="475"/>
      <c r="B946" s="32"/>
      <c r="C946" s="32"/>
      <c r="D946" s="323"/>
      <c r="E946" s="32"/>
      <c r="F946" s="32"/>
      <c r="G946" s="32"/>
      <c r="H946" s="487"/>
      <c r="I946" s="32"/>
      <c r="J946" s="32"/>
      <c r="K946" s="32"/>
      <c r="L946" s="487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spans="1:27" x14ac:dyDescent="0.2">
      <c r="A947" s="475"/>
      <c r="B947" s="32"/>
      <c r="C947" s="32"/>
      <c r="D947" s="323"/>
      <c r="E947" s="32"/>
      <c r="F947" s="32"/>
      <c r="G947" s="32"/>
      <c r="H947" s="487"/>
      <c r="I947" s="32"/>
      <c r="J947" s="32"/>
      <c r="K947" s="32"/>
      <c r="L947" s="487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spans="1:27" x14ac:dyDescent="0.2">
      <c r="A948" s="475"/>
      <c r="B948" s="32"/>
      <c r="C948" s="32"/>
      <c r="D948" s="323"/>
      <c r="E948" s="32"/>
      <c r="F948" s="32"/>
      <c r="G948" s="32"/>
      <c r="H948" s="487"/>
      <c r="I948" s="32"/>
      <c r="J948" s="32"/>
      <c r="K948" s="32"/>
      <c r="L948" s="487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spans="1:27" x14ac:dyDescent="0.2">
      <c r="A949" s="475"/>
      <c r="B949" s="32"/>
      <c r="C949" s="32"/>
      <c r="D949" s="323"/>
      <c r="E949" s="32"/>
      <c r="F949" s="32"/>
      <c r="G949" s="32"/>
      <c r="H949" s="487"/>
      <c r="I949" s="32"/>
      <c r="J949" s="32"/>
      <c r="K949" s="32"/>
      <c r="L949" s="487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spans="1:27" x14ac:dyDescent="0.2">
      <c r="A950" s="475"/>
      <c r="B950" s="32"/>
      <c r="C950" s="32"/>
      <c r="D950" s="323"/>
      <c r="E950" s="32"/>
      <c r="F950" s="32"/>
      <c r="G950" s="32"/>
      <c r="H950" s="487"/>
      <c r="I950" s="32"/>
      <c r="J950" s="32"/>
      <c r="K950" s="32"/>
      <c r="L950" s="487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spans="1:27" x14ac:dyDescent="0.2">
      <c r="A951" s="475"/>
      <c r="B951" s="32"/>
      <c r="C951" s="32"/>
      <c r="D951" s="323"/>
      <c r="E951" s="32"/>
      <c r="F951" s="32"/>
      <c r="G951" s="32"/>
      <c r="H951" s="487"/>
      <c r="I951" s="32"/>
      <c r="J951" s="32"/>
      <c r="K951" s="32"/>
      <c r="L951" s="487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spans="1:27" x14ac:dyDescent="0.2">
      <c r="A952" s="475"/>
      <c r="B952" s="32"/>
      <c r="C952" s="32"/>
      <c r="D952" s="323"/>
      <c r="E952" s="32"/>
      <c r="F952" s="32"/>
      <c r="G952" s="32"/>
      <c r="H952" s="487"/>
      <c r="I952" s="32"/>
      <c r="J952" s="32"/>
      <c r="K952" s="32"/>
      <c r="L952" s="487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spans="1:27" x14ac:dyDescent="0.2">
      <c r="A953" s="475"/>
      <c r="B953" s="32"/>
      <c r="C953" s="32"/>
      <c r="D953" s="323"/>
      <c r="E953" s="32"/>
      <c r="F953" s="32"/>
      <c r="G953" s="32"/>
      <c r="H953" s="487"/>
      <c r="I953" s="32"/>
      <c r="J953" s="32"/>
      <c r="K953" s="32"/>
      <c r="L953" s="487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spans="1:27" x14ac:dyDescent="0.2">
      <c r="A954" s="475"/>
      <c r="B954" s="32"/>
      <c r="C954" s="32"/>
      <c r="D954" s="323"/>
      <c r="E954" s="32"/>
      <c r="F954" s="32"/>
      <c r="G954" s="32"/>
      <c r="H954" s="487"/>
      <c r="I954" s="32"/>
      <c r="J954" s="32"/>
      <c r="K954" s="32"/>
      <c r="L954" s="487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spans="1:27" x14ac:dyDescent="0.2">
      <c r="A955" s="475"/>
      <c r="B955" s="32"/>
      <c r="C955" s="32"/>
      <c r="D955" s="323"/>
      <c r="E955" s="32"/>
      <c r="F955" s="32"/>
      <c r="G955" s="32"/>
      <c r="H955" s="487"/>
      <c r="I955" s="32"/>
      <c r="J955" s="32"/>
      <c r="K955" s="32"/>
      <c r="L955" s="487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spans="1:27" x14ac:dyDescent="0.2">
      <c r="A956" s="475"/>
      <c r="B956" s="32"/>
      <c r="C956" s="32"/>
      <c r="D956" s="323"/>
      <c r="E956" s="32"/>
      <c r="F956" s="32"/>
      <c r="G956" s="32"/>
      <c r="H956" s="487"/>
      <c r="I956" s="32"/>
      <c r="J956" s="32"/>
      <c r="K956" s="32"/>
      <c r="L956" s="487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spans="1:27" x14ac:dyDescent="0.2">
      <c r="A957" s="475"/>
      <c r="B957" s="32"/>
      <c r="C957" s="32"/>
      <c r="D957" s="323"/>
      <c r="E957" s="32"/>
      <c r="F957" s="32"/>
      <c r="G957" s="32"/>
      <c r="H957" s="487"/>
      <c r="I957" s="32"/>
      <c r="J957" s="32"/>
      <c r="K957" s="32"/>
      <c r="L957" s="487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spans="1:27" x14ac:dyDescent="0.2">
      <c r="A958" s="475"/>
      <c r="B958" s="32"/>
      <c r="C958" s="32"/>
      <c r="D958" s="323"/>
      <c r="E958" s="32"/>
      <c r="F958" s="32"/>
      <c r="G958" s="32"/>
      <c r="H958" s="487"/>
      <c r="I958" s="32"/>
      <c r="J958" s="32"/>
      <c r="K958" s="32"/>
      <c r="L958" s="487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spans="1:27" x14ac:dyDescent="0.2">
      <c r="A959" s="475"/>
      <c r="B959" s="32"/>
      <c r="C959" s="32"/>
      <c r="D959" s="323"/>
      <c r="E959" s="32"/>
      <c r="F959" s="32"/>
      <c r="G959" s="32"/>
      <c r="H959" s="487"/>
      <c r="I959" s="32"/>
      <c r="J959" s="32"/>
      <c r="K959" s="32"/>
      <c r="L959" s="487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spans="1:27" x14ac:dyDescent="0.2">
      <c r="A960" s="475"/>
      <c r="B960" s="32"/>
      <c r="C960" s="32"/>
      <c r="D960" s="323"/>
      <c r="E960" s="32"/>
      <c r="F960" s="32"/>
      <c r="G960" s="32"/>
      <c r="H960" s="487"/>
      <c r="I960" s="32"/>
      <c r="J960" s="32"/>
      <c r="K960" s="32"/>
      <c r="L960" s="487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spans="1:27" x14ac:dyDescent="0.2">
      <c r="A961" s="475"/>
      <c r="B961" s="32"/>
      <c r="C961" s="32"/>
      <c r="D961" s="323"/>
      <c r="E961" s="32"/>
      <c r="F961" s="32"/>
      <c r="G961" s="32"/>
      <c r="H961" s="487"/>
      <c r="I961" s="32"/>
      <c r="J961" s="32"/>
      <c r="K961" s="32"/>
      <c r="L961" s="487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spans="1:27" x14ac:dyDescent="0.2">
      <c r="A962" s="475"/>
      <c r="B962" s="32"/>
      <c r="C962" s="32"/>
      <c r="D962" s="323"/>
      <c r="E962" s="32"/>
      <c r="F962" s="32"/>
      <c r="G962" s="32"/>
      <c r="H962" s="487"/>
      <c r="I962" s="32"/>
      <c r="J962" s="32"/>
      <c r="K962" s="32"/>
      <c r="L962" s="487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spans="1:27" x14ac:dyDescent="0.2">
      <c r="A963" s="475"/>
      <c r="B963" s="32"/>
      <c r="C963" s="32"/>
      <c r="D963" s="323"/>
      <c r="E963" s="32"/>
      <c r="F963" s="32"/>
      <c r="G963" s="32"/>
      <c r="H963" s="487"/>
      <c r="I963" s="32"/>
      <c r="J963" s="32"/>
      <c r="K963" s="32"/>
      <c r="L963" s="487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spans="1:27" x14ac:dyDescent="0.2">
      <c r="A964" s="475"/>
      <c r="B964" s="32"/>
      <c r="C964" s="32"/>
      <c r="D964" s="323"/>
      <c r="E964" s="32"/>
      <c r="F964" s="32"/>
      <c r="G964" s="32"/>
      <c r="H964" s="487"/>
      <c r="I964" s="32"/>
      <c r="J964" s="32"/>
      <c r="K964" s="32"/>
      <c r="L964" s="487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spans="1:27" x14ac:dyDescent="0.2">
      <c r="A965" s="475"/>
      <c r="B965" s="32"/>
      <c r="C965" s="32"/>
      <c r="D965" s="323"/>
      <c r="E965" s="32"/>
      <c r="F965" s="32"/>
      <c r="G965" s="32"/>
      <c r="H965" s="487"/>
      <c r="I965" s="32"/>
      <c r="J965" s="32"/>
      <c r="K965" s="32"/>
      <c r="L965" s="487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spans="1:27" x14ac:dyDescent="0.2">
      <c r="A966" s="475"/>
      <c r="B966" s="32"/>
      <c r="C966" s="32"/>
      <c r="D966" s="323"/>
      <c r="E966" s="32"/>
      <c r="F966" s="32"/>
      <c r="G966" s="32"/>
      <c r="H966" s="487"/>
      <c r="I966" s="32"/>
      <c r="J966" s="32"/>
      <c r="K966" s="32"/>
      <c r="L966" s="487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spans="1:27" x14ac:dyDescent="0.2">
      <c r="A967" s="475"/>
      <c r="B967" s="32"/>
      <c r="C967" s="32"/>
      <c r="D967" s="323"/>
      <c r="E967" s="32"/>
      <c r="F967" s="32"/>
      <c r="G967" s="32"/>
      <c r="H967" s="487"/>
      <c r="I967" s="32"/>
      <c r="J967" s="32"/>
      <c r="K967" s="32"/>
      <c r="L967" s="487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spans="1:27" x14ac:dyDescent="0.2">
      <c r="A968" s="475"/>
      <c r="B968" s="32"/>
      <c r="C968" s="32"/>
      <c r="D968" s="323"/>
      <c r="E968" s="32"/>
      <c r="F968" s="32"/>
      <c r="G968" s="32"/>
      <c r="H968" s="487"/>
      <c r="I968" s="32"/>
      <c r="J968" s="32"/>
      <c r="K968" s="32"/>
      <c r="L968" s="487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spans="1:27" x14ac:dyDescent="0.2">
      <c r="A969" s="475"/>
      <c r="B969" s="32"/>
      <c r="C969" s="32"/>
      <c r="D969" s="323"/>
      <c r="E969" s="32"/>
      <c r="F969" s="32"/>
      <c r="G969" s="32"/>
      <c r="H969" s="487"/>
      <c r="I969" s="32"/>
      <c r="J969" s="32"/>
      <c r="K969" s="32"/>
      <c r="L969" s="487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spans="1:27" x14ac:dyDescent="0.2">
      <c r="A970" s="475"/>
      <c r="B970" s="32"/>
      <c r="C970" s="32"/>
      <c r="D970" s="323"/>
      <c r="E970" s="32"/>
      <c r="F970" s="32"/>
      <c r="G970" s="32"/>
      <c r="H970" s="487"/>
      <c r="I970" s="32"/>
      <c r="J970" s="32"/>
      <c r="K970" s="32"/>
      <c r="L970" s="487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spans="1:27" x14ac:dyDescent="0.2">
      <c r="A971" s="475"/>
      <c r="B971" s="32"/>
      <c r="C971" s="32"/>
      <c r="D971" s="323"/>
      <c r="E971" s="32"/>
      <c r="F971" s="32"/>
      <c r="G971" s="32"/>
      <c r="H971" s="487"/>
      <c r="I971" s="32"/>
      <c r="J971" s="32"/>
      <c r="K971" s="32"/>
      <c r="L971" s="487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spans="1:27" x14ac:dyDescent="0.2">
      <c r="A972" s="475"/>
      <c r="B972" s="32"/>
      <c r="C972" s="32"/>
      <c r="D972" s="323"/>
      <c r="E972" s="32"/>
      <c r="F972" s="32"/>
      <c r="G972" s="32"/>
      <c r="H972" s="487"/>
      <c r="I972" s="32"/>
      <c r="J972" s="32"/>
      <c r="K972" s="32"/>
      <c r="L972" s="487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spans="1:27" x14ac:dyDescent="0.2">
      <c r="A973" s="475"/>
      <c r="B973" s="32"/>
      <c r="C973" s="32"/>
      <c r="D973" s="323"/>
      <c r="E973" s="32"/>
      <c r="F973" s="32"/>
      <c r="G973" s="32"/>
      <c r="H973" s="487"/>
      <c r="I973" s="32"/>
      <c r="J973" s="32"/>
      <c r="K973" s="32"/>
      <c r="L973" s="487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spans="1:27" x14ac:dyDescent="0.2">
      <c r="A974" s="475"/>
      <c r="B974" s="32"/>
      <c r="C974" s="32"/>
      <c r="D974" s="323"/>
      <c r="E974" s="32"/>
      <c r="F974" s="32"/>
      <c r="G974" s="32"/>
      <c r="H974" s="487"/>
      <c r="I974" s="32"/>
      <c r="J974" s="32"/>
      <c r="K974" s="32"/>
      <c r="L974" s="487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spans="1:27" x14ac:dyDescent="0.2">
      <c r="A975" s="475"/>
      <c r="B975" s="32"/>
      <c r="C975" s="32"/>
      <c r="D975" s="323"/>
      <c r="E975" s="32"/>
      <c r="F975" s="32"/>
      <c r="G975" s="32"/>
      <c r="H975" s="487"/>
      <c r="I975" s="32"/>
      <c r="J975" s="32"/>
      <c r="K975" s="32"/>
      <c r="L975" s="487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spans="1:27" x14ac:dyDescent="0.2">
      <c r="A976" s="475"/>
      <c r="B976" s="32"/>
      <c r="C976" s="32"/>
      <c r="D976" s="323"/>
      <c r="E976" s="32"/>
      <c r="F976" s="32"/>
      <c r="G976" s="32"/>
      <c r="H976" s="487"/>
      <c r="I976" s="32"/>
      <c r="J976" s="32"/>
      <c r="K976" s="32"/>
      <c r="L976" s="487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spans="1:27" x14ac:dyDescent="0.2">
      <c r="A977" s="475"/>
      <c r="B977" s="32"/>
      <c r="C977" s="32"/>
      <c r="D977" s="323"/>
      <c r="E977" s="32"/>
      <c r="F977" s="32"/>
      <c r="G977" s="32"/>
      <c r="H977" s="487"/>
      <c r="I977" s="32"/>
      <c r="J977" s="32"/>
      <c r="K977" s="32"/>
      <c r="L977" s="487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spans="1:27" x14ac:dyDescent="0.2">
      <c r="A978" s="475"/>
      <c r="B978" s="32"/>
      <c r="C978" s="32"/>
      <c r="D978" s="323"/>
      <c r="E978" s="32"/>
      <c r="F978" s="32"/>
      <c r="G978" s="32"/>
      <c r="H978" s="487"/>
      <c r="I978" s="32"/>
      <c r="J978" s="32"/>
      <c r="K978" s="32"/>
      <c r="L978" s="487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spans="1:27" x14ac:dyDescent="0.2">
      <c r="A979" s="475"/>
      <c r="B979" s="32"/>
      <c r="C979" s="32"/>
      <c r="D979" s="323"/>
      <c r="E979" s="32"/>
      <c r="F979" s="32"/>
      <c r="G979" s="32"/>
      <c r="H979" s="487"/>
      <c r="I979" s="32"/>
      <c r="J979" s="32"/>
      <c r="K979" s="32"/>
      <c r="L979" s="487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spans="1:27" x14ac:dyDescent="0.2">
      <c r="A980" s="475"/>
      <c r="B980" s="32"/>
      <c r="C980" s="32"/>
      <c r="D980" s="323"/>
      <c r="E980" s="32"/>
      <c r="F980" s="32"/>
      <c r="G980" s="32"/>
      <c r="H980" s="487"/>
      <c r="I980" s="32"/>
      <c r="J980" s="32"/>
      <c r="K980" s="32"/>
      <c r="L980" s="487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spans="1:27" x14ac:dyDescent="0.2">
      <c r="A981" s="475"/>
      <c r="B981" s="32"/>
      <c r="C981" s="32"/>
      <c r="D981" s="323"/>
      <c r="E981" s="32"/>
      <c r="F981" s="32"/>
      <c r="G981" s="32"/>
      <c r="H981" s="487"/>
      <c r="I981" s="32"/>
      <c r="J981" s="32"/>
      <c r="K981" s="32"/>
      <c r="L981" s="487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spans="1:27" x14ac:dyDescent="0.2">
      <c r="A982" s="475"/>
      <c r="B982" s="32"/>
      <c r="C982" s="32"/>
      <c r="D982" s="323"/>
      <c r="E982" s="32"/>
      <c r="F982" s="32"/>
      <c r="G982" s="32"/>
      <c r="H982" s="487"/>
      <c r="I982" s="32"/>
      <c r="J982" s="32"/>
      <c r="K982" s="32"/>
      <c r="L982" s="487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spans="1:27" x14ac:dyDescent="0.2">
      <c r="A983" s="475"/>
      <c r="B983" s="32"/>
      <c r="C983" s="32"/>
      <c r="D983" s="323"/>
      <c r="E983" s="32"/>
      <c r="F983" s="32"/>
      <c r="G983" s="32"/>
      <c r="H983" s="487"/>
      <c r="I983" s="32"/>
      <c r="J983" s="32"/>
      <c r="K983" s="32"/>
      <c r="L983" s="487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spans="1:27" x14ac:dyDescent="0.2">
      <c r="A984" s="475"/>
      <c r="B984" s="32"/>
      <c r="C984" s="32"/>
      <c r="D984" s="323"/>
      <c r="E984" s="32"/>
      <c r="F984" s="32"/>
      <c r="G984" s="32"/>
      <c r="H984" s="487"/>
      <c r="I984" s="32"/>
      <c r="J984" s="32"/>
      <c r="K984" s="32"/>
      <c r="L984" s="487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spans="1:27" x14ac:dyDescent="0.2">
      <c r="A985" s="475"/>
      <c r="B985" s="32"/>
      <c r="C985" s="32"/>
      <c r="D985" s="323"/>
      <c r="E985" s="32"/>
      <c r="F985" s="32"/>
      <c r="G985" s="32"/>
      <c r="H985" s="487"/>
      <c r="I985" s="32"/>
      <c r="J985" s="32"/>
      <c r="K985" s="32"/>
      <c r="L985" s="487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spans="1:27" x14ac:dyDescent="0.2">
      <c r="A986" s="475"/>
      <c r="B986" s="32"/>
      <c r="C986" s="32"/>
      <c r="D986" s="323"/>
      <c r="E986" s="32"/>
      <c r="F986" s="32"/>
      <c r="G986" s="32"/>
      <c r="H986" s="487"/>
      <c r="I986" s="32"/>
      <c r="J986" s="32"/>
      <c r="K986" s="32"/>
      <c r="L986" s="487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spans="1:27" x14ac:dyDescent="0.2">
      <c r="A987" s="475"/>
      <c r="B987" s="32"/>
      <c r="C987" s="32"/>
      <c r="D987" s="323"/>
      <c r="E987" s="32"/>
      <c r="F987" s="32"/>
      <c r="G987" s="32"/>
      <c r="H987" s="487"/>
      <c r="I987" s="32"/>
      <c r="J987" s="32"/>
      <c r="K987" s="32"/>
      <c r="L987" s="487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spans="1:27" x14ac:dyDescent="0.2">
      <c r="A988" s="475"/>
      <c r="B988" s="32"/>
      <c r="C988" s="32"/>
      <c r="D988" s="323"/>
      <c r="E988" s="32"/>
      <c r="F988" s="32"/>
      <c r="G988" s="32"/>
      <c r="H988" s="487"/>
      <c r="I988" s="32"/>
      <c r="J988" s="32"/>
      <c r="K988" s="32"/>
      <c r="L988" s="487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spans="1:27" x14ac:dyDescent="0.2">
      <c r="A989" s="475"/>
      <c r="B989" s="32"/>
      <c r="C989" s="32"/>
      <c r="D989" s="323"/>
      <c r="E989" s="32"/>
      <c r="F989" s="32"/>
      <c r="G989" s="32"/>
      <c r="H989" s="487"/>
      <c r="I989" s="32"/>
      <c r="J989" s="32"/>
      <c r="K989" s="32"/>
      <c r="L989" s="487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spans="1:27" x14ac:dyDescent="0.2">
      <c r="A990" s="475"/>
      <c r="B990" s="32"/>
      <c r="C990" s="32"/>
      <c r="D990" s="323"/>
      <c r="E990" s="32"/>
      <c r="F990" s="32"/>
      <c r="G990" s="32"/>
      <c r="H990" s="487"/>
      <c r="I990" s="32"/>
      <c r="J990" s="32"/>
      <c r="K990" s="32"/>
      <c r="L990" s="487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spans="1:27" x14ac:dyDescent="0.2">
      <c r="A991" s="475"/>
      <c r="B991" s="32"/>
      <c r="C991" s="32"/>
      <c r="D991" s="323"/>
      <c r="E991" s="32"/>
      <c r="F991" s="32"/>
      <c r="G991" s="32"/>
      <c r="H991" s="487"/>
      <c r="I991" s="32"/>
      <c r="J991" s="32"/>
      <c r="K991" s="32"/>
      <c r="L991" s="487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spans="1:27" x14ac:dyDescent="0.2">
      <c r="A992" s="475"/>
      <c r="B992" s="32"/>
      <c r="C992" s="32"/>
      <c r="D992" s="323"/>
      <c r="E992" s="32"/>
      <c r="F992" s="32"/>
      <c r="G992" s="32"/>
      <c r="H992" s="487"/>
      <c r="I992" s="32"/>
      <c r="J992" s="32"/>
      <c r="K992" s="32"/>
      <c r="L992" s="487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spans="1:27" x14ac:dyDescent="0.2">
      <c r="A993" s="475"/>
      <c r="B993" s="32"/>
      <c r="C993" s="32"/>
      <c r="D993" s="323"/>
      <c r="E993" s="32"/>
      <c r="F993" s="32"/>
      <c r="G993" s="32"/>
      <c r="H993" s="487"/>
      <c r="I993" s="32"/>
      <c r="J993" s="32"/>
      <c r="K993" s="32"/>
      <c r="L993" s="487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spans="1:27" x14ac:dyDescent="0.2">
      <c r="A994" s="475"/>
      <c r="B994" s="32"/>
      <c r="C994" s="32"/>
      <c r="D994" s="323"/>
      <c r="E994" s="32"/>
      <c r="F994" s="32"/>
      <c r="G994" s="32"/>
      <c r="H994" s="487"/>
      <c r="I994" s="32"/>
      <c r="J994" s="32"/>
      <c r="K994" s="32"/>
      <c r="L994" s="487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spans="1:27" x14ac:dyDescent="0.2">
      <c r="A995" s="475"/>
      <c r="B995" s="32"/>
      <c r="C995" s="32"/>
      <c r="D995" s="323"/>
      <c r="E995" s="32"/>
      <c r="F995" s="32"/>
      <c r="G995" s="32"/>
      <c r="H995" s="487"/>
      <c r="I995" s="32"/>
      <c r="J995" s="32"/>
      <c r="K995" s="32"/>
      <c r="L995" s="487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spans="1:27" x14ac:dyDescent="0.2">
      <c r="A996" s="475"/>
      <c r="B996" s="32"/>
      <c r="C996" s="32"/>
      <c r="D996" s="323"/>
      <c r="E996" s="32"/>
      <c r="F996" s="32"/>
      <c r="G996" s="32"/>
      <c r="H996" s="487"/>
      <c r="I996" s="32"/>
      <c r="J996" s="32"/>
      <c r="K996" s="32"/>
      <c r="L996" s="487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spans="1:27" x14ac:dyDescent="0.2">
      <c r="A997" s="475"/>
      <c r="B997" s="32"/>
      <c r="C997" s="32"/>
      <c r="D997" s="323"/>
      <c r="E997" s="32"/>
      <c r="F997" s="32"/>
      <c r="G997" s="32"/>
      <c r="H997" s="487"/>
      <c r="I997" s="32"/>
      <c r="J997" s="32"/>
      <c r="K997" s="32"/>
      <c r="L997" s="487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spans="1:27" x14ac:dyDescent="0.2">
      <c r="A998" s="475"/>
      <c r="B998" s="32"/>
      <c r="C998" s="32"/>
      <c r="D998" s="323"/>
      <c r="E998" s="32"/>
      <c r="F998" s="32"/>
      <c r="G998" s="32"/>
      <c r="H998" s="487"/>
      <c r="I998" s="32"/>
      <c r="J998" s="32"/>
      <c r="K998" s="32"/>
      <c r="L998" s="487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spans="1:27" x14ac:dyDescent="0.2">
      <c r="A999" s="475"/>
      <c r="B999" s="32"/>
      <c r="C999" s="32"/>
      <c r="D999" s="323"/>
      <c r="E999" s="32"/>
      <c r="F999" s="32"/>
      <c r="G999" s="32"/>
      <c r="H999" s="487"/>
      <c r="I999" s="32"/>
      <c r="J999" s="32"/>
      <c r="K999" s="32"/>
      <c r="L999" s="487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spans="1:27" x14ac:dyDescent="0.2">
      <c r="A1000" s="475"/>
      <c r="B1000" s="32"/>
      <c r="C1000" s="32"/>
      <c r="D1000" s="323"/>
      <c r="E1000" s="32"/>
      <c r="F1000" s="32"/>
      <c r="G1000" s="32"/>
      <c r="H1000" s="487"/>
      <c r="I1000" s="32"/>
      <c r="J1000" s="32"/>
      <c r="K1000" s="32"/>
      <c r="L1000" s="487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  <row r="1001" spans="1:27" x14ac:dyDescent="0.2">
      <c r="A1001" s="475"/>
      <c r="B1001" s="32"/>
      <c r="C1001" s="32"/>
      <c r="D1001" s="323"/>
      <c r="E1001" s="32"/>
      <c r="F1001" s="32"/>
      <c r="G1001" s="32"/>
      <c r="H1001" s="487"/>
      <c r="I1001" s="32"/>
      <c r="J1001" s="32"/>
      <c r="K1001" s="32"/>
      <c r="L1001" s="487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</row>
    <row r="1002" spans="1:27" x14ac:dyDescent="0.2">
      <c r="A1002" s="475"/>
      <c r="B1002" s="32"/>
      <c r="C1002" s="32"/>
      <c r="D1002" s="323"/>
      <c r="E1002" s="32"/>
      <c r="F1002" s="32"/>
      <c r="G1002" s="32"/>
      <c r="H1002" s="487"/>
      <c r="I1002" s="32"/>
      <c r="J1002" s="32"/>
      <c r="K1002" s="32"/>
      <c r="L1002" s="487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</row>
    <row r="1003" spans="1:27" x14ac:dyDescent="0.2">
      <c r="A1003" s="475"/>
      <c r="B1003" s="32"/>
      <c r="C1003" s="32"/>
      <c r="D1003" s="323"/>
      <c r="E1003" s="32"/>
      <c r="F1003" s="32"/>
      <c r="G1003" s="32"/>
      <c r="H1003" s="487"/>
      <c r="I1003" s="32"/>
      <c r="J1003" s="32"/>
      <c r="K1003" s="32"/>
      <c r="L1003" s="487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</row>
    <row r="1004" spans="1:27" x14ac:dyDescent="0.2">
      <c r="A1004" s="475"/>
      <c r="B1004" s="32"/>
      <c r="C1004" s="32"/>
      <c r="D1004" s="323"/>
      <c r="E1004" s="32"/>
      <c r="F1004" s="32"/>
      <c r="G1004" s="32"/>
      <c r="H1004" s="487"/>
      <c r="I1004" s="32"/>
      <c r="J1004" s="32"/>
      <c r="K1004" s="32"/>
      <c r="L1004" s="487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</row>
    <row r="1005" spans="1:27" x14ac:dyDescent="0.2">
      <c r="A1005" s="475"/>
      <c r="B1005" s="32"/>
      <c r="C1005" s="32"/>
      <c r="D1005" s="323"/>
      <c r="E1005" s="32"/>
      <c r="F1005" s="32"/>
      <c r="G1005" s="32"/>
      <c r="H1005" s="487"/>
      <c r="I1005" s="32"/>
      <c r="J1005" s="32"/>
      <c r="K1005" s="32"/>
      <c r="L1005" s="487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</row>
    <row r="1006" spans="1:27" x14ac:dyDescent="0.2">
      <c r="A1006" s="475"/>
      <c r="B1006" s="32"/>
      <c r="C1006" s="32"/>
      <c r="D1006" s="323"/>
      <c r="E1006" s="32"/>
      <c r="F1006" s="32"/>
      <c r="G1006" s="32"/>
      <c r="H1006" s="487"/>
      <c r="I1006" s="32"/>
      <c r="J1006" s="32"/>
      <c r="K1006" s="32"/>
      <c r="L1006" s="487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</row>
    <row r="1007" spans="1:27" x14ac:dyDescent="0.2">
      <c r="A1007" s="475"/>
      <c r="B1007" s="32"/>
      <c r="C1007" s="32"/>
      <c r="D1007" s="323"/>
      <c r="E1007" s="32"/>
      <c r="F1007" s="32"/>
      <c r="G1007" s="32"/>
      <c r="H1007" s="487"/>
      <c r="I1007" s="32"/>
      <c r="J1007" s="32"/>
      <c r="K1007" s="32"/>
      <c r="L1007" s="487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</row>
    <row r="1008" spans="1:27" x14ac:dyDescent="0.2">
      <c r="A1008" s="475"/>
      <c r="B1008" s="32"/>
      <c r="C1008" s="32"/>
      <c r="D1008" s="323"/>
      <c r="E1008" s="32"/>
      <c r="F1008" s="32"/>
      <c r="G1008" s="32"/>
      <c r="H1008" s="487"/>
      <c r="I1008" s="32"/>
      <c r="J1008" s="32"/>
      <c r="K1008" s="32"/>
      <c r="L1008" s="487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</row>
    <row r="1009" spans="1:27" x14ac:dyDescent="0.2">
      <c r="A1009" s="475"/>
      <c r="B1009" s="32"/>
      <c r="C1009" s="32"/>
      <c r="D1009" s="323"/>
      <c r="E1009" s="32"/>
      <c r="F1009" s="32"/>
      <c r="G1009" s="32"/>
      <c r="H1009" s="487"/>
      <c r="I1009" s="32"/>
      <c r="J1009" s="32"/>
      <c r="K1009" s="32"/>
      <c r="L1009" s="487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</row>
    <row r="1010" spans="1:27" x14ac:dyDescent="0.2">
      <c r="A1010" s="475"/>
      <c r="B1010" s="32"/>
      <c r="C1010" s="32"/>
      <c r="D1010" s="323"/>
      <c r="E1010" s="32"/>
      <c r="F1010" s="32"/>
      <c r="G1010" s="32"/>
      <c r="H1010" s="487"/>
      <c r="I1010" s="32"/>
      <c r="J1010" s="32"/>
      <c r="K1010" s="32"/>
      <c r="L1010" s="487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</row>
    <row r="1011" spans="1:27" x14ac:dyDescent="0.2">
      <c r="A1011" s="475"/>
      <c r="B1011" s="32"/>
      <c r="C1011" s="32"/>
      <c r="D1011" s="323"/>
      <c r="E1011" s="32"/>
      <c r="F1011" s="32"/>
      <c r="G1011" s="32"/>
      <c r="H1011" s="487"/>
      <c r="I1011" s="32"/>
      <c r="J1011" s="32"/>
      <c r="K1011" s="32"/>
      <c r="L1011" s="487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</row>
    <row r="1012" spans="1:27" x14ac:dyDescent="0.2">
      <c r="A1012" s="475"/>
      <c r="B1012" s="32"/>
      <c r="C1012" s="32"/>
      <c r="D1012" s="323"/>
      <c r="E1012" s="32"/>
      <c r="F1012" s="32"/>
      <c r="G1012" s="32"/>
      <c r="H1012" s="487"/>
      <c r="I1012" s="32"/>
      <c r="J1012" s="32"/>
      <c r="K1012" s="32"/>
      <c r="L1012" s="487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</row>
    <row r="1013" spans="1:27" x14ac:dyDescent="0.2">
      <c r="A1013" s="475"/>
      <c r="B1013" s="32"/>
      <c r="C1013" s="32"/>
      <c r="D1013" s="323"/>
      <c r="E1013" s="32"/>
      <c r="F1013" s="32"/>
      <c r="G1013" s="32"/>
      <c r="H1013" s="487"/>
      <c r="I1013" s="32"/>
      <c r="J1013" s="32"/>
      <c r="K1013" s="32"/>
      <c r="L1013" s="487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</row>
    <row r="1014" spans="1:27" x14ac:dyDescent="0.2">
      <c r="A1014" s="475"/>
      <c r="B1014" s="32"/>
      <c r="C1014" s="32"/>
      <c r="D1014" s="323"/>
      <c r="E1014" s="32"/>
      <c r="F1014" s="32"/>
      <c r="G1014" s="32"/>
      <c r="H1014" s="487"/>
      <c r="I1014" s="32"/>
      <c r="J1014" s="32"/>
      <c r="K1014" s="32"/>
      <c r="L1014" s="487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</row>
    <row r="1015" spans="1:27" x14ac:dyDescent="0.2">
      <c r="A1015" s="475"/>
      <c r="B1015" s="32"/>
      <c r="C1015" s="32"/>
      <c r="D1015" s="323"/>
      <c r="E1015" s="32"/>
      <c r="F1015" s="32"/>
      <c r="G1015" s="32"/>
      <c r="H1015" s="487"/>
      <c r="I1015" s="32"/>
      <c r="J1015" s="32"/>
      <c r="K1015" s="32"/>
      <c r="L1015" s="487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</row>
    <row r="1016" spans="1:27" x14ac:dyDescent="0.2">
      <c r="A1016" s="475"/>
      <c r="B1016" s="32"/>
      <c r="C1016" s="32"/>
      <c r="D1016" s="323"/>
      <c r="E1016" s="32"/>
      <c r="F1016" s="32"/>
      <c r="G1016" s="32"/>
      <c r="H1016" s="487"/>
      <c r="I1016" s="32"/>
      <c r="J1016" s="32"/>
      <c r="K1016" s="32"/>
      <c r="L1016" s="487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</row>
    <row r="1017" spans="1:27" x14ac:dyDescent="0.2">
      <c r="A1017" s="475"/>
      <c r="B1017" s="32"/>
      <c r="C1017" s="32"/>
      <c r="D1017" s="323"/>
      <c r="E1017" s="32"/>
      <c r="F1017" s="32"/>
      <c r="G1017" s="32"/>
      <c r="H1017" s="487"/>
      <c r="I1017" s="32"/>
      <c r="J1017" s="32"/>
      <c r="K1017" s="32"/>
      <c r="L1017" s="487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</row>
    <row r="1018" spans="1:27" x14ac:dyDescent="0.2">
      <c r="A1018" s="475"/>
      <c r="B1018" s="32"/>
      <c r="C1018" s="32"/>
      <c r="D1018" s="323"/>
      <c r="E1018" s="32"/>
      <c r="F1018" s="32"/>
      <c r="G1018" s="32"/>
      <c r="H1018" s="487"/>
      <c r="I1018" s="32"/>
      <c r="J1018" s="32"/>
      <c r="K1018" s="32"/>
      <c r="L1018" s="487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</row>
    <row r="1019" spans="1:27" x14ac:dyDescent="0.2">
      <c r="A1019" s="475"/>
      <c r="B1019" s="32"/>
      <c r="C1019" s="32"/>
      <c r="D1019" s="323"/>
      <c r="E1019" s="32"/>
      <c r="F1019" s="32"/>
      <c r="G1019" s="32"/>
      <c r="H1019" s="487"/>
      <c r="I1019" s="32"/>
      <c r="J1019" s="32"/>
      <c r="K1019" s="32"/>
      <c r="L1019" s="487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</row>
  </sheetData>
  <mergeCells count="9">
    <mergeCell ref="K182:L182"/>
    <mergeCell ref="M191:O191"/>
    <mergeCell ref="C2:F2"/>
    <mergeCell ref="Y8:AA8"/>
    <mergeCell ref="Y9:AA9"/>
    <mergeCell ref="Y10:Z10"/>
    <mergeCell ref="Y11:Z11"/>
    <mergeCell ref="Y14:AA14"/>
    <mergeCell ref="E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Incoming</vt:lpstr>
      <vt:lpstr>Jennerjahn 2022</vt:lpstr>
      <vt:lpstr>Sheeter 2022</vt:lpstr>
      <vt:lpstr>Manual Slitter 2022</vt:lpstr>
      <vt:lpstr>FutureHold for ReleasesPending </vt:lpstr>
      <vt:lpstr>Master Sheets 2022</vt:lpstr>
      <vt:lpstr>MS to keep</vt:lpstr>
      <vt:lpstr>Overstock List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Sajo</dc:creator>
  <cp:lastModifiedBy>Sylvia Sajo</cp:lastModifiedBy>
  <dcterms:created xsi:type="dcterms:W3CDTF">2022-04-19T15:10:57Z</dcterms:created>
  <dcterms:modified xsi:type="dcterms:W3CDTF">2025-10-06T19:06:49Z</dcterms:modified>
</cp:coreProperties>
</file>